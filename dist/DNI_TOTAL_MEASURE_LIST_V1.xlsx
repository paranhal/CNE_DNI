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NE_DNI\src\measure\DNI\"/>
    </mc:Choice>
  </mc:AlternateContent>
  <xr:revisionPtr revIDLastSave="0" documentId="13_ncr:1_{B880A644-3E33-4F33-9EE7-80BE99F9E20A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DNI_WIRED_MEANSURE_AVG" sheetId="1" r:id="rId1"/>
    <sheet name="집선ISP" sheetId="2" r:id="rId2"/>
    <sheet name="학교별통신장비현황" sheetId="3" r:id="rId3"/>
    <sheet name="대전" sheetId="4" state="hidden" r:id="rId4"/>
    <sheet name="케이블통계" sheetId="5" r:id="rId5"/>
    <sheet name="POE" sheetId="6" r:id="rId6"/>
    <sheet name="대전AP" sheetId="7" r:id="rId7"/>
    <sheet name="Sheet1" sheetId="8" r:id="rId8"/>
    <sheet name="ISP측정_학교별평균" sheetId="9" r:id="rId9"/>
    <sheet name="전부하측정_학교별평균" sheetId="10" r:id="rId10"/>
  </sheets>
  <definedNames>
    <definedName name="_E1">#REF!</definedName>
    <definedName name="_F1">#REF!</definedName>
    <definedName name="_xlnm._FilterDatabase" localSheetId="0" hidden="1">DNI_WIRED_MEANSURE_AVG!$A$1:$H$316</definedName>
    <definedName name="_xlnm._FilterDatabase" localSheetId="8" hidden="1">ISP측정_학교별평균!$A$1:$L$190</definedName>
    <definedName name="_xlnm._FilterDatabase" localSheetId="7" hidden="1">Sheet1!$A$1:$C$1</definedName>
    <definedName name="_xlnm._FilterDatabase" localSheetId="3" hidden="1">대전!$A$2:$AQ$317</definedName>
    <definedName name="_xlnm._FilterDatabase" localSheetId="6" hidden="1">대전AP!$A$1:$H$1</definedName>
    <definedName name="_xlnm._FilterDatabase" localSheetId="9" hidden="1">전부하측정_학교별평균!$A$1:$H$316</definedName>
    <definedName name="_xlnm._FilterDatabase" localSheetId="1" hidden="1">집선ISP!$A$1:$G$706</definedName>
    <definedName name="_xlnm._FilterDatabase" localSheetId="2" hidden="1">학교별통신장비현황!$C$4:$AS$319</definedName>
    <definedName name="ddd">{"Book1"}</definedName>
    <definedName name="dfsfad">#REF!</definedName>
    <definedName name="Document_array">{"Book1"}</definedName>
    <definedName name="dusrmq">#REF!</definedName>
    <definedName name="HTML_CodePage" hidden="1">949</definedName>
    <definedName name="HTML_Control" localSheetId="3" hidden="1">{"'인구현황'!$A$1:$I$23"}</definedName>
    <definedName name="HTML_Control" localSheetId="6" hidden="1">{"'인구현황'!$A$1:$I$23"}</definedName>
    <definedName name="HTML_Control" localSheetId="4" hidden="1">{"'인구현황'!$A$1:$I$23"}</definedName>
    <definedName name="HTML_Control" localSheetId="2" hidden="1">{"'인구현황'!$A$1:$I$23"}</definedName>
    <definedName name="HTML_Control" hidden="1">{"'인구현황'!$A$1:$I$23"}</definedName>
    <definedName name="HTML_Description" hidden="1">""</definedName>
    <definedName name="HTML_Email" hidden="1">""</definedName>
    <definedName name="HTML_Header" hidden="1">"인구현황"</definedName>
    <definedName name="HTML_LastUpdate" hidden="1">"2001-07-20"</definedName>
    <definedName name="HTML_LineAfter" hidden="1">FALSE</definedName>
    <definedName name="HTML_LineBefore" hidden="1">FALSE</definedName>
    <definedName name="HTML_Name" hidden="1">"오세창"</definedName>
    <definedName name="HTML_OBDlg2" hidden="1">TRUE</definedName>
    <definedName name="HTML_OBDlg4" hidden="1">TRUE</definedName>
    <definedName name="HTML_OS" hidden="1">0</definedName>
    <definedName name="HTML_PathFile" hidden="1">"C:\My Documents\1"</definedName>
    <definedName name="HTML_Title" hidden="1">"부산"</definedName>
    <definedName name="강남욱">{"Book1","2008년 9월활동보조 판정표.xls"}</definedName>
    <definedName name="고">#REF!</definedName>
    <definedName name="고등">#REF!</definedName>
    <definedName name="고등고">#REF!</definedName>
    <definedName name="공동주택거주학생비율">#REF!</definedName>
    <definedName name="교">#REF!</definedName>
    <definedName name="교사정원07">#REF!</definedName>
    <definedName name="구분">#REF!</definedName>
    <definedName name="그룹명">#REF!</definedName>
    <definedName name="급별">#REF!</definedName>
    <definedName name="대상자수">#REF!</definedName>
    <definedName name="ㅁ1">#REF!</definedName>
    <definedName name="ㅁㅁ">#REF!</definedName>
    <definedName name="면적">#REF!</definedName>
    <definedName name="목록">#REF!</definedName>
    <definedName name="문서명">#REF!</definedName>
    <definedName name="문서번호">#REF!</definedName>
    <definedName name="미착수">#REF!</definedName>
    <definedName name="발생지수">#REF!</definedName>
    <definedName name="보유교실">#REF!</definedName>
    <definedName name="보유교실1">#REF!</definedName>
    <definedName name="보정값">#REF!</definedName>
    <definedName name="비율">#REF!</definedName>
    <definedName name="사람수">#REF!</definedName>
    <definedName name="성별">#REF!</definedName>
    <definedName name="수용지표">#REF!</definedName>
    <definedName name="식료품">#REF!</definedName>
    <definedName name="신설기준">#REF!</definedName>
    <definedName name="신설비">#REF!</definedName>
    <definedName name="아파트">#REF!</definedName>
    <definedName name="아파트명">#REF!</definedName>
    <definedName name="연급ㅂ">#REF!</definedName>
    <definedName name="연차">#REF!</definedName>
    <definedName name="용지비">#REF!</definedName>
    <definedName name="용지비비">#REF!</definedName>
    <definedName name="유발률">#REF!</definedName>
    <definedName name="유형별">#REF!</definedName>
    <definedName name="읍면동">#REF!</definedName>
    <definedName name="의무취학">#REF!</definedName>
    <definedName name="의무취학상황">#REF!</definedName>
    <definedName name="의무취학자1세">#REF!</definedName>
    <definedName name="의무취학자2세">#REF!</definedName>
    <definedName name="의무취학자3세">#REF!</definedName>
    <definedName name="의무취학자4세">#REF!</definedName>
    <definedName name="의무취학자5세">#REF!</definedName>
    <definedName name="의무취학학교명">#REF!</definedName>
    <definedName name="이름">{"Book1"}</definedName>
    <definedName name="이사분기">#REF!</definedName>
    <definedName name="인구이동률">#REF!</definedName>
    <definedName name="일사분가">#REF!</definedName>
    <definedName name="일사분기">#REF!</definedName>
    <definedName name="전체">#REF!</definedName>
    <definedName name="주택수">#REF!</definedName>
    <definedName name="주택종류">#REF!</definedName>
    <definedName name="준공">#REF!</definedName>
    <definedName name="중공동학구">#REF!</definedName>
    <definedName name="중등">#REF!</definedName>
    <definedName name="중등1군">#REF!</definedName>
    <definedName name="중등2군">#REF!</definedName>
    <definedName name="중등등">#REF!</definedName>
    <definedName name="중수용지표">#REF!</definedName>
    <definedName name="중열">#REF!</definedName>
    <definedName name="중지표">#REF!</definedName>
    <definedName name="중팍교">{"Book1"}</definedName>
    <definedName name="중평균감소율">#REF!</definedName>
    <definedName name="중학교">#REF!</definedName>
    <definedName name="중학교배정">#REF!</definedName>
    <definedName name="중학교배치">{"'인구현황'!$A$1:$I$23"}</definedName>
    <definedName name="중학교평균감소율">#REF!</definedName>
    <definedName name="중학교학생">#REF!</definedName>
    <definedName name="중학년도">#REF!</definedName>
    <definedName name="중행">#REF!</definedName>
    <definedName name="중행복지표">#REF!</definedName>
    <definedName name="중행열">#REF!</definedName>
    <definedName name="중행정동">#REF!</definedName>
    <definedName name="중행행">#REF!</definedName>
    <definedName name="지역">#REF!</definedName>
    <definedName name="지역세목">#REF!</definedName>
    <definedName name="지표">#REF!</definedName>
    <definedName name="착수">#REF!</definedName>
    <definedName name="참고">#REF!</definedName>
    <definedName name="천안차암초등학교">#REF!</definedName>
    <definedName name="초공동학구">#REF!</definedName>
    <definedName name="초등">#REF!</definedName>
    <definedName name="초등1군">#REF!</definedName>
    <definedName name="초등2군">#REF!</definedName>
    <definedName name="초등등">#REF!</definedName>
    <definedName name="초등지표">#REF!</definedName>
    <definedName name="초등지표1">#REF!</definedName>
    <definedName name="초등학교">#REF!</definedName>
    <definedName name="초등학년">#REF!</definedName>
    <definedName name="초수용지표">#REF!</definedName>
    <definedName name="초열">#REF!</definedName>
    <definedName name="초지표">#REF!</definedName>
    <definedName name="초취학률">#REF!</definedName>
    <definedName name="초특수학생">#REF!</definedName>
    <definedName name="초평균감소율">#REF!</definedName>
    <definedName name="초행">#REF!</definedName>
    <definedName name="초행1">#REF!</definedName>
    <definedName name="초행지표">#REF!</definedName>
    <definedName name="취학률">#REF!</definedName>
    <definedName name="취학아동수">#REF!</definedName>
    <definedName name="특수">#REF!</definedName>
    <definedName name="특수2017">#REF!</definedName>
    <definedName name="특수2018">#REF!</definedName>
    <definedName name="특수2019">#REF!</definedName>
    <definedName name="특수2020">#REF!</definedName>
    <definedName name="특수2021">#REF!</definedName>
    <definedName name="특수학교명">#REF!</definedName>
    <definedName name="평균감소율">#REF!</definedName>
    <definedName name="평균감소율중">#REF!</definedName>
    <definedName name="평수">#REF!</definedName>
    <definedName name="프로젝트명">#REF!</definedName>
    <definedName name="학급학생수">#REF!</definedName>
    <definedName name="학년">#REF!</definedName>
    <definedName name="학년2">#REF!</definedName>
    <definedName name="학년도">#REF!</definedName>
    <definedName name="학년별전입비율">#REF!</definedName>
    <definedName name="학령">#REF!</definedName>
    <definedName name="학생거주율">#REF!</definedName>
    <definedName name="학생수">#REF!</definedName>
    <definedName name="학생수변화적용률">#REF!</definedName>
    <definedName name="행복지표">#REF!</definedName>
    <definedName name="행열">#REF!</definedName>
    <definedName name="행정동">#REF!</definedName>
    <definedName name="행행">#REF!</definedName>
    <definedName name="혁신지표">#REF!</definedName>
    <definedName name="혁열">#REF!</definedName>
    <definedName name="혁행">#REF!</definedName>
    <definedName name="현안">#REF!</definedName>
    <definedName name="확인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8" i="5" l="1"/>
  <c r="G318" i="5"/>
  <c r="F318" i="5"/>
  <c r="E318" i="5"/>
  <c r="D318" i="5"/>
  <c r="H317" i="5"/>
  <c r="G317" i="5"/>
  <c r="F317" i="5"/>
  <c r="E317" i="5"/>
  <c r="D317" i="5"/>
  <c r="H316" i="5"/>
  <c r="G316" i="5"/>
  <c r="F316" i="5"/>
  <c r="E316" i="5"/>
  <c r="D316" i="5"/>
  <c r="H315" i="5"/>
  <c r="G315" i="5"/>
  <c r="F315" i="5"/>
  <c r="E315" i="5"/>
  <c r="D315" i="5"/>
  <c r="H314" i="5"/>
  <c r="G314" i="5"/>
  <c r="F314" i="5"/>
  <c r="E314" i="5"/>
  <c r="D314" i="5"/>
  <c r="H313" i="5"/>
  <c r="G313" i="5"/>
  <c r="F313" i="5"/>
  <c r="E313" i="5"/>
  <c r="D313" i="5"/>
  <c r="H312" i="5"/>
  <c r="G312" i="5"/>
  <c r="F312" i="5"/>
  <c r="E312" i="5"/>
  <c r="D312" i="5"/>
  <c r="H311" i="5"/>
  <c r="G311" i="5"/>
  <c r="F311" i="5"/>
  <c r="E311" i="5"/>
  <c r="D311" i="5"/>
  <c r="H310" i="5"/>
  <c r="G310" i="5"/>
  <c r="F310" i="5"/>
  <c r="E310" i="5"/>
  <c r="D310" i="5"/>
  <c r="H309" i="5"/>
  <c r="G309" i="5"/>
  <c r="F309" i="5"/>
  <c r="E309" i="5"/>
  <c r="D309" i="5"/>
  <c r="H308" i="5"/>
  <c r="G308" i="5"/>
  <c r="F308" i="5"/>
  <c r="E308" i="5"/>
  <c r="D308" i="5"/>
  <c r="H307" i="5"/>
  <c r="G307" i="5"/>
  <c r="F307" i="5"/>
  <c r="E307" i="5"/>
  <c r="D307" i="5"/>
  <c r="H306" i="5"/>
  <c r="G306" i="5"/>
  <c r="F306" i="5"/>
  <c r="E306" i="5"/>
  <c r="D306" i="5"/>
  <c r="H305" i="5"/>
  <c r="G305" i="5"/>
  <c r="F305" i="5"/>
  <c r="E305" i="5"/>
  <c r="D305" i="5"/>
  <c r="H304" i="5"/>
  <c r="G304" i="5"/>
  <c r="F304" i="5"/>
  <c r="E304" i="5"/>
  <c r="D304" i="5"/>
  <c r="H303" i="5"/>
  <c r="G303" i="5"/>
  <c r="F303" i="5"/>
  <c r="E303" i="5"/>
  <c r="D303" i="5"/>
  <c r="H302" i="5"/>
  <c r="G302" i="5"/>
  <c r="F302" i="5"/>
  <c r="E302" i="5"/>
  <c r="D302" i="5"/>
  <c r="H301" i="5"/>
  <c r="G301" i="5"/>
  <c r="F301" i="5"/>
  <c r="E301" i="5"/>
  <c r="D301" i="5"/>
  <c r="H300" i="5"/>
  <c r="G300" i="5"/>
  <c r="F300" i="5"/>
  <c r="E300" i="5"/>
  <c r="D300" i="5"/>
  <c r="H299" i="5"/>
  <c r="G299" i="5"/>
  <c r="F299" i="5"/>
  <c r="E299" i="5"/>
  <c r="D299" i="5"/>
  <c r="H298" i="5"/>
  <c r="G298" i="5"/>
  <c r="F298" i="5"/>
  <c r="E298" i="5"/>
  <c r="D298" i="5"/>
  <c r="H297" i="5"/>
  <c r="G297" i="5"/>
  <c r="F297" i="5"/>
  <c r="E297" i="5"/>
  <c r="D297" i="5"/>
  <c r="H296" i="5"/>
  <c r="G296" i="5"/>
  <c r="F296" i="5"/>
  <c r="E296" i="5"/>
  <c r="D296" i="5"/>
  <c r="H295" i="5"/>
  <c r="G295" i="5"/>
  <c r="F295" i="5"/>
  <c r="E295" i="5"/>
  <c r="D295" i="5"/>
  <c r="H294" i="5"/>
  <c r="G294" i="5"/>
  <c r="F294" i="5"/>
  <c r="E294" i="5"/>
  <c r="D294" i="5"/>
  <c r="H293" i="5"/>
  <c r="G293" i="5"/>
  <c r="F293" i="5"/>
  <c r="E293" i="5"/>
  <c r="D293" i="5"/>
  <c r="H292" i="5"/>
  <c r="G292" i="5"/>
  <c r="F292" i="5"/>
  <c r="E292" i="5"/>
  <c r="D292" i="5"/>
  <c r="H291" i="5"/>
  <c r="G291" i="5"/>
  <c r="F291" i="5"/>
  <c r="E291" i="5"/>
  <c r="D291" i="5"/>
  <c r="H290" i="5"/>
  <c r="G290" i="5"/>
  <c r="F290" i="5"/>
  <c r="E290" i="5"/>
  <c r="D290" i="5"/>
  <c r="H289" i="5"/>
  <c r="G289" i="5"/>
  <c r="F289" i="5"/>
  <c r="E289" i="5"/>
  <c r="D289" i="5"/>
  <c r="H288" i="5"/>
  <c r="G288" i="5"/>
  <c r="F288" i="5"/>
  <c r="E288" i="5"/>
  <c r="D288" i="5"/>
  <c r="H287" i="5"/>
  <c r="G287" i="5"/>
  <c r="F287" i="5"/>
  <c r="E287" i="5"/>
  <c r="D287" i="5"/>
  <c r="H286" i="5"/>
  <c r="G286" i="5"/>
  <c r="F286" i="5"/>
  <c r="E286" i="5"/>
  <c r="D286" i="5"/>
  <c r="H285" i="5"/>
  <c r="G285" i="5"/>
  <c r="F285" i="5"/>
  <c r="E285" i="5"/>
  <c r="D285" i="5"/>
  <c r="H284" i="5"/>
  <c r="G284" i="5"/>
  <c r="F284" i="5"/>
  <c r="E284" i="5"/>
  <c r="D284" i="5"/>
  <c r="H283" i="5"/>
  <c r="G283" i="5"/>
  <c r="F283" i="5"/>
  <c r="E283" i="5"/>
  <c r="D283" i="5"/>
  <c r="H282" i="5"/>
  <c r="G282" i="5"/>
  <c r="F282" i="5"/>
  <c r="E282" i="5"/>
  <c r="D282" i="5"/>
  <c r="H281" i="5"/>
  <c r="G281" i="5"/>
  <c r="F281" i="5"/>
  <c r="E281" i="5"/>
  <c r="D281" i="5"/>
  <c r="H280" i="5"/>
  <c r="G280" i="5"/>
  <c r="F280" i="5"/>
  <c r="E280" i="5"/>
  <c r="D280" i="5"/>
  <c r="H279" i="5"/>
  <c r="G279" i="5"/>
  <c r="F279" i="5"/>
  <c r="E279" i="5"/>
  <c r="D279" i="5"/>
  <c r="H278" i="5"/>
  <c r="G278" i="5"/>
  <c r="F278" i="5"/>
  <c r="E278" i="5"/>
  <c r="D278" i="5"/>
  <c r="H277" i="5"/>
  <c r="G277" i="5"/>
  <c r="F277" i="5"/>
  <c r="E277" i="5"/>
  <c r="D277" i="5"/>
  <c r="H276" i="5"/>
  <c r="G276" i="5"/>
  <c r="F276" i="5"/>
  <c r="E276" i="5"/>
  <c r="D276" i="5"/>
  <c r="H275" i="5"/>
  <c r="G275" i="5"/>
  <c r="F275" i="5"/>
  <c r="E275" i="5"/>
  <c r="D275" i="5"/>
  <c r="H274" i="5"/>
  <c r="G274" i="5"/>
  <c r="F274" i="5"/>
  <c r="E274" i="5"/>
  <c r="D274" i="5"/>
  <c r="H273" i="5"/>
  <c r="G273" i="5"/>
  <c r="F273" i="5"/>
  <c r="E273" i="5"/>
  <c r="D273" i="5"/>
  <c r="H272" i="5"/>
  <c r="G272" i="5"/>
  <c r="F272" i="5"/>
  <c r="E272" i="5"/>
  <c r="D272" i="5"/>
  <c r="H271" i="5"/>
  <c r="G271" i="5"/>
  <c r="F271" i="5"/>
  <c r="E271" i="5"/>
  <c r="D271" i="5"/>
  <c r="H270" i="5"/>
  <c r="G270" i="5"/>
  <c r="F270" i="5"/>
  <c r="E270" i="5"/>
  <c r="D270" i="5"/>
  <c r="H269" i="5"/>
  <c r="G269" i="5"/>
  <c r="F269" i="5"/>
  <c r="E269" i="5"/>
  <c r="D269" i="5"/>
  <c r="H268" i="5"/>
  <c r="G268" i="5"/>
  <c r="F268" i="5"/>
  <c r="E268" i="5"/>
  <c r="D268" i="5"/>
  <c r="H267" i="5"/>
  <c r="G267" i="5"/>
  <c r="F267" i="5"/>
  <c r="E267" i="5"/>
  <c r="D267" i="5"/>
  <c r="H266" i="5"/>
  <c r="G266" i="5"/>
  <c r="F266" i="5"/>
  <c r="E266" i="5"/>
  <c r="D266" i="5"/>
  <c r="H265" i="5"/>
  <c r="G265" i="5"/>
  <c r="F265" i="5"/>
  <c r="E265" i="5"/>
  <c r="D265" i="5"/>
  <c r="H264" i="5"/>
  <c r="G264" i="5"/>
  <c r="F264" i="5"/>
  <c r="E264" i="5"/>
  <c r="D264" i="5"/>
  <c r="H263" i="5"/>
  <c r="G263" i="5"/>
  <c r="F263" i="5"/>
  <c r="E263" i="5"/>
  <c r="D263" i="5"/>
  <c r="H262" i="5"/>
  <c r="G262" i="5"/>
  <c r="F262" i="5"/>
  <c r="E262" i="5"/>
  <c r="D262" i="5"/>
  <c r="H261" i="5"/>
  <c r="G261" i="5"/>
  <c r="F261" i="5"/>
  <c r="E261" i="5"/>
  <c r="D261" i="5"/>
  <c r="H260" i="5"/>
  <c r="G260" i="5"/>
  <c r="F260" i="5"/>
  <c r="E260" i="5"/>
  <c r="D260" i="5"/>
  <c r="H259" i="5"/>
  <c r="G259" i="5"/>
  <c r="F259" i="5"/>
  <c r="E259" i="5"/>
  <c r="D259" i="5"/>
  <c r="H258" i="5"/>
  <c r="G258" i="5"/>
  <c r="F258" i="5"/>
  <c r="E258" i="5"/>
  <c r="D258" i="5"/>
  <c r="H257" i="5"/>
  <c r="G257" i="5"/>
  <c r="F257" i="5"/>
  <c r="E257" i="5"/>
  <c r="D257" i="5"/>
  <c r="H256" i="5"/>
  <c r="G256" i="5"/>
  <c r="F256" i="5"/>
  <c r="E256" i="5"/>
  <c r="D256" i="5"/>
  <c r="H255" i="5"/>
  <c r="G255" i="5"/>
  <c r="F255" i="5"/>
  <c r="E255" i="5"/>
  <c r="D255" i="5"/>
  <c r="H254" i="5"/>
  <c r="G254" i="5"/>
  <c r="F254" i="5"/>
  <c r="E254" i="5"/>
  <c r="D254" i="5"/>
  <c r="H253" i="5"/>
  <c r="G253" i="5"/>
  <c r="F253" i="5"/>
  <c r="E253" i="5"/>
  <c r="D253" i="5"/>
  <c r="H252" i="5"/>
  <c r="G252" i="5"/>
  <c r="F252" i="5"/>
  <c r="E252" i="5"/>
  <c r="D252" i="5"/>
  <c r="H251" i="5"/>
  <c r="G251" i="5"/>
  <c r="F251" i="5"/>
  <c r="E251" i="5"/>
  <c r="D251" i="5"/>
  <c r="H250" i="5"/>
  <c r="G250" i="5"/>
  <c r="F250" i="5"/>
  <c r="E250" i="5"/>
  <c r="D250" i="5"/>
  <c r="H249" i="5"/>
  <c r="G249" i="5"/>
  <c r="F249" i="5"/>
  <c r="E249" i="5"/>
  <c r="D249" i="5"/>
  <c r="H248" i="5"/>
  <c r="G248" i="5"/>
  <c r="F248" i="5"/>
  <c r="E248" i="5"/>
  <c r="D248" i="5"/>
  <c r="H247" i="5"/>
  <c r="G247" i="5"/>
  <c r="F247" i="5"/>
  <c r="E247" i="5"/>
  <c r="D247" i="5"/>
  <c r="H246" i="5"/>
  <c r="G246" i="5"/>
  <c r="F246" i="5"/>
  <c r="E246" i="5"/>
  <c r="D246" i="5"/>
  <c r="H245" i="5"/>
  <c r="G245" i="5"/>
  <c r="F245" i="5"/>
  <c r="E245" i="5"/>
  <c r="D245" i="5"/>
  <c r="H244" i="5"/>
  <c r="G244" i="5"/>
  <c r="F244" i="5"/>
  <c r="E244" i="5"/>
  <c r="D244" i="5"/>
  <c r="H243" i="5"/>
  <c r="G243" i="5"/>
  <c r="F243" i="5"/>
  <c r="E243" i="5"/>
  <c r="D243" i="5"/>
  <c r="H242" i="5"/>
  <c r="G242" i="5"/>
  <c r="F242" i="5"/>
  <c r="E242" i="5"/>
  <c r="D242" i="5"/>
  <c r="H241" i="5"/>
  <c r="G241" i="5"/>
  <c r="F241" i="5"/>
  <c r="E241" i="5"/>
  <c r="D241" i="5"/>
  <c r="H240" i="5"/>
  <c r="G240" i="5"/>
  <c r="F240" i="5"/>
  <c r="E240" i="5"/>
  <c r="D240" i="5"/>
  <c r="H239" i="5"/>
  <c r="G239" i="5"/>
  <c r="F239" i="5"/>
  <c r="E239" i="5"/>
  <c r="D239" i="5"/>
  <c r="H238" i="5"/>
  <c r="G238" i="5"/>
  <c r="F238" i="5"/>
  <c r="E238" i="5"/>
  <c r="D238" i="5"/>
  <c r="H237" i="5"/>
  <c r="G237" i="5"/>
  <c r="F237" i="5"/>
  <c r="E237" i="5"/>
  <c r="D237" i="5"/>
  <c r="H236" i="5"/>
  <c r="G236" i="5"/>
  <c r="F236" i="5"/>
  <c r="E236" i="5"/>
  <c r="D236" i="5"/>
  <c r="H235" i="5"/>
  <c r="G235" i="5"/>
  <c r="F235" i="5"/>
  <c r="E235" i="5"/>
  <c r="D235" i="5"/>
  <c r="H234" i="5"/>
  <c r="G234" i="5"/>
  <c r="F234" i="5"/>
  <c r="E234" i="5"/>
  <c r="D234" i="5"/>
  <c r="H233" i="5"/>
  <c r="G233" i="5"/>
  <c r="F233" i="5"/>
  <c r="E233" i="5"/>
  <c r="D233" i="5"/>
  <c r="H232" i="5"/>
  <c r="G232" i="5"/>
  <c r="F232" i="5"/>
  <c r="E232" i="5"/>
  <c r="D232" i="5"/>
  <c r="H231" i="5"/>
  <c r="G231" i="5"/>
  <c r="F231" i="5"/>
  <c r="E231" i="5"/>
  <c r="D231" i="5"/>
  <c r="H230" i="5"/>
  <c r="G230" i="5"/>
  <c r="F230" i="5"/>
  <c r="E230" i="5"/>
  <c r="D230" i="5"/>
  <c r="H229" i="5"/>
  <c r="G229" i="5"/>
  <c r="F229" i="5"/>
  <c r="E229" i="5"/>
  <c r="D229" i="5"/>
  <c r="H228" i="5"/>
  <c r="G228" i="5"/>
  <c r="F228" i="5"/>
  <c r="E228" i="5"/>
  <c r="D228" i="5"/>
  <c r="H227" i="5"/>
  <c r="G227" i="5"/>
  <c r="F227" i="5"/>
  <c r="E227" i="5"/>
  <c r="D227" i="5"/>
  <c r="H226" i="5"/>
  <c r="G226" i="5"/>
  <c r="F226" i="5"/>
  <c r="E226" i="5"/>
  <c r="D226" i="5"/>
  <c r="H225" i="5"/>
  <c r="G225" i="5"/>
  <c r="F225" i="5"/>
  <c r="E225" i="5"/>
  <c r="D225" i="5"/>
  <c r="H224" i="5"/>
  <c r="G224" i="5"/>
  <c r="F224" i="5"/>
  <c r="E224" i="5"/>
  <c r="D224" i="5"/>
  <c r="H223" i="5"/>
  <c r="G223" i="5"/>
  <c r="F223" i="5"/>
  <c r="E223" i="5"/>
  <c r="D223" i="5"/>
  <c r="H222" i="5"/>
  <c r="G222" i="5"/>
  <c r="F222" i="5"/>
  <c r="E222" i="5"/>
  <c r="D222" i="5"/>
  <c r="H221" i="5"/>
  <c r="G221" i="5"/>
  <c r="F221" i="5"/>
  <c r="E221" i="5"/>
  <c r="D221" i="5"/>
  <c r="H220" i="5"/>
  <c r="G220" i="5"/>
  <c r="F220" i="5"/>
  <c r="E220" i="5"/>
  <c r="D220" i="5"/>
  <c r="H219" i="5"/>
  <c r="G219" i="5"/>
  <c r="F219" i="5"/>
  <c r="E219" i="5"/>
  <c r="D219" i="5"/>
  <c r="H218" i="5"/>
  <c r="G218" i="5"/>
  <c r="F218" i="5"/>
  <c r="E218" i="5"/>
  <c r="D218" i="5"/>
  <c r="H217" i="5"/>
  <c r="G217" i="5"/>
  <c r="F217" i="5"/>
  <c r="E217" i="5"/>
  <c r="D217" i="5"/>
  <c r="H216" i="5"/>
  <c r="G216" i="5"/>
  <c r="F216" i="5"/>
  <c r="E216" i="5"/>
  <c r="D216" i="5"/>
  <c r="H215" i="5"/>
  <c r="G215" i="5"/>
  <c r="F215" i="5"/>
  <c r="E215" i="5"/>
  <c r="D215" i="5"/>
  <c r="H214" i="5"/>
  <c r="G214" i="5"/>
  <c r="F214" i="5"/>
  <c r="E214" i="5"/>
  <c r="D214" i="5"/>
  <c r="H213" i="5"/>
  <c r="G213" i="5"/>
  <c r="F213" i="5"/>
  <c r="E213" i="5"/>
  <c r="D213" i="5"/>
  <c r="H212" i="5"/>
  <c r="G212" i="5"/>
  <c r="F212" i="5"/>
  <c r="E212" i="5"/>
  <c r="D212" i="5"/>
  <c r="H211" i="5"/>
  <c r="G211" i="5"/>
  <c r="F211" i="5"/>
  <c r="E211" i="5"/>
  <c r="D211" i="5"/>
  <c r="H210" i="5"/>
  <c r="G210" i="5"/>
  <c r="F210" i="5"/>
  <c r="E210" i="5"/>
  <c r="D210" i="5"/>
  <c r="H209" i="5"/>
  <c r="G209" i="5"/>
  <c r="F209" i="5"/>
  <c r="E209" i="5"/>
  <c r="D209" i="5"/>
  <c r="H208" i="5"/>
  <c r="G208" i="5"/>
  <c r="F208" i="5"/>
  <c r="E208" i="5"/>
  <c r="D208" i="5"/>
  <c r="H207" i="5"/>
  <c r="G207" i="5"/>
  <c r="F207" i="5"/>
  <c r="E207" i="5"/>
  <c r="D207" i="5"/>
  <c r="H206" i="5"/>
  <c r="G206" i="5"/>
  <c r="F206" i="5"/>
  <c r="E206" i="5"/>
  <c r="D206" i="5"/>
  <c r="H205" i="5"/>
  <c r="G205" i="5"/>
  <c r="F205" i="5"/>
  <c r="E205" i="5"/>
  <c r="D205" i="5"/>
  <c r="H204" i="5"/>
  <c r="G204" i="5"/>
  <c r="F204" i="5"/>
  <c r="E204" i="5"/>
  <c r="D204" i="5"/>
  <c r="H203" i="5"/>
  <c r="G203" i="5"/>
  <c r="F203" i="5"/>
  <c r="E203" i="5"/>
  <c r="D203" i="5"/>
  <c r="H202" i="5"/>
  <c r="G202" i="5"/>
  <c r="F202" i="5"/>
  <c r="E202" i="5"/>
  <c r="D202" i="5"/>
  <c r="H201" i="5"/>
  <c r="G201" i="5"/>
  <c r="F201" i="5"/>
  <c r="E201" i="5"/>
  <c r="D201" i="5"/>
  <c r="H200" i="5"/>
  <c r="G200" i="5"/>
  <c r="F200" i="5"/>
  <c r="E200" i="5"/>
  <c r="D200" i="5"/>
  <c r="H199" i="5"/>
  <c r="G199" i="5"/>
  <c r="F199" i="5"/>
  <c r="E199" i="5"/>
  <c r="D199" i="5"/>
  <c r="H198" i="5"/>
  <c r="G198" i="5"/>
  <c r="F198" i="5"/>
  <c r="E198" i="5"/>
  <c r="D198" i="5"/>
  <c r="H197" i="5"/>
  <c r="G197" i="5"/>
  <c r="F197" i="5"/>
  <c r="E197" i="5"/>
  <c r="D197" i="5"/>
  <c r="H196" i="5"/>
  <c r="G196" i="5"/>
  <c r="F196" i="5"/>
  <c r="E196" i="5"/>
  <c r="D196" i="5"/>
  <c r="H195" i="5"/>
  <c r="G195" i="5"/>
  <c r="F195" i="5"/>
  <c r="E195" i="5"/>
  <c r="D195" i="5"/>
  <c r="H194" i="5"/>
  <c r="G194" i="5"/>
  <c r="F194" i="5"/>
  <c r="E194" i="5"/>
  <c r="D194" i="5"/>
  <c r="H193" i="5"/>
  <c r="G193" i="5"/>
  <c r="F193" i="5"/>
  <c r="E193" i="5"/>
  <c r="D193" i="5"/>
  <c r="H192" i="5"/>
  <c r="G192" i="5"/>
  <c r="F192" i="5"/>
  <c r="E192" i="5"/>
  <c r="D192" i="5"/>
  <c r="H191" i="5"/>
  <c r="G191" i="5"/>
  <c r="F191" i="5"/>
  <c r="E191" i="5"/>
  <c r="D191" i="5"/>
  <c r="H190" i="5"/>
  <c r="G190" i="5"/>
  <c r="F190" i="5"/>
  <c r="E190" i="5"/>
  <c r="D190" i="5"/>
  <c r="H189" i="5"/>
  <c r="G189" i="5"/>
  <c r="F189" i="5"/>
  <c r="E189" i="5"/>
  <c r="D189" i="5"/>
  <c r="H188" i="5"/>
  <c r="G188" i="5"/>
  <c r="F188" i="5"/>
  <c r="E188" i="5"/>
  <c r="D188" i="5"/>
  <c r="H187" i="5"/>
  <c r="G187" i="5"/>
  <c r="F187" i="5"/>
  <c r="E187" i="5"/>
  <c r="D187" i="5"/>
  <c r="H186" i="5"/>
  <c r="G186" i="5"/>
  <c r="F186" i="5"/>
  <c r="E186" i="5"/>
  <c r="D186" i="5"/>
  <c r="H185" i="5"/>
  <c r="G185" i="5"/>
  <c r="F185" i="5"/>
  <c r="E185" i="5"/>
  <c r="D185" i="5"/>
  <c r="H184" i="5"/>
  <c r="G184" i="5"/>
  <c r="F184" i="5"/>
  <c r="E184" i="5"/>
  <c r="D184" i="5"/>
  <c r="H183" i="5"/>
  <c r="G183" i="5"/>
  <c r="F183" i="5"/>
  <c r="E183" i="5"/>
  <c r="D183" i="5"/>
  <c r="H182" i="5"/>
  <c r="G182" i="5"/>
  <c r="F182" i="5"/>
  <c r="E182" i="5"/>
  <c r="D182" i="5"/>
  <c r="H181" i="5"/>
  <c r="G181" i="5"/>
  <c r="F181" i="5"/>
  <c r="E181" i="5"/>
  <c r="D181" i="5"/>
  <c r="H180" i="5"/>
  <c r="G180" i="5"/>
  <c r="F180" i="5"/>
  <c r="E180" i="5"/>
  <c r="D180" i="5"/>
  <c r="H179" i="5"/>
  <c r="G179" i="5"/>
  <c r="F179" i="5"/>
  <c r="E179" i="5"/>
  <c r="D179" i="5"/>
  <c r="H178" i="5"/>
  <c r="G178" i="5"/>
  <c r="F178" i="5"/>
  <c r="E178" i="5"/>
  <c r="D178" i="5"/>
  <c r="H177" i="5"/>
  <c r="G177" i="5"/>
  <c r="F177" i="5"/>
  <c r="E177" i="5"/>
  <c r="D177" i="5"/>
  <c r="H176" i="5"/>
  <c r="G176" i="5"/>
  <c r="F176" i="5"/>
  <c r="E176" i="5"/>
  <c r="D176" i="5"/>
  <c r="H175" i="5"/>
  <c r="G175" i="5"/>
  <c r="F175" i="5"/>
  <c r="E175" i="5"/>
  <c r="D175" i="5"/>
  <c r="H174" i="5"/>
  <c r="G174" i="5"/>
  <c r="F174" i="5"/>
  <c r="E174" i="5"/>
  <c r="D174" i="5"/>
  <c r="H173" i="5"/>
  <c r="G173" i="5"/>
  <c r="F173" i="5"/>
  <c r="E173" i="5"/>
  <c r="D173" i="5"/>
  <c r="H172" i="5"/>
  <c r="G172" i="5"/>
  <c r="F172" i="5"/>
  <c r="E172" i="5"/>
  <c r="D172" i="5"/>
  <c r="H171" i="5"/>
  <c r="G171" i="5"/>
  <c r="F171" i="5"/>
  <c r="E171" i="5"/>
  <c r="D171" i="5"/>
  <c r="H170" i="5"/>
  <c r="G170" i="5"/>
  <c r="F170" i="5"/>
  <c r="E170" i="5"/>
  <c r="D170" i="5"/>
  <c r="H169" i="5"/>
  <c r="G169" i="5"/>
  <c r="F169" i="5"/>
  <c r="E169" i="5"/>
  <c r="D169" i="5"/>
  <c r="H168" i="5"/>
  <c r="G168" i="5"/>
  <c r="F168" i="5"/>
  <c r="E168" i="5"/>
  <c r="D168" i="5"/>
  <c r="H167" i="5"/>
  <c r="G167" i="5"/>
  <c r="F167" i="5"/>
  <c r="E167" i="5"/>
  <c r="D167" i="5"/>
  <c r="H166" i="5"/>
  <c r="G166" i="5"/>
  <c r="F166" i="5"/>
  <c r="E166" i="5"/>
  <c r="D166" i="5"/>
  <c r="H165" i="5"/>
  <c r="G165" i="5"/>
  <c r="F165" i="5"/>
  <c r="E165" i="5"/>
  <c r="D165" i="5"/>
  <c r="H164" i="5"/>
  <c r="G164" i="5"/>
  <c r="F164" i="5"/>
  <c r="E164" i="5"/>
  <c r="D164" i="5"/>
  <c r="H163" i="5"/>
  <c r="G163" i="5"/>
  <c r="F163" i="5"/>
  <c r="E163" i="5"/>
  <c r="D163" i="5"/>
  <c r="H162" i="5"/>
  <c r="G162" i="5"/>
  <c r="F162" i="5"/>
  <c r="E162" i="5"/>
  <c r="D162" i="5"/>
  <c r="H161" i="5"/>
  <c r="G161" i="5"/>
  <c r="F161" i="5"/>
  <c r="E161" i="5"/>
  <c r="D161" i="5"/>
  <c r="H160" i="5"/>
  <c r="G160" i="5"/>
  <c r="F160" i="5"/>
  <c r="E160" i="5"/>
  <c r="D160" i="5"/>
  <c r="H159" i="5"/>
  <c r="G159" i="5"/>
  <c r="F159" i="5"/>
  <c r="E159" i="5"/>
  <c r="D159" i="5"/>
  <c r="H158" i="5"/>
  <c r="G158" i="5"/>
  <c r="F158" i="5"/>
  <c r="E158" i="5"/>
  <c r="D158" i="5"/>
  <c r="H157" i="5"/>
  <c r="G157" i="5"/>
  <c r="F157" i="5"/>
  <c r="E157" i="5"/>
  <c r="D157" i="5"/>
  <c r="H156" i="5"/>
  <c r="G156" i="5"/>
  <c r="F156" i="5"/>
  <c r="E156" i="5"/>
  <c r="D156" i="5"/>
  <c r="H155" i="5"/>
  <c r="G155" i="5"/>
  <c r="F155" i="5"/>
  <c r="E155" i="5"/>
  <c r="D155" i="5"/>
  <c r="H154" i="5"/>
  <c r="G154" i="5"/>
  <c r="F154" i="5"/>
  <c r="E154" i="5"/>
  <c r="D154" i="5"/>
  <c r="H153" i="5"/>
  <c r="G153" i="5"/>
  <c r="F153" i="5"/>
  <c r="E153" i="5"/>
  <c r="D153" i="5"/>
  <c r="H152" i="5"/>
  <c r="G152" i="5"/>
  <c r="F152" i="5"/>
  <c r="E152" i="5"/>
  <c r="D152" i="5"/>
  <c r="H151" i="5"/>
  <c r="G151" i="5"/>
  <c r="F151" i="5"/>
  <c r="E151" i="5"/>
  <c r="D151" i="5"/>
  <c r="H150" i="5"/>
  <c r="G150" i="5"/>
  <c r="F150" i="5"/>
  <c r="E150" i="5"/>
  <c r="D150" i="5"/>
  <c r="H149" i="5"/>
  <c r="G149" i="5"/>
  <c r="F149" i="5"/>
  <c r="E149" i="5"/>
  <c r="D149" i="5"/>
  <c r="H148" i="5"/>
  <c r="G148" i="5"/>
  <c r="F148" i="5"/>
  <c r="E148" i="5"/>
  <c r="D148" i="5"/>
  <c r="H147" i="5"/>
  <c r="G147" i="5"/>
  <c r="F147" i="5"/>
  <c r="E147" i="5"/>
  <c r="D147" i="5"/>
  <c r="H146" i="5"/>
  <c r="G146" i="5"/>
  <c r="F146" i="5"/>
  <c r="E146" i="5"/>
  <c r="D146" i="5"/>
  <c r="H145" i="5"/>
  <c r="G145" i="5"/>
  <c r="F145" i="5"/>
  <c r="E145" i="5"/>
  <c r="D145" i="5"/>
  <c r="H144" i="5"/>
  <c r="G144" i="5"/>
  <c r="F144" i="5"/>
  <c r="E144" i="5"/>
  <c r="D144" i="5"/>
  <c r="H143" i="5"/>
  <c r="G143" i="5"/>
  <c r="F143" i="5"/>
  <c r="E143" i="5"/>
  <c r="D143" i="5"/>
  <c r="H142" i="5"/>
  <c r="G142" i="5"/>
  <c r="F142" i="5"/>
  <c r="E142" i="5"/>
  <c r="D142" i="5"/>
  <c r="H141" i="5"/>
  <c r="G141" i="5"/>
  <c r="F141" i="5"/>
  <c r="E141" i="5"/>
  <c r="D141" i="5"/>
  <c r="H140" i="5"/>
  <c r="G140" i="5"/>
  <c r="F140" i="5"/>
  <c r="E140" i="5"/>
  <c r="D140" i="5"/>
  <c r="H139" i="5"/>
  <c r="G139" i="5"/>
  <c r="F139" i="5"/>
  <c r="E139" i="5"/>
  <c r="D139" i="5"/>
  <c r="H138" i="5"/>
  <c r="G138" i="5"/>
  <c r="F138" i="5"/>
  <c r="E138" i="5"/>
  <c r="D138" i="5"/>
  <c r="H137" i="5"/>
  <c r="G137" i="5"/>
  <c r="F137" i="5"/>
  <c r="E137" i="5"/>
  <c r="D137" i="5"/>
  <c r="H136" i="5"/>
  <c r="G136" i="5"/>
  <c r="F136" i="5"/>
  <c r="E136" i="5"/>
  <c r="D136" i="5"/>
  <c r="H135" i="5"/>
  <c r="G135" i="5"/>
  <c r="F135" i="5"/>
  <c r="E135" i="5"/>
  <c r="D135" i="5"/>
  <c r="H134" i="5"/>
  <c r="G134" i="5"/>
  <c r="F134" i="5"/>
  <c r="E134" i="5"/>
  <c r="D134" i="5"/>
  <c r="H133" i="5"/>
  <c r="G133" i="5"/>
  <c r="F133" i="5"/>
  <c r="E133" i="5"/>
  <c r="D133" i="5"/>
  <c r="H132" i="5"/>
  <c r="G132" i="5"/>
  <c r="F132" i="5"/>
  <c r="E132" i="5"/>
  <c r="D132" i="5"/>
  <c r="H131" i="5"/>
  <c r="G131" i="5"/>
  <c r="F131" i="5"/>
  <c r="E131" i="5"/>
  <c r="D131" i="5"/>
  <c r="H130" i="5"/>
  <c r="G130" i="5"/>
  <c r="F130" i="5"/>
  <c r="E130" i="5"/>
  <c r="D130" i="5"/>
  <c r="H129" i="5"/>
  <c r="G129" i="5"/>
  <c r="F129" i="5"/>
  <c r="E129" i="5"/>
  <c r="D129" i="5"/>
  <c r="H128" i="5"/>
  <c r="G128" i="5"/>
  <c r="F128" i="5"/>
  <c r="E128" i="5"/>
  <c r="D128" i="5"/>
  <c r="H127" i="5"/>
  <c r="G127" i="5"/>
  <c r="F127" i="5"/>
  <c r="E127" i="5"/>
  <c r="D127" i="5"/>
  <c r="H126" i="5"/>
  <c r="G126" i="5"/>
  <c r="F126" i="5"/>
  <c r="E126" i="5"/>
  <c r="D126" i="5"/>
  <c r="H125" i="5"/>
  <c r="G125" i="5"/>
  <c r="F125" i="5"/>
  <c r="E125" i="5"/>
  <c r="D125" i="5"/>
  <c r="H124" i="5"/>
  <c r="G124" i="5"/>
  <c r="F124" i="5"/>
  <c r="E124" i="5"/>
  <c r="D124" i="5"/>
  <c r="H123" i="5"/>
  <c r="G123" i="5"/>
  <c r="F123" i="5"/>
  <c r="E123" i="5"/>
  <c r="D123" i="5"/>
  <c r="H122" i="5"/>
  <c r="G122" i="5"/>
  <c r="F122" i="5"/>
  <c r="E122" i="5"/>
  <c r="D122" i="5"/>
  <c r="H121" i="5"/>
  <c r="G121" i="5"/>
  <c r="F121" i="5"/>
  <c r="E121" i="5"/>
  <c r="D121" i="5"/>
  <c r="H120" i="5"/>
  <c r="G120" i="5"/>
  <c r="F120" i="5"/>
  <c r="E120" i="5"/>
  <c r="D120" i="5"/>
  <c r="H119" i="5"/>
  <c r="G119" i="5"/>
  <c r="F119" i="5"/>
  <c r="E119" i="5"/>
  <c r="D119" i="5"/>
  <c r="H118" i="5"/>
  <c r="G118" i="5"/>
  <c r="F118" i="5"/>
  <c r="E118" i="5"/>
  <c r="D118" i="5"/>
  <c r="H117" i="5"/>
  <c r="G117" i="5"/>
  <c r="F117" i="5"/>
  <c r="E117" i="5"/>
  <c r="D117" i="5"/>
  <c r="H116" i="5"/>
  <c r="G116" i="5"/>
  <c r="F116" i="5"/>
  <c r="E116" i="5"/>
  <c r="D116" i="5"/>
  <c r="H115" i="5"/>
  <c r="G115" i="5"/>
  <c r="F115" i="5"/>
  <c r="E115" i="5"/>
  <c r="D115" i="5"/>
  <c r="H114" i="5"/>
  <c r="G114" i="5"/>
  <c r="F114" i="5"/>
  <c r="E114" i="5"/>
  <c r="D114" i="5"/>
  <c r="H113" i="5"/>
  <c r="G113" i="5"/>
  <c r="F113" i="5"/>
  <c r="E113" i="5"/>
  <c r="D113" i="5"/>
  <c r="H112" i="5"/>
  <c r="G112" i="5"/>
  <c r="F112" i="5"/>
  <c r="E112" i="5"/>
  <c r="D112" i="5"/>
  <c r="H111" i="5"/>
  <c r="G111" i="5"/>
  <c r="F111" i="5"/>
  <c r="E111" i="5"/>
  <c r="D111" i="5"/>
  <c r="H110" i="5"/>
  <c r="G110" i="5"/>
  <c r="F110" i="5"/>
  <c r="E110" i="5"/>
  <c r="D110" i="5"/>
  <c r="H109" i="5"/>
  <c r="G109" i="5"/>
  <c r="F109" i="5"/>
  <c r="E109" i="5"/>
  <c r="D109" i="5"/>
  <c r="H108" i="5"/>
  <c r="G108" i="5"/>
  <c r="F108" i="5"/>
  <c r="E108" i="5"/>
  <c r="D108" i="5"/>
  <c r="H107" i="5"/>
  <c r="G107" i="5"/>
  <c r="F107" i="5"/>
  <c r="E107" i="5"/>
  <c r="D107" i="5"/>
  <c r="H106" i="5"/>
  <c r="G106" i="5"/>
  <c r="F106" i="5"/>
  <c r="E106" i="5"/>
  <c r="D106" i="5"/>
  <c r="H105" i="5"/>
  <c r="G105" i="5"/>
  <c r="F105" i="5"/>
  <c r="E105" i="5"/>
  <c r="D105" i="5"/>
  <c r="H104" i="5"/>
  <c r="G104" i="5"/>
  <c r="F104" i="5"/>
  <c r="E104" i="5"/>
  <c r="D104" i="5"/>
  <c r="H103" i="5"/>
  <c r="G103" i="5"/>
  <c r="F103" i="5"/>
  <c r="E103" i="5"/>
  <c r="D103" i="5"/>
  <c r="H102" i="5"/>
  <c r="G102" i="5"/>
  <c r="F102" i="5"/>
  <c r="E102" i="5"/>
  <c r="D102" i="5"/>
  <c r="H101" i="5"/>
  <c r="G101" i="5"/>
  <c r="F101" i="5"/>
  <c r="E101" i="5"/>
  <c r="D101" i="5"/>
  <c r="H100" i="5"/>
  <c r="G100" i="5"/>
  <c r="F100" i="5"/>
  <c r="E100" i="5"/>
  <c r="D100" i="5"/>
  <c r="H99" i="5"/>
  <c r="G99" i="5"/>
  <c r="F99" i="5"/>
  <c r="E99" i="5"/>
  <c r="D99" i="5"/>
  <c r="H98" i="5"/>
  <c r="G98" i="5"/>
  <c r="F98" i="5"/>
  <c r="E98" i="5"/>
  <c r="D98" i="5"/>
  <c r="H97" i="5"/>
  <c r="G97" i="5"/>
  <c r="F97" i="5"/>
  <c r="E97" i="5"/>
  <c r="D97" i="5"/>
  <c r="H96" i="5"/>
  <c r="G96" i="5"/>
  <c r="F96" i="5"/>
  <c r="E96" i="5"/>
  <c r="D96" i="5"/>
  <c r="H95" i="5"/>
  <c r="G95" i="5"/>
  <c r="F95" i="5"/>
  <c r="E95" i="5"/>
  <c r="D95" i="5"/>
  <c r="H94" i="5"/>
  <c r="G94" i="5"/>
  <c r="F94" i="5"/>
  <c r="E94" i="5"/>
  <c r="D94" i="5"/>
  <c r="H93" i="5"/>
  <c r="G93" i="5"/>
  <c r="F93" i="5"/>
  <c r="E93" i="5"/>
  <c r="D93" i="5"/>
  <c r="H92" i="5"/>
  <c r="G92" i="5"/>
  <c r="F92" i="5"/>
  <c r="E92" i="5"/>
  <c r="D92" i="5"/>
  <c r="H91" i="5"/>
  <c r="G91" i="5"/>
  <c r="F91" i="5"/>
  <c r="E91" i="5"/>
  <c r="D91" i="5"/>
  <c r="H90" i="5"/>
  <c r="G90" i="5"/>
  <c r="F90" i="5"/>
  <c r="E90" i="5"/>
  <c r="D90" i="5"/>
  <c r="H89" i="5"/>
  <c r="G89" i="5"/>
  <c r="F89" i="5"/>
  <c r="E89" i="5"/>
  <c r="D89" i="5"/>
  <c r="H88" i="5"/>
  <c r="G88" i="5"/>
  <c r="F88" i="5"/>
  <c r="E88" i="5"/>
  <c r="D88" i="5"/>
  <c r="H87" i="5"/>
  <c r="G87" i="5"/>
  <c r="F87" i="5"/>
  <c r="E87" i="5"/>
  <c r="D87" i="5"/>
  <c r="H86" i="5"/>
  <c r="G86" i="5"/>
  <c r="F86" i="5"/>
  <c r="E86" i="5"/>
  <c r="D86" i="5"/>
  <c r="H85" i="5"/>
  <c r="G85" i="5"/>
  <c r="F85" i="5"/>
  <c r="E85" i="5"/>
  <c r="D85" i="5"/>
  <c r="H84" i="5"/>
  <c r="G84" i="5"/>
  <c r="F84" i="5"/>
  <c r="E84" i="5"/>
  <c r="D84" i="5"/>
  <c r="H83" i="5"/>
  <c r="G83" i="5"/>
  <c r="F83" i="5"/>
  <c r="E83" i="5"/>
  <c r="D83" i="5"/>
  <c r="H82" i="5"/>
  <c r="G82" i="5"/>
  <c r="F82" i="5"/>
  <c r="E82" i="5"/>
  <c r="D82" i="5"/>
  <c r="H81" i="5"/>
  <c r="G81" i="5"/>
  <c r="F81" i="5"/>
  <c r="E81" i="5"/>
  <c r="D81" i="5"/>
  <c r="H80" i="5"/>
  <c r="G80" i="5"/>
  <c r="F80" i="5"/>
  <c r="E80" i="5"/>
  <c r="D80" i="5"/>
  <c r="H79" i="5"/>
  <c r="G79" i="5"/>
  <c r="F79" i="5"/>
  <c r="E79" i="5"/>
  <c r="D79" i="5"/>
  <c r="H78" i="5"/>
  <c r="G78" i="5"/>
  <c r="F78" i="5"/>
  <c r="E78" i="5"/>
  <c r="D78" i="5"/>
  <c r="H77" i="5"/>
  <c r="G77" i="5"/>
  <c r="F77" i="5"/>
  <c r="E77" i="5"/>
  <c r="D77" i="5"/>
  <c r="H76" i="5"/>
  <c r="G76" i="5"/>
  <c r="F76" i="5"/>
  <c r="E76" i="5"/>
  <c r="D76" i="5"/>
  <c r="H75" i="5"/>
  <c r="G75" i="5"/>
  <c r="F75" i="5"/>
  <c r="E75" i="5"/>
  <c r="D75" i="5"/>
  <c r="H74" i="5"/>
  <c r="G74" i="5"/>
  <c r="F74" i="5"/>
  <c r="E74" i="5"/>
  <c r="D74" i="5"/>
  <c r="H73" i="5"/>
  <c r="G73" i="5"/>
  <c r="F73" i="5"/>
  <c r="E73" i="5"/>
  <c r="D73" i="5"/>
  <c r="H72" i="5"/>
  <c r="G72" i="5"/>
  <c r="F72" i="5"/>
  <c r="E72" i="5"/>
  <c r="D72" i="5"/>
  <c r="H71" i="5"/>
  <c r="G71" i="5"/>
  <c r="F71" i="5"/>
  <c r="E71" i="5"/>
  <c r="D71" i="5"/>
  <c r="H70" i="5"/>
  <c r="G70" i="5"/>
  <c r="F70" i="5"/>
  <c r="E70" i="5"/>
  <c r="D70" i="5"/>
  <c r="H69" i="5"/>
  <c r="G69" i="5"/>
  <c r="F69" i="5"/>
  <c r="E69" i="5"/>
  <c r="D69" i="5"/>
  <c r="H68" i="5"/>
  <c r="G68" i="5"/>
  <c r="F68" i="5"/>
  <c r="E68" i="5"/>
  <c r="D68" i="5"/>
  <c r="H67" i="5"/>
  <c r="G67" i="5"/>
  <c r="F67" i="5"/>
  <c r="E67" i="5"/>
  <c r="D67" i="5"/>
  <c r="H66" i="5"/>
  <c r="G66" i="5"/>
  <c r="F66" i="5"/>
  <c r="E66" i="5"/>
  <c r="D66" i="5"/>
  <c r="H65" i="5"/>
  <c r="G65" i="5"/>
  <c r="F65" i="5"/>
  <c r="E65" i="5"/>
  <c r="D65" i="5"/>
  <c r="H64" i="5"/>
  <c r="G64" i="5"/>
  <c r="F64" i="5"/>
  <c r="E64" i="5"/>
  <c r="D64" i="5"/>
  <c r="H63" i="5"/>
  <c r="G63" i="5"/>
  <c r="F63" i="5"/>
  <c r="E63" i="5"/>
  <c r="D63" i="5"/>
  <c r="H62" i="5"/>
  <c r="G62" i="5"/>
  <c r="F62" i="5"/>
  <c r="E62" i="5"/>
  <c r="D62" i="5"/>
  <c r="H61" i="5"/>
  <c r="G61" i="5"/>
  <c r="F61" i="5"/>
  <c r="E61" i="5"/>
  <c r="D61" i="5"/>
  <c r="H60" i="5"/>
  <c r="G60" i="5"/>
  <c r="F60" i="5"/>
  <c r="E60" i="5"/>
  <c r="D60" i="5"/>
  <c r="H59" i="5"/>
  <c r="G59" i="5"/>
  <c r="F59" i="5"/>
  <c r="E59" i="5"/>
  <c r="D59" i="5"/>
  <c r="H58" i="5"/>
  <c r="G58" i="5"/>
  <c r="F58" i="5"/>
  <c r="E58" i="5"/>
  <c r="D58" i="5"/>
  <c r="H57" i="5"/>
  <c r="G57" i="5"/>
  <c r="F57" i="5"/>
  <c r="E57" i="5"/>
  <c r="D57" i="5"/>
  <c r="H56" i="5"/>
  <c r="G56" i="5"/>
  <c r="F56" i="5"/>
  <c r="E56" i="5"/>
  <c r="D56" i="5"/>
  <c r="H55" i="5"/>
  <c r="G55" i="5"/>
  <c r="F55" i="5"/>
  <c r="E55" i="5"/>
  <c r="D55" i="5"/>
  <c r="H54" i="5"/>
  <c r="G54" i="5"/>
  <c r="F54" i="5"/>
  <c r="E54" i="5"/>
  <c r="D54" i="5"/>
  <c r="H53" i="5"/>
  <c r="G53" i="5"/>
  <c r="F53" i="5"/>
  <c r="E53" i="5"/>
  <c r="D53" i="5"/>
  <c r="H52" i="5"/>
  <c r="G52" i="5"/>
  <c r="F52" i="5"/>
  <c r="E52" i="5"/>
  <c r="D52" i="5"/>
  <c r="H51" i="5"/>
  <c r="G51" i="5"/>
  <c r="F51" i="5"/>
  <c r="E51" i="5"/>
  <c r="D51" i="5"/>
  <c r="H50" i="5"/>
  <c r="G50" i="5"/>
  <c r="F50" i="5"/>
  <c r="E50" i="5"/>
  <c r="D50" i="5"/>
  <c r="H49" i="5"/>
  <c r="G49" i="5"/>
  <c r="F49" i="5"/>
  <c r="E49" i="5"/>
  <c r="D49" i="5"/>
  <c r="H48" i="5"/>
  <c r="G48" i="5"/>
  <c r="F48" i="5"/>
  <c r="E48" i="5"/>
  <c r="D48" i="5"/>
  <c r="H47" i="5"/>
  <c r="G47" i="5"/>
  <c r="F47" i="5"/>
  <c r="E47" i="5"/>
  <c r="D47" i="5"/>
  <c r="H46" i="5"/>
  <c r="G46" i="5"/>
  <c r="F46" i="5"/>
  <c r="E46" i="5"/>
  <c r="D46" i="5"/>
  <c r="H45" i="5"/>
  <c r="G45" i="5"/>
  <c r="F45" i="5"/>
  <c r="E45" i="5"/>
  <c r="D45" i="5"/>
  <c r="H44" i="5"/>
  <c r="G44" i="5"/>
  <c r="F44" i="5"/>
  <c r="E44" i="5"/>
  <c r="D44" i="5"/>
  <c r="H43" i="5"/>
  <c r="G43" i="5"/>
  <c r="F43" i="5"/>
  <c r="E43" i="5"/>
  <c r="D43" i="5"/>
  <c r="H42" i="5"/>
  <c r="G42" i="5"/>
  <c r="F42" i="5"/>
  <c r="E42" i="5"/>
  <c r="D42" i="5"/>
  <c r="H41" i="5"/>
  <c r="G41" i="5"/>
  <c r="F41" i="5"/>
  <c r="E41" i="5"/>
  <c r="D41" i="5"/>
  <c r="H40" i="5"/>
  <c r="G40" i="5"/>
  <c r="F40" i="5"/>
  <c r="E40" i="5"/>
  <c r="D40" i="5"/>
  <c r="H39" i="5"/>
  <c r="G39" i="5"/>
  <c r="F39" i="5"/>
  <c r="E39" i="5"/>
  <c r="D39" i="5"/>
  <c r="H38" i="5"/>
  <c r="G38" i="5"/>
  <c r="F38" i="5"/>
  <c r="E38" i="5"/>
  <c r="D38" i="5"/>
  <c r="H37" i="5"/>
  <c r="G37" i="5"/>
  <c r="F37" i="5"/>
  <c r="E37" i="5"/>
  <c r="D37" i="5"/>
  <c r="H36" i="5"/>
  <c r="G36" i="5"/>
  <c r="F36" i="5"/>
  <c r="E36" i="5"/>
  <c r="D36" i="5"/>
  <c r="H35" i="5"/>
  <c r="G35" i="5"/>
  <c r="F35" i="5"/>
  <c r="E35" i="5"/>
  <c r="D35" i="5"/>
  <c r="H34" i="5"/>
  <c r="G34" i="5"/>
  <c r="F34" i="5"/>
  <c r="E34" i="5"/>
  <c r="D34" i="5"/>
  <c r="H33" i="5"/>
  <c r="G33" i="5"/>
  <c r="F33" i="5"/>
  <c r="E33" i="5"/>
  <c r="D33" i="5"/>
  <c r="H32" i="5"/>
  <c r="G32" i="5"/>
  <c r="F32" i="5"/>
  <c r="E32" i="5"/>
  <c r="D32" i="5"/>
  <c r="H31" i="5"/>
  <c r="G31" i="5"/>
  <c r="F31" i="5"/>
  <c r="E31" i="5"/>
  <c r="D31" i="5"/>
  <c r="H30" i="5"/>
  <c r="G30" i="5"/>
  <c r="F30" i="5"/>
  <c r="E30" i="5"/>
  <c r="D30" i="5"/>
  <c r="H29" i="5"/>
  <c r="G29" i="5"/>
  <c r="F29" i="5"/>
  <c r="E29" i="5"/>
  <c r="D29" i="5"/>
  <c r="H28" i="5"/>
  <c r="G28" i="5"/>
  <c r="F28" i="5"/>
  <c r="E28" i="5"/>
  <c r="D28" i="5"/>
  <c r="H27" i="5"/>
  <c r="G27" i="5"/>
  <c r="F27" i="5"/>
  <c r="E27" i="5"/>
  <c r="D27" i="5"/>
  <c r="H26" i="5"/>
  <c r="G26" i="5"/>
  <c r="F26" i="5"/>
  <c r="E26" i="5"/>
  <c r="D26" i="5"/>
  <c r="H25" i="5"/>
  <c r="G25" i="5"/>
  <c r="F25" i="5"/>
  <c r="E25" i="5"/>
  <c r="D25" i="5"/>
  <c r="H24" i="5"/>
  <c r="G24" i="5"/>
  <c r="F24" i="5"/>
  <c r="E24" i="5"/>
  <c r="D24" i="5"/>
  <c r="H23" i="5"/>
  <c r="G23" i="5"/>
  <c r="F23" i="5"/>
  <c r="E23" i="5"/>
  <c r="D23" i="5"/>
  <c r="H22" i="5"/>
  <c r="G22" i="5"/>
  <c r="F22" i="5"/>
  <c r="E22" i="5"/>
  <c r="D22" i="5"/>
  <c r="H21" i="5"/>
  <c r="G21" i="5"/>
  <c r="F21" i="5"/>
  <c r="E21" i="5"/>
  <c r="D21" i="5"/>
  <c r="H20" i="5"/>
  <c r="G20" i="5"/>
  <c r="F20" i="5"/>
  <c r="E20" i="5"/>
  <c r="D20" i="5"/>
  <c r="H19" i="5"/>
  <c r="G19" i="5"/>
  <c r="F19" i="5"/>
  <c r="E19" i="5"/>
  <c r="D19" i="5"/>
  <c r="H18" i="5"/>
  <c r="G18" i="5"/>
  <c r="F18" i="5"/>
  <c r="E18" i="5"/>
  <c r="D18" i="5"/>
  <c r="H17" i="5"/>
  <c r="G17" i="5"/>
  <c r="F17" i="5"/>
  <c r="E17" i="5"/>
  <c r="D17" i="5"/>
  <c r="H16" i="5"/>
  <c r="G16" i="5"/>
  <c r="F16" i="5"/>
  <c r="E16" i="5"/>
  <c r="D16" i="5"/>
  <c r="H15" i="5"/>
  <c r="G15" i="5"/>
  <c r="F15" i="5"/>
  <c r="E15" i="5"/>
  <c r="D15" i="5"/>
  <c r="H14" i="5"/>
  <c r="G14" i="5"/>
  <c r="F14" i="5"/>
  <c r="E14" i="5"/>
  <c r="D14" i="5"/>
  <c r="H13" i="5"/>
  <c r="G13" i="5"/>
  <c r="F13" i="5"/>
  <c r="E13" i="5"/>
  <c r="D13" i="5"/>
  <c r="H12" i="5"/>
  <c r="G12" i="5"/>
  <c r="F12" i="5"/>
  <c r="E12" i="5"/>
  <c r="D12" i="5"/>
  <c r="H11" i="5"/>
  <c r="G11" i="5"/>
  <c r="F11" i="5"/>
  <c r="E11" i="5"/>
  <c r="D11" i="5"/>
  <c r="H10" i="5"/>
  <c r="G10" i="5"/>
  <c r="F10" i="5"/>
  <c r="E10" i="5"/>
  <c r="D10" i="5"/>
  <c r="H9" i="5"/>
  <c r="G9" i="5"/>
  <c r="F9" i="5"/>
  <c r="E9" i="5"/>
  <c r="D9" i="5"/>
  <c r="H8" i="5"/>
  <c r="G8" i="5"/>
  <c r="F8" i="5"/>
  <c r="E8" i="5"/>
  <c r="D8" i="5"/>
  <c r="H7" i="5"/>
  <c r="G7" i="5"/>
  <c r="F7" i="5"/>
  <c r="E7" i="5"/>
  <c r="D7" i="5"/>
  <c r="H6" i="5"/>
  <c r="G6" i="5"/>
  <c r="F6" i="5"/>
  <c r="E6" i="5"/>
  <c r="D6" i="5"/>
  <c r="H5" i="5"/>
  <c r="G5" i="5"/>
  <c r="F5" i="5"/>
  <c r="E5" i="5"/>
  <c r="D5" i="5"/>
  <c r="H4" i="5"/>
  <c r="G4" i="5"/>
  <c r="F4" i="5"/>
  <c r="E4" i="5"/>
  <c r="D4" i="5"/>
  <c r="W1" i="5"/>
  <c r="V1" i="5"/>
  <c r="U1" i="5"/>
  <c r="T1" i="5"/>
  <c r="S1" i="5"/>
  <c r="R1" i="5"/>
  <c r="Q1" i="5"/>
  <c r="P1" i="5"/>
  <c r="O1" i="5"/>
  <c r="N1" i="5"/>
  <c r="M1" i="5"/>
  <c r="L1" i="5"/>
  <c r="K1" i="5"/>
  <c r="J1" i="5"/>
  <c r="I1" i="5"/>
  <c r="H1" i="5"/>
  <c r="G1" i="5"/>
  <c r="F1" i="5"/>
  <c r="E1" i="5"/>
  <c r="D1" i="5"/>
  <c r="AF318" i="4"/>
  <c r="B3" i="3"/>
  <c r="AS2" i="3"/>
  <c r="AR2" i="3"/>
  <c r="AQ2" i="3"/>
  <c r="AP2" i="3"/>
  <c r="AO2" i="3"/>
  <c r="AN2" i="3"/>
  <c r="AT3" i="3" s="1"/>
  <c r="AM2" i="3"/>
  <c r="AT4" i="3" s="1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O2" i="3"/>
  <c r="N2" i="3"/>
  <c r="M2" i="3"/>
  <c r="L2" i="3"/>
  <c r="K2" i="3"/>
  <c r="J2" i="3"/>
  <c r="I2" i="3"/>
  <c r="H2" i="3"/>
  <c r="G2" i="3"/>
  <c r="AS1" i="3"/>
  <c r="AR1" i="3"/>
  <c r="AQ1" i="3"/>
  <c r="AP1" i="3"/>
  <c r="AO1" i="3"/>
  <c r="AN1" i="3"/>
  <c r="AM1" i="3"/>
  <c r="AL1" i="3"/>
  <c r="AK1" i="3"/>
  <c r="AJ1" i="3"/>
  <c r="AI1" i="3"/>
  <c r="AH1" i="3"/>
  <c r="AG1" i="3"/>
  <c r="AF1" i="3"/>
  <c r="AE1" i="3"/>
  <c r="AD1" i="3"/>
  <c r="AC1" i="3"/>
  <c r="AB1" i="3"/>
  <c r="AA1" i="3"/>
  <c r="Z1" i="3"/>
  <c r="Y1" i="3"/>
  <c r="X1" i="3"/>
  <c r="W1" i="3"/>
  <c r="V1" i="3"/>
  <c r="U1" i="3"/>
  <c r="T1" i="3"/>
  <c r="S1" i="3"/>
  <c r="R1" i="3"/>
  <c r="Q1" i="3"/>
  <c r="O1" i="3"/>
  <c r="N1" i="3"/>
  <c r="M1" i="3"/>
  <c r="L1" i="3"/>
  <c r="K1" i="3"/>
  <c r="J1" i="3"/>
  <c r="I1" i="3"/>
  <c r="H1" i="3"/>
  <c r="G1" i="3"/>
</calcChain>
</file>

<file path=xl/sharedStrings.xml><?xml version="1.0" encoding="utf-8"?>
<sst xmlns="http://schemas.openxmlformats.org/spreadsheetml/2006/main" count="13013" uniqueCount="981">
  <si>
    <t>학교코드</t>
  </si>
  <si>
    <t>학교명</t>
  </si>
  <si>
    <t>장비관리번호</t>
  </si>
  <si>
    <t>DL (Mbps)</t>
  </si>
  <si>
    <t>Up (Mbps)</t>
  </si>
  <si>
    <t>*RSSI</t>
  </si>
  <si>
    <t>CH</t>
  </si>
  <si>
    <t>진단의견</t>
  </si>
  <si>
    <t>장비관리번호 진단</t>
  </si>
  <si>
    <t>DL (Mbps) 진단</t>
  </si>
  <si>
    <t>G107430030HS</t>
  </si>
  <si>
    <t>대덕고등학교</t>
  </si>
  <si>
    <t>G107430030HS-WIF60001</t>
  </si>
  <si>
    <t>양호</t>
  </si>
  <si>
    <t>미흡</t>
  </si>
  <si>
    <t>G107430032HS</t>
  </si>
  <si>
    <t>대전과학고등학교</t>
  </si>
  <si>
    <t>G107430032HS-WIF60002</t>
  </si>
  <si>
    <t>G107430033HS</t>
  </si>
  <si>
    <t>대전관저고등학교</t>
  </si>
  <si>
    <t>G107430033HS-WIF60002</t>
  </si>
  <si>
    <t>G107430034HS</t>
  </si>
  <si>
    <t>대전둔산여자고등학교</t>
  </si>
  <si>
    <t>G107430034HS-WIF60002</t>
  </si>
  <si>
    <t>G107430035HS</t>
  </si>
  <si>
    <t>대전만년고등학교</t>
  </si>
  <si>
    <t>G107430035HS-WIF60001</t>
  </si>
  <si>
    <t>G107430036HS</t>
  </si>
  <si>
    <t>대전여자고등학교</t>
  </si>
  <si>
    <t>G107430036HS-WIF60003</t>
  </si>
  <si>
    <t>G107430037HS</t>
  </si>
  <si>
    <t>대전외국어고등학교</t>
  </si>
  <si>
    <t>G107430037HS-WIF60006</t>
  </si>
  <si>
    <t>G107430038HS</t>
  </si>
  <si>
    <t>대전체육고등학교</t>
  </si>
  <si>
    <t>G107430038HS-WIF60001</t>
  </si>
  <si>
    <t>G107430039HS</t>
  </si>
  <si>
    <t>동대전고등학교</t>
  </si>
  <si>
    <t>G107430039HS-WIF60001</t>
  </si>
  <si>
    <t>G107430041HS</t>
  </si>
  <si>
    <t>신탄진고등학교</t>
  </si>
  <si>
    <t>G107430041HS-WIF60001</t>
  </si>
  <si>
    <t>G107430042HS</t>
  </si>
  <si>
    <t>유성고등학교</t>
  </si>
  <si>
    <t>G107430042HS-WIF60002</t>
  </si>
  <si>
    <t>G107430045HS</t>
  </si>
  <si>
    <t>한밭고등학교</t>
  </si>
  <si>
    <t>G107430045HS-WIF60001</t>
  </si>
  <si>
    <t>G107430049HS</t>
  </si>
  <si>
    <t>대전동산고등학교</t>
  </si>
  <si>
    <t>G107430049HS-WIF60002</t>
  </si>
  <si>
    <t>G107430053HS</t>
  </si>
  <si>
    <t>대전예술고등학교</t>
  </si>
  <si>
    <t>G107430053HS-WIF60002</t>
  </si>
  <si>
    <t>G107430056HS</t>
  </si>
  <si>
    <t>명석고등학교</t>
  </si>
  <si>
    <t>G107430056HS-WIF60006</t>
  </si>
  <si>
    <t>G107430057HS</t>
  </si>
  <si>
    <t>보문고등학교</t>
  </si>
  <si>
    <t>G107430057HS-WIF60001</t>
  </si>
  <si>
    <t>G107430060HS</t>
  </si>
  <si>
    <t>서대전여자고등학교</t>
  </si>
  <si>
    <t>G107430060HS-WIF60002</t>
  </si>
  <si>
    <t>G107430061HS</t>
  </si>
  <si>
    <t>서일고등학교</t>
  </si>
  <si>
    <t>G107430061HS-WIF60003</t>
  </si>
  <si>
    <t>G107430062HS</t>
  </si>
  <si>
    <t>서일여자고등학교</t>
  </si>
  <si>
    <t>G107430062HS-WIF60003</t>
  </si>
  <si>
    <t>G107430064HS</t>
  </si>
  <si>
    <t>유성여자고등학교</t>
  </si>
  <si>
    <t>G107430064HS-WIF60001</t>
  </si>
  <si>
    <t>G107430065HS</t>
  </si>
  <si>
    <t>중일고등학교</t>
  </si>
  <si>
    <t>G107430065HS-WIF60001</t>
  </si>
  <si>
    <t>G107430067HS</t>
  </si>
  <si>
    <t>호수돈여자고등학교</t>
  </si>
  <si>
    <t>G107430067HS-WIF60001</t>
  </si>
  <si>
    <t>G107430111SS</t>
  </si>
  <si>
    <t>대전혜광학교</t>
  </si>
  <si>
    <t>G107430111SS-WIF60001</t>
  </si>
  <si>
    <t>G107430133HS</t>
  </si>
  <si>
    <t>대전신일여자고등학교</t>
  </si>
  <si>
    <t>G107430133HS-WIF60001</t>
  </si>
  <si>
    <t>G107430135HS</t>
  </si>
  <si>
    <t>유성생명과학고등학교</t>
  </si>
  <si>
    <t>G107430135HS-WIF60001</t>
  </si>
  <si>
    <t>G107430140HS</t>
  </si>
  <si>
    <t>우송고등학교</t>
  </si>
  <si>
    <t>G107430140HS-WIF60002</t>
  </si>
  <si>
    <t>G107430142HS</t>
  </si>
  <si>
    <t>대전둔원고등학교</t>
  </si>
  <si>
    <t>G107430142HS-WIF60006</t>
  </si>
  <si>
    <t>G107430143HS</t>
  </si>
  <si>
    <t>대전노은고등학교</t>
  </si>
  <si>
    <t>G107430143HS-WIF60003</t>
  </si>
  <si>
    <t>G107430148HS</t>
  </si>
  <si>
    <t>대전전민고등학교</t>
  </si>
  <si>
    <t>G107430148HS-WIF60002</t>
  </si>
  <si>
    <t>구형AP</t>
  </si>
  <si>
    <t>G107430149HS</t>
  </si>
  <si>
    <t>대전지족고등학교</t>
  </si>
  <si>
    <t>G107430149HS-WIF60001</t>
  </si>
  <si>
    <t>G107430150HS</t>
  </si>
  <si>
    <t>대전구봉고등학교</t>
  </si>
  <si>
    <t>G107430150HS-WIF60002</t>
  </si>
  <si>
    <t>G107430237HS</t>
  </si>
  <si>
    <t>대전괴정고등학교</t>
  </si>
  <si>
    <t>G107430237HS-WIF60005</t>
  </si>
  <si>
    <t>G107430238HS</t>
  </si>
  <si>
    <t>대전반석고등학교</t>
  </si>
  <si>
    <t>G107430238HS-WIF60001</t>
  </si>
  <si>
    <t>G107430240HS</t>
  </si>
  <si>
    <t>대전이문고등학교</t>
  </si>
  <si>
    <t>G107430240HS-WIF60009</t>
  </si>
  <si>
    <t>G107430242HS</t>
  </si>
  <si>
    <t>대전제일고등학교</t>
  </si>
  <si>
    <t>G107430242HS-WIF60003</t>
  </si>
  <si>
    <t>G107430244HS</t>
  </si>
  <si>
    <t>동방고등학교</t>
  </si>
  <si>
    <t>G107430244HS-WIF60007</t>
  </si>
  <si>
    <t>G107430252HS</t>
  </si>
  <si>
    <t>대전국제통상고등학교</t>
  </si>
  <si>
    <t>G107430252HS-WIF60001</t>
  </si>
  <si>
    <t>G107430253HS</t>
  </si>
  <si>
    <t>대전복수고등학교</t>
  </si>
  <si>
    <t>G107430253HS-WIF60001</t>
  </si>
  <si>
    <t>G107430256HS</t>
  </si>
  <si>
    <t>동아마이스터고등학교</t>
  </si>
  <si>
    <t>G107430256HS-WIF60001</t>
  </si>
  <si>
    <t>G107430290HS</t>
  </si>
  <si>
    <t>대전도안고등학교</t>
  </si>
  <si>
    <t>G107430290HS-WIF60001</t>
  </si>
  <si>
    <t>G107430310HS</t>
  </si>
  <si>
    <t>대덕소프트웨어마이스터고등학교</t>
  </si>
  <si>
    <t>G107430310HS-WIF60002</t>
  </si>
  <si>
    <t>G107430325HS</t>
  </si>
  <si>
    <t>대전대성고등학교</t>
  </si>
  <si>
    <t>G107430325HS-WIF60001</t>
  </si>
  <si>
    <t>G107430326HS</t>
  </si>
  <si>
    <t>대전대성여자고등학교</t>
  </si>
  <si>
    <t>G107430326HS-WIF60012</t>
  </si>
  <si>
    <t>G107441012MS</t>
  </si>
  <si>
    <t>대전가양중학교</t>
  </si>
  <si>
    <t>G107441012MS-WIF60001</t>
  </si>
  <si>
    <t>G107441014MS</t>
  </si>
  <si>
    <t>대전글꽃중학교</t>
  </si>
  <si>
    <t>G107441014MS-WIF60001</t>
  </si>
  <si>
    <t>G107441015MS</t>
  </si>
  <si>
    <t>대전대문중학교</t>
  </si>
  <si>
    <t>G107441015MS-WIF60001</t>
  </si>
  <si>
    <t>G107441016MS</t>
  </si>
  <si>
    <t>대전대청중학교</t>
  </si>
  <si>
    <t>G107441016MS-WIF60001</t>
  </si>
  <si>
    <t>G107441021MS</t>
  </si>
  <si>
    <t>대전법동중학교</t>
  </si>
  <si>
    <t>G107441021MS-WIF50001</t>
  </si>
  <si>
    <t>G107441024MS</t>
  </si>
  <si>
    <t>대전용운중학교</t>
  </si>
  <si>
    <t>G107441024MS-WIF60001</t>
  </si>
  <si>
    <t>G107441025MS</t>
  </si>
  <si>
    <t>대전용전중학교</t>
  </si>
  <si>
    <t>G107441025MS-WIF60001</t>
  </si>
  <si>
    <t>G107441028MS</t>
  </si>
  <si>
    <t>대전중앙중학교</t>
  </si>
  <si>
    <t>G107441028MS-WIF60005</t>
  </si>
  <si>
    <t>G107441029MS</t>
  </si>
  <si>
    <t>대전중학교</t>
  </si>
  <si>
    <t>G107441029MS-WIF60001</t>
  </si>
  <si>
    <t>G107441030MS</t>
  </si>
  <si>
    <t>대전태평중학교</t>
  </si>
  <si>
    <t>G107441030MS-WIF60001</t>
  </si>
  <si>
    <t>G107441031MS</t>
  </si>
  <si>
    <t>동대전중학교</t>
  </si>
  <si>
    <t>G107441031MS-WIF50001</t>
  </si>
  <si>
    <t>G107441032MS</t>
  </si>
  <si>
    <t>동명중학교</t>
  </si>
  <si>
    <t>G107441032MS-WIF60003</t>
  </si>
  <si>
    <t>G107441034MS</t>
  </si>
  <si>
    <t>보문중학교</t>
  </si>
  <si>
    <t>G107441034MS-WIF60002</t>
  </si>
  <si>
    <t>G107441036MS</t>
  </si>
  <si>
    <t>신탄중앙중학교</t>
  </si>
  <si>
    <t>G107441036MS-WIF60001</t>
  </si>
  <si>
    <t>G107441037MS</t>
  </si>
  <si>
    <t>신탄진중학교</t>
  </si>
  <si>
    <t>G107441037MS-WIF60001</t>
  </si>
  <si>
    <t>G107441038MS</t>
  </si>
  <si>
    <t>오정중학교</t>
  </si>
  <si>
    <t>G107441038MS-WIF60001</t>
  </si>
  <si>
    <t>G107441039MS</t>
  </si>
  <si>
    <t>우송중학교</t>
  </si>
  <si>
    <t>G107441039MS-WIF60001</t>
  </si>
  <si>
    <t>G107441044MS</t>
  </si>
  <si>
    <t>한밭여자중학교</t>
  </si>
  <si>
    <t>G107441044MS-WIF50001</t>
  </si>
  <si>
    <t>G107441045MS</t>
  </si>
  <si>
    <t>한밭중학교</t>
  </si>
  <si>
    <t>G107441045MS-WIF60004</t>
  </si>
  <si>
    <t>G107441051ES</t>
  </si>
  <si>
    <t>대전대동초등학교</t>
  </si>
  <si>
    <t>G107441051ES-WIF60001</t>
  </si>
  <si>
    <t>G107441052ES</t>
  </si>
  <si>
    <t>대전대룡초등학교</t>
  </si>
  <si>
    <t>G107441052ES-WIF50001</t>
  </si>
  <si>
    <t>G107441059ES</t>
  </si>
  <si>
    <t>대전동광초등학교</t>
  </si>
  <si>
    <t>G107441059ES-WIF60009</t>
  </si>
  <si>
    <t>G107441060ES</t>
  </si>
  <si>
    <t>대전동도초등학교</t>
  </si>
  <si>
    <t>G107441060ES-WIF60003</t>
  </si>
  <si>
    <t>G107441061ES</t>
  </si>
  <si>
    <t>대전동문초등학교</t>
  </si>
  <si>
    <t>G107441061ES-WIF60001</t>
  </si>
  <si>
    <t>G107441062ES</t>
  </si>
  <si>
    <t>대전동산초등학교</t>
  </si>
  <si>
    <t>G107441062ES-WIF50001</t>
  </si>
  <si>
    <t>G107441067ES</t>
  </si>
  <si>
    <t>대전목양초등학교</t>
  </si>
  <si>
    <t>G107441067ES-WIF60003</t>
  </si>
  <si>
    <t>G107441069ES</t>
  </si>
  <si>
    <t>대전문창초등학교</t>
  </si>
  <si>
    <t>G107441069ES-WIF60001</t>
  </si>
  <si>
    <t>G107441073ES</t>
  </si>
  <si>
    <t>대전보성초등학교</t>
  </si>
  <si>
    <t>G107441073ES-WIF60001</t>
  </si>
  <si>
    <t>G107441080ES</t>
  </si>
  <si>
    <t>대전선화초등학교</t>
  </si>
  <si>
    <t>G107441080ES-WIF60005</t>
  </si>
  <si>
    <t>G107441081ES</t>
  </si>
  <si>
    <t>대전성남초등학교</t>
  </si>
  <si>
    <t>G107441081ES-WIF60001</t>
  </si>
  <si>
    <t>G107441083ES</t>
  </si>
  <si>
    <t>대전송촌초등학교</t>
  </si>
  <si>
    <t>G107441083ES-WIF60001</t>
  </si>
  <si>
    <t>G107441086ES</t>
  </si>
  <si>
    <t>대전양지초등학교</t>
  </si>
  <si>
    <t>G107441086ES-WIF60001</t>
  </si>
  <si>
    <t>G107441091ES</t>
  </si>
  <si>
    <t>대전원평초등학교</t>
  </si>
  <si>
    <t>G107441091ES-WIF60001</t>
  </si>
  <si>
    <t>G107441094ES</t>
  </si>
  <si>
    <t>대전자양초등학교</t>
  </si>
  <si>
    <t>G107441094ES-WIF60002</t>
  </si>
  <si>
    <t>G107441095ES</t>
  </si>
  <si>
    <t>대전중리초등학교</t>
  </si>
  <si>
    <t>G107441095ES-WIF60001</t>
  </si>
  <si>
    <t>G107441098ES</t>
  </si>
  <si>
    <t>대전중촌초등학교</t>
  </si>
  <si>
    <t>G107441098ES-WIF60003</t>
  </si>
  <si>
    <t>G107441099ES</t>
  </si>
  <si>
    <t>대전천동초등학교</t>
  </si>
  <si>
    <t>G107441099ES-WIF60002</t>
  </si>
  <si>
    <t>G107441100ES</t>
  </si>
  <si>
    <t>대전태평초등학교</t>
  </si>
  <si>
    <t>G107441100ES-WIF60002</t>
  </si>
  <si>
    <t>G107441101ES</t>
  </si>
  <si>
    <t>대전판암초등학교</t>
  </si>
  <si>
    <t>G107441101ES-WIF60004</t>
  </si>
  <si>
    <t>G107441104ES</t>
  </si>
  <si>
    <t>대전흥룡초등학교</t>
  </si>
  <si>
    <t>G107441104ES-WIF60002</t>
  </si>
  <si>
    <t>G107441105ES</t>
  </si>
  <si>
    <t>동대전초등학교</t>
  </si>
  <si>
    <t>G107441105ES-WIF60001</t>
  </si>
  <si>
    <t>G107441113ES</t>
  </si>
  <si>
    <t>신탄진용정초등학교</t>
  </si>
  <si>
    <t>G107441113ES-WIF60001</t>
  </si>
  <si>
    <t>G107441116ES</t>
  </si>
  <si>
    <t>장동초등학교</t>
  </si>
  <si>
    <t>G107441116ES-WIF60001</t>
  </si>
  <si>
    <t>G107441256ES</t>
  </si>
  <si>
    <t>대전새여울초등학교</t>
  </si>
  <si>
    <t>G107441256ES-WIF60001</t>
  </si>
  <si>
    <t>G107441263MS</t>
  </si>
  <si>
    <t>대전대성여자중학교</t>
  </si>
  <si>
    <t>G107441263MS-WIF60001</t>
  </si>
  <si>
    <t>G107441264MS</t>
  </si>
  <si>
    <t>대전대성중학교</t>
  </si>
  <si>
    <t>G107441264MS-WIF60001</t>
  </si>
  <si>
    <t>G107441266MS</t>
  </si>
  <si>
    <t>대전경덕중학교</t>
  </si>
  <si>
    <t>G107441266MS-WIF60001</t>
  </si>
  <si>
    <t>G107451009MS</t>
  </si>
  <si>
    <t>가수원중학교</t>
  </si>
  <si>
    <t>G107451009MS-WIF60001</t>
  </si>
  <si>
    <t>G107451011MS</t>
  </si>
  <si>
    <t>기성중학교</t>
  </si>
  <si>
    <t>G107451011MS-WIF60001</t>
  </si>
  <si>
    <t>G107451012MS</t>
  </si>
  <si>
    <t>대덕중학교</t>
  </si>
  <si>
    <t>G107451012MS-WIF60001</t>
  </si>
  <si>
    <t>G107451013MS</t>
  </si>
  <si>
    <t>대전갑천중학교</t>
  </si>
  <si>
    <t>G107451013MS-WIF60001</t>
  </si>
  <si>
    <t>G107451014MS</t>
  </si>
  <si>
    <t>대전관저중학교</t>
  </si>
  <si>
    <t>G107451014MS-WIF60001</t>
  </si>
  <si>
    <t>G107451015MS</t>
  </si>
  <si>
    <t>대전관평중학교</t>
  </si>
  <si>
    <t>G107451015MS-WIF60001</t>
  </si>
  <si>
    <t>누락</t>
  </si>
  <si>
    <t>G107451016MS</t>
  </si>
  <si>
    <t>대전괴정중학교</t>
  </si>
  <si>
    <t>G107451016MS-WIF60002</t>
  </si>
  <si>
    <t>G107451017MS</t>
  </si>
  <si>
    <t>대전구봉중학교</t>
  </si>
  <si>
    <t>G107451017MS-WIF60001</t>
  </si>
  <si>
    <t>G107451018MS</t>
  </si>
  <si>
    <t>대전남선중학교</t>
  </si>
  <si>
    <t>G107451018MS-WIF60005</t>
  </si>
  <si>
    <t>G107451019MS</t>
  </si>
  <si>
    <t>대전내동중학교</t>
  </si>
  <si>
    <t>G107451019MS-WIF60001</t>
  </si>
  <si>
    <t>G107451021MS</t>
  </si>
  <si>
    <t>대전느리울중학교</t>
  </si>
  <si>
    <t>G107451021MS-WIF60005</t>
  </si>
  <si>
    <t>G107451022MS</t>
  </si>
  <si>
    <t>대전대신중학교</t>
  </si>
  <si>
    <t>G107451022MS-WIF60001</t>
  </si>
  <si>
    <t>G107451023MS</t>
  </si>
  <si>
    <t>대전도마중학교</t>
  </si>
  <si>
    <t>G107451023MS-WIF60003</t>
  </si>
  <si>
    <t>G107451024MS</t>
  </si>
  <si>
    <t>대전동화중학교</t>
  </si>
  <si>
    <t>G107451024MS-WIF60003</t>
  </si>
  <si>
    <t>G107451025MS</t>
  </si>
  <si>
    <t>대전두리중학교</t>
  </si>
  <si>
    <t>G107451025MS-WIF60001</t>
  </si>
  <si>
    <t>G107451026MS</t>
  </si>
  <si>
    <t>대전둔산중학교</t>
  </si>
  <si>
    <t>G107451026MS-WIF60001</t>
  </si>
  <si>
    <t>G107451027MS</t>
  </si>
  <si>
    <t>대전둔원중학교</t>
  </si>
  <si>
    <t>G107451027MS-WIF60001</t>
  </si>
  <si>
    <t>G107451028MS</t>
  </si>
  <si>
    <t>대전만년중학교</t>
  </si>
  <si>
    <t>G107451028MS-WIF60002</t>
  </si>
  <si>
    <t>G107451029MS</t>
  </si>
  <si>
    <t>대전문정중학교</t>
  </si>
  <si>
    <t>G107451029MS-WIF60001</t>
  </si>
  <si>
    <t>G107451030MS</t>
  </si>
  <si>
    <t>대전문지중학교</t>
  </si>
  <si>
    <t>G107451030MS-WIF60001</t>
  </si>
  <si>
    <t>G107451031MS</t>
  </si>
  <si>
    <t>대전버드내중학교</t>
  </si>
  <si>
    <t>G107451031MS-WIF60002</t>
  </si>
  <si>
    <t>G107451032MS</t>
  </si>
  <si>
    <t>대전변동중학교</t>
  </si>
  <si>
    <t>G107451032MS-WIF60005</t>
  </si>
  <si>
    <t>G107451033MS</t>
  </si>
  <si>
    <t>대전봉산중학교</t>
  </si>
  <si>
    <t>G107451033MS-WIF60001</t>
  </si>
  <si>
    <t>G107451034MS</t>
  </si>
  <si>
    <t>대전봉우중학교</t>
  </si>
  <si>
    <t>G107451034MS-WIF60001</t>
  </si>
  <si>
    <t>G107451035MS</t>
  </si>
  <si>
    <t>대전삼육중학교</t>
  </si>
  <si>
    <t>G107451035MS-WIF60002</t>
  </si>
  <si>
    <t>G107451037MS</t>
  </si>
  <si>
    <t>대전서중학교</t>
  </si>
  <si>
    <t>G107451037MS-WIF60001</t>
  </si>
  <si>
    <t>G107451039MS</t>
  </si>
  <si>
    <t>대전신계중학교</t>
  </si>
  <si>
    <t>G107451039MS-WIF60006</t>
  </si>
  <si>
    <t>G107451040MS</t>
  </si>
  <si>
    <t>대전어은중학교</t>
  </si>
  <si>
    <t>G107451040MS-WIF60001</t>
  </si>
  <si>
    <t>G107451041MS</t>
  </si>
  <si>
    <t>대전외삼중학교</t>
  </si>
  <si>
    <t>G107451041MS-WIF60001</t>
  </si>
  <si>
    <t>G107451044MS</t>
  </si>
  <si>
    <t>대전장대중학교</t>
  </si>
  <si>
    <t>G107451044MS-WIF60001</t>
  </si>
  <si>
    <t>G107451045MS</t>
  </si>
  <si>
    <t>대전전민중학교</t>
  </si>
  <si>
    <t>G107451045MS-WIF60002</t>
  </si>
  <si>
    <t>G107451049MS</t>
  </si>
  <si>
    <t>대전체육중학교</t>
  </si>
  <si>
    <t>G107451049MS-WIF60001</t>
  </si>
  <si>
    <t>G107451050MS</t>
  </si>
  <si>
    <t>대전탄방중학교</t>
  </si>
  <si>
    <t>G107451050MS-WIF60001</t>
  </si>
  <si>
    <t>G107451051MS</t>
  </si>
  <si>
    <t>대전하기중학교</t>
  </si>
  <si>
    <t>G107451051MS-WIF60002</t>
  </si>
  <si>
    <t>G107451053MS</t>
  </si>
  <si>
    <t>성덕중학교</t>
  </si>
  <si>
    <t>G107451053MS-WIF60001</t>
  </si>
  <si>
    <t>G107451054MS</t>
  </si>
  <si>
    <t>유성중학교</t>
  </si>
  <si>
    <t>G107451054MS-WIF60001</t>
  </si>
  <si>
    <t>G107451055MS</t>
  </si>
  <si>
    <t>진잠중학교</t>
  </si>
  <si>
    <t>G107451055MS-WIF50003</t>
  </si>
  <si>
    <t>G107451057ES</t>
  </si>
  <si>
    <t>가수원초등학교</t>
  </si>
  <si>
    <t>G107451057ES-WIF60002</t>
  </si>
  <si>
    <t>G107451059ES</t>
  </si>
  <si>
    <t>금성초등학교</t>
  </si>
  <si>
    <t>G107451059ES-WIF60001</t>
  </si>
  <si>
    <t>G107451061ES</t>
  </si>
  <si>
    <t>기성초등학교길헌분교장</t>
  </si>
  <si>
    <t>G107451061ES-WIF60002</t>
  </si>
  <si>
    <t>G107451063ES</t>
  </si>
  <si>
    <t>대덕초등학교</t>
  </si>
  <si>
    <t>G107451063ES-WIF60003</t>
  </si>
  <si>
    <t>G107451065ES</t>
  </si>
  <si>
    <t>대전가장초등학교</t>
  </si>
  <si>
    <t>G107451065ES-WIF60001</t>
  </si>
  <si>
    <t>G107451066ES</t>
  </si>
  <si>
    <t>대전갈마초등학교</t>
  </si>
  <si>
    <t>G107451066ES-WIF60001</t>
  </si>
  <si>
    <t>G107451068ES</t>
  </si>
  <si>
    <t>대전관저초등학교</t>
  </si>
  <si>
    <t>G107451068ES-WIF50001</t>
  </si>
  <si>
    <t>G107451069ES</t>
  </si>
  <si>
    <t>대전관평초등학교</t>
  </si>
  <si>
    <t>G107451069ES-WIF50001</t>
  </si>
  <si>
    <t>G107451070ES</t>
  </si>
  <si>
    <t>대전교촌초등학교</t>
  </si>
  <si>
    <t>G107451070ES-WIF60001</t>
  </si>
  <si>
    <t>G107451071ES</t>
  </si>
  <si>
    <t>대전구봉초등학교</t>
  </si>
  <si>
    <t>G107451071ES-WIF60001</t>
  </si>
  <si>
    <t>G107451073ES</t>
  </si>
  <si>
    <t>대전내동초등학교</t>
  </si>
  <si>
    <t>G107451073ES-WIF60004</t>
  </si>
  <si>
    <t>G107451074ES</t>
  </si>
  <si>
    <t>대전노은초등학교</t>
  </si>
  <si>
    <t>G107451074ES-WIF60001</t>
  </si>
  <si>
    <t>G107451075ES</t>
  </si>
  <si>
    <t>대전느리울초등학교</t>
  </si>
  <si>
    <t>G107451075ES-WIF60004</t>
  </si>
  <si>
    <t>G107451076ES</t>
  </si>
  <si>
    <t>대전대정초등학교</t>
  </si>
  <si>
    <t>G107451076ES-WIF60001</t>
  </si>
  <si>
    <t>G107451079ES</t>
  </si>
  <si>
    <t>대전두리초등학교</t>
  </si>
  <si>
    <t>G107451079ES-WIF50001</t>
  </si>
  <si>
    <t>G107451080ES</t>
  </si>
  <si>
    <t>대전둔산초등학교</t>
  </si>
  <si>
    <t>G107451080ES-WIF50004</t>
  </si>
  <si>
    <t>G107451081ES</t>
  </si>
  <si>
    <t>대전둔원초등학교</t>
  </si>
  <si>
    <t>G107451081ES-WIF50001</t>
  </si>
  <si>
    <t>G107451084ES</t>
  </si>
  <si>
    <t>대전문정초등학교</t>
  </si>
  <si>
    <t>G107451084ES-WIF60001</t>
  </si>
  <si>
    <t>G107451085ES</t>
  </si>
  <si>
    <t>대전반석초등학교</t>
  </si>
  <si>
    <t>G107451085ES-WIF60005</t>
  </si>
  <si>
    <t>G107451086ES</t>
  </si>
  <si>
    <t>대전배울초등학교</t>
  </si>
  <si>
    <t>G107451086ES-WIF60003</t>
  </si>
  <si>
    <t>G107451087ES</t>
  </si>
  <si>
    <t>대전백운초등학교</t>
  </si>
  <si>
    <t>G107451087ES-WIF60004</t>
  </si>
  <si>
    <t>G107451090ES</t>
  </si>
  <si>
    <t>대전봉산초등학교</t>
  </si>
  <si>
    <t>G107451090ES-WIF60001</t>
  </si>
  <si>
    <t>G107451091ES</t>
  </si>
  <si>
    <t>대전삼육초등학교</t>
  </si>
  <si>
    <t>G107451091ES-WIF60001</t>
  </si>
  <si>
    <t>G107451092ES</t>
  </si>
  <si>
    <t>대전삼천초등학교</t>
  </si>
  <si>
    <t>G107451092ES-WIF60001</t>
  </si>
  <si>
    <t>G107451093ES</t>
  </si>
  <si>
    <t>대전상대초등학교</t>
  </si>
  <si>
    <t>G107451093ES-WIF60003</t>
  </si>
  <si>
    <t>G107451094ES</t>
  </si>
  <si>
    <t>대전상지초등학교</t>
  </si>
  <si>
    <t>G107451094ES-WIF60001</t>
  </si>
  <si>
    <t>G107451096ES</t>
  </si>
  <si>
    <t>대전서부초등학교</t>
  </si>
  <si>
    <t>G107451096ES-WIF50001</t>
  </si>
  <si>
    <t>G107451097ES</t>
  </si>
  <si>
    <t>대전서원초등학교</t>
  </si>
  <si>
    <t>G107451097ES-WIF60001</t>
  </si>
  <si>
    <t>G107451098ES</t>
  </si>
  <si>
    <t>대전선암초등학교</t>
  </si>
  <si>
    <t>G107451098ES-WIF60001</t>
  </si>
  <si>
    <t>G107451100ES</t>
  </si>
  <si>
    <t>대전성천초등학교</t>
  </si>
  <si>
    <t>G107451100ES-WIF60001</t>
  </si>
  <si>
    <t>G107451101ES</t>
  </si>
  <si>
    <t>대전송강초등학교</t>
  </si>
  <si>
    <t>G107451101ES-WIF60002</t>
  </si>
  <si>
    <t>G107451102ES</t>
  </si>
  <si>
    <t>대전송림초등학교</t>
  </si>
  <si>
    <t>G107451102ES-WIF60001</t>
  </si>
  <si>
    <t>G107451103ES</t>
  </si>
  <si>
    <t>대전수미초등학교</t>
  </si>
  <si>
    <t>G107451103ES-WIF60001</t>
  </si>
  <si>
    <t>G107451105ES</t>
  </si>
  <si>
    <t>대전신계초등학교</t>
  </si>
  <si>
    <t>G107451105ES-WIF50001</t>
  </si>
  <si>
    <t>G107451108ES</t>
  </si>
  <si>
    <t>대전원앙초등학교</t>
  </si>
  <si>
    <t>G107451108ES-WIF60003</t>
  </si>
  <si>
    <t>G107451110ES</t>
  </si>
  <si>
    <t>대전유천초등학교</t>
  </si>
  <si>
    <t>G107451110ES-WIF60001</t>
  </si>
  <si>
    <t>G107451113ES</t>
  </si>
  <si>
    <t>대전전민초등학교</t>
  </si>
  <si>
    <t>G107451113ES-WIF60001</t>
  </si>
  <si>
    <t>G107451115ES</t>
  </si>
  <si>
    <t>대전지족초등학교</t>
  </si>
  <si>
    <t>G107451115ES-WIF60002</t>
  </si>
  <si>
    <t>G107451116ES</t>
  </si>
  <si>
    <t>대전탄방초등학교</t>
  </si>
  <si>
    <t>G107451116ES-WIF60001</t>
  </si>
  <si>
    <t>G107451117ES</t>
  </si>
  <si>
    <t>대전하기초등학교</t>
  </si>
  <si>
    <t>G107451117ES-WIF60002</t>
  </si>
  <si>
    <t>G107451118ES</t>
  </si>
  <si>
    <t>덕송초등학교</t>
  </si>
  <si>
    <t>G107451118ES-WIF60001</t>
  </si>
  <si>
    <t>G107451121ES</t>
  </si>
  <si>
    <t>외삼초등학교</t>
  </si>
  <si>
    <t>G107451121ES-WIF60001</t>
  </si>
  <si>
    <t>G107451122ES</t>
  </si>
  <si>
    <t>유성초등학교</t>
  </si>
  <si>
    <t>G107451122ES-WIF60001</t>
  </si>
  <si>
    <t>G107451124ES</t>
  </si>
  <si>
    <t>학하초등학교</t>
  </si>
  <si>
    <t>G107451124ES-WIF60001</t>
  </si>
  <si>
    <t>G107451125ES</t>
  </si>
  <si>
    <t>한밭초등학교</t>
  </si>
  <si>
    <t>G107451125ES-WIF60001</t>
  </si>
  <si>
    <t>G107451126ES</t>
  </si>
  <si>
    <t>흥도초등학교</t>
  </si>
  <si>
    <t>G107451126ES-WIF60001</t>
  </si>
  <si>
    <t>G107451255MS</t>
  </si>
  <si>
    <t>대전봉명중학교</t>
  </si>
  <si>
    <t>G107451255MS-WIF60005</t>
  </si>
  <si>
    <t>G107451256ES</t>
  </si>
  <si>
    <t>대전봉명초등학교</t>
  </si>
  <si>
    <t>G107451256ES-WIF60001</t>
  </si>
  <si>
    <t>G107451257ES</t>
  </si>
  <si>
    <t>대전원신흥초등학교</t>
  </si>
  <si>
    <t>G107451257ES-WIF60006</t>
  </si>
  <si>
    <t>G107451258ES</t>
  </si>
  <si>
    <t>대전도안초등학교</t>
  </si>
  <si>
    <t>G107451258ES-WIF60008</t>
  </si>
  <si>
    <t>G107451263ES</t>
  </si>
  <si>
    <t>대전상원초등학교</t>
  </si>
  <si>
    <t>G107451263ES-WIF50001</t>
  </si>
  <si>
    <t>G107451265MS</t>
  </si>
  <si>
    <t>대전도안중학교</t>
  </si>
  <si>
    <t>G107451265MS-WIF60001</t>
  </si>
  <si>
    <t>G107451266MS</t>
  </si>
  <si>
    <t>대전덕명중학교</t>
  </si>
  <si>
    <t>G107451266MS-WIF60001</t>
  </si>
  <si>
    <t>G107451303MS</t>
  </si>
  <si>
    <t>대전새미래중학교</t>
  </si>
  <si>
    <t>G107451303MS-WIF60001</t>
  </si>
  <si>
    <t>G107451309ES</t>
  </si>
  <si>
    <t>대전도솔초등학교</t>
  </si>
  <si>
    <t>G107451309ES-WIF60004</t>
  </si>
  <si>
    <t>G107451324ES</t>
  </si>
  <si>
    <t>대전죽동초등학교</t>
  </si>
  <si>
    <t>G107451324ES-WIF60001</t>
  </si>
  <si>
    <t>G107451327ES</t>
  </si>
  <si>
    <t>대전선유초등학교</t>
  </si>
  <si>
    <t>G107451327ES-WIF60003</t>
  </si>
  <si>
    <t>G107451340ES</t>
  </si>
  <si>
    <t>대전호수초등학교</t>
  </si>
  <si>
    <t>G107451340ES-WIF60001</t>
  </si>
  <si>
    <t>G107451344ES</t>
  </si>
  <si>
    <t>대전원신흥초등학교복용분교장</t>
  </si>
  <si>
    <t>G107451344ES-WIF60001</t>
  </si>
  <si>
    <t>G107451347ES</t>
  </si>
  <si>
    <t>대전복용초등학교</t>
  </si>
  <si>
    <t>G107451347ES-WIF6E001</t>
  </si>
  <si>
    <t>G107451350MS</t>
  </si>
  <si>
    <t>대전둔곡중학교</t>
  </si>
  <si>
    <t>G107451350MS-WIF6E008</t>
  </si>
  <si>
    <t>G107451353ES</t>
  </si>
  <si>
    <t>대전탄방초등학교용문분교장</t>
  </si>
  <si>
    <t>G107451353ES-WIF70001</t>
  </si>
  <si>
    <t>장비개수</t>
  </si>
  <si>
    <t>Avg Throughput (Mbps)</t>
  </si>
  <si>
    <t>Avg Loss Ratio</t>
  </si>
  <si>
    <t>Avg Latency (ms)</t>
  </si>
  <si>
    <t>Avg Jitter (ns)</t>
  </si>
  <si>
    <t>진단결과</t>
  </si>
  <si>
    <t>G107451010MS</t>
  </si>
  <si>
    <t>갈마중학교</t>
  </si>
  <si>
    <t>G107430324HS</t>
  </si>
  <si>
    <t>계룡디지텍고등학교</t>
  </si>
  <si>
    <t>G107451058ES</t>
  </si>
  <si>
    <t>구즉초등학교</t>
  </si>
  <si>
    <t>G107451060ES</t>
  </si>
  <si>
    <t>기성초등학교</t>
  </si>
  <si>
    <t>G107430046HS</t>
  </si>
  <si>
    <t>남대전고등학교</t>
  </si>
  <si>
    <t>G107451062ES</t>
  </si>
  <si>
    <t>남선초등학교</t>
  </si>
  <si>
    <t>G107451064ES</t>
  </si>
  <si>
    <t>대덕초등학교도룡분교장</t>
  </si>
  <si>
    <t>G107441048ES</t>
  </si>
  <si>
    <t>대전가양초등학교</t>
  </si>
  <si>
    <t>G107430241HS</t>
  </si>
  <si>
    <t>대전가오고등학교</t>
  </si>
  <si>
    <t>G107441013MS</t>
  </si>
  <si>
    <t>대전가오중학교</t>
  </si>
  <si>
    <t>G107441049ES</t>
  </si>
  <si>
    <t>대전가오초등학교</t>
  </si>
  <si>
    <t>G107430281SS</t>
  </si>
  <si>
    <t>대전가원학교</t>
  </si>
  <si>
    <t>G107451067ES</t>
  </si>
  <si>
    <t>대전갑천초등학교</t>
  </si>
  <si>
    <t>G107451264ES</t>
  </si>
  <si>
    <t>대전계산초등학교</t>
  </si>
  <si>
    <t>G107430031HS</t>
  </si>
  <si>
    <t>대전고등학교</t>
  </si>
  <si>
    <t>G107441050ES</t>
  </si>
  <si>
    <t>대전글꽃초등학교</t>
  </si>
  <si>
    <t>G107451072ES</t>
  </si>
  <si>
    <t>대전금동초등학교</t>
  </si>
  <si>
    <t>G107451020MS</t>
  </si>
  <si>
    <t>대전노은중학교</t>
  </si>
  <si>
    <t>G107441053ES</t>
  </si>
  <si>
    <t>대전대문초등학교</t>
  </si>
  <si>
    <t>G107430048HS</t>
  </si>
  <si>
    <t>대전대신고등학교</t>
  </si>
  <si>
    <t>G107441054ES</t>
  </si>
  <si>
    <t>대전대신초등학교</t>
  </si>
  <si>
    <t>G107441055ES</t>
  </si>
  <si>
    <t>대전대암초등학교</t>
  </si>
  <si>
    <t>G107441056ES</t>
  </si>
  <si>
    <t>대전대양초등학교</t>
  </si>
  <si>
    <t>G107441017MS</t>
  </si>
  <si>
    <t>대전대화중학교</t>
  </si>
  <si>
    <t>G107441057ES</t>
  </si>
  <si>
    <t>대전대화초등학교</t>
  </si>
  <si>
    <t>G107441058ES</t>
  </si>
  <si>
    <t>대전대흥초등학교</t>
  </si>
  <si>
    <t>G107451077ES</t>
  </si>
  <si>
    <t>대전도마초등학교</t>
  </si>
  <si>
    <t>G107430351HS</t>
  </si>
  <si>
    <t>대전도시과학고등학교</t>
  </si>
  <si>
    <t>G107441018MS</t>
  </si>
  <si>
    <t>대전동산중학교</t>
  </si>
  <si>
    <t>G107441063ES</t>
  </si>
  <si>
    <t>대전동서초등학교</t>
  </si>
  <si>
    <t>G107430295HS</t>
  </si>
  <si>
    <t>대전동신과학고등학교</t>
  </si>
  <si>
    <t>G107451078ES</t>
  </si>
  <si>
    <t>대전동화초등학교</t>
  </si>
  <si>
    <t>G107451349ES</t>
  </si>
  <si>
    <t>대전둔곡초등학교</t>
  </si>
  <si>
    <t>G107451082ES</t>
  </si>
  <si>
    <t>대전둔천초등학교</t>
  </si>
  <si>
    <t>G107451083ES</t>
  </si>
  <si>
    <t>대전만년초등학교</t>
  </si>
  <si>
    <t>G107441019MS</t>
  </si>
  <si>
    <t>대전매봉중학교</t>
  </si>
  <si>
    <t>G107441064ES</t>
  </si>
  <si>
    <t>대전매봉초등학교</t>
  </si>
  <si>
    <t>G107430110SS</t>
  </si>
  <si>
    <t>대전맹학교</t>
  </si>
  <si>
    <t>G107441065ES</t>
  </si>
  <si>
    <t>대전목동초등학교</t>
  </si>
  <si>
    <t>G107441066ES</t>
  </si>
  <si>
    <t>대전목상초등학교</t>
  </si>
  <si>
    <t>G107441068ES</t>
  </si>
  <si>
    <t>대전문성초등학교</t>
  </si>
  <si>
    <t>G107441020MS</t>
  </si>
  <si>
    <t>대전문화여자중학교</t>
  </si>
  <si>
    <t>G107441070ES</t>
  </si>
  <si>
    <t>대전문화초등학교</t>
  </si>
  <si>
    <t>G107441071ES</t>
  </si>
  <si>
    <t>대전버드내초등학교</t>
  </si>
  <si>
    <t>G107441072ES</t>
  </si>
  <si>
    <t>대전법동초등학교</t>
  </si>
  <si>
    <t>G107451088ES</t>
  </si>
  <si>
    <t>대전변동초등학교</t>
  </si>
  <si>
    <t>G107441074ES</t>
  </si>
  <si>
    <t>대전보운초등학교</t>
  </si>
  <si>
    <t>G107451089ES</t>
  </si>
  <si>
    <t>대전복수초등학교</t>
  </si>
  <si>
    <t>G107441075ES</t>
  </si>
  <si>
    <t>대전비래초등학교</t>
  </si>
  <si>
    <t>G107441076ES</t>
  </si>
  <si>
    <t>대전산성초등학교</t>
  </si>
  <si>
    <t>G107430322VH</t>
  </si>
  <si>
    <t>대전산업정보고등학교</t>
  </si>
  <si>
    <t>G107441077ES</t>
  </si>
  <si>
    <t>대전삼성초등학교</t>
  </si>
  <si>
    <t>G107451036MS</t>
  </si>
  <si>
    <t>대전삼천중학교</t>
  </si>
  <si>
    <t>G107451311ES</t>
  </si>
  <si>
    <t>대전새미래초등학교</t>
  </si>
  <si>
    <t>G107451095ES</t>
  </si>
  <si>
    <t>대전샘머리초등학교</t>
  </si>
  <si>
    <t>G107430329HS</t>
  </si>
  <si>
    <t>대전생활과학고등학교</t>
  </si>
  <si>
    <t>G107441078ES</t>
  </si>
  <si>
    <t>대전석교초등학교</t>
  </si>
  <si>
    <t>G107441079ES</t>
  </si>
  <si>
    <t>대전석봉초등학교</t>
  </si>
  <si>
    <t>G107451099ES</t>
  </si>
  <si>
    <t>대전성룡초등학교</t>
  </si>
  <si>
    <t>G107430051HS</t>
  </si>
  <si>
    <t>대전성모여자고등학교</t>
  </si>
  <si>
    <t>G107441082ES</t>
  </si>
  <si>
    <t>대전성모초등학교</t>
  </si>
  <si>
    <t>G107430112SS</t>
  </si>
  <si>
    <t>대전성세재활학교</t>
  </si>
  <si>
    <t>G107451038MS</t>
  </si>
  <si>
    <t>대전송강중학교</t>
  </si>
  <si>
    <t>G107430132HS</t>
  </si>
  <si>
    <t>대전송촌고등학교</t>
  </si>
  <si>
    <t>G107441022MS</t>
  </si>
  <si>
    <t>대전송촌중학교</t>
  </si>
  <si>
    <t>G107451104ES</t>
  </si>
  <si>
    <t>대전수정초등학교</t>
  </si>
  <si>
    <t>G107441277MS</t>
  </si>
  <si>
    <t>대전신일중학교</t>
  </si>
  <si>
    <t>G107441084ES</t>
  </si>
  <si>
    <t>대전신평초등학교</t>
  </si>
  <si>
    <t>G107441085ES</t>
  </si>
  <si>
    <t>대전신흥초등학교</t>
  </si>
  <si>
    <t>G107451106ES</t>
  </si>
  <si>
    <t>대전어은초등학교</t>
  </si>
  <si>
    <t>G107430083HS</t>
  </si>
  <si>
    <t>대전여자상업고등학교</t>
  </si>
  <si>
    <t>G107441023MS</t>
  </si>
  <si>
    <t>대전여자중학교</t>
  </si>
  <si>
    <t>G107441087ES</t>
  </si>
  <si>
    <t>대전오류초등학교</t>
  </si>
  <si>
    <t>G107441088ES</t>
  </si>
  <si>
    <t>대전옥계초등학교</t>
  </si>
  <si>
    <t>G107430357VH</t>
  </si>
  <si>
    <t>대전온라인학교</t>
  </si>
  <si>
    <t>G107430239HS</t>
  </si>
  <si>
    <t>대전용산고등학교</t>
  </si>
  <si>
    <t>G107451107ES</t>
  </si>
  <si>
    <t>대전용산초등학교</t>
  </si>
  <si>
    <t>G107441089ES</t>
  </si>
  <si>
    <t>대전용운초등학교</t>
  </si>
  <si>
    <t>G107441090ES</t>
  </si>
  <si>
    <t>대전용전초등학교</t>
  </si>
  <si>
    <t>G107430113SS</t>
  </si>
  <si>
    <t>대전원명학교</t>
  </si>
  <si>
    <t>G107451342MS</t>
  </si>
  <si>
    <t>대전원신흥중학교</t>
  </si>
  <si>
    <t>G107451042MS</t>
  </si>
  <si>
    <t>대전월평중학교</t>
  </si>
  <si>
    <t>G107451109ES</t>
  </si>
  <si>
    <t>대전월평초등학교</t>
  </si>
  <si>
    <t>G107441092ES</t>
  </si>
  <si>
    <t>대전유평초등학교</t>
  </si>
  <si>
    <t>G107441026MS</t>
  </si>
  <si>
    <t>대전은어송중학교</t>
  </si>
  <si>
    <t>G107441093ES</t>
  </si>
  <si>
    <t>대전은어송초등학교</t>
  </si>
  <si>
    <t>G107451043MS</t>
  </si>
  <si>
    <t>대전자운중학교</t>
  </si>
  <si>
    <t>G107451111ES</t>
  </si>
  <si>
    <t>대전자운초등학교</t>
  </si>
  <si>
    <t>G107451112ES</t>
  </si>
  <si>
    <t>대전장대초등학교</t>
  </si>
  <si>
    <t>G107430311HS</t>
  </si>
  <si>
    <t>대전전자디자인고등학교</t>
  </si>
  <si>
    <t>G107451046MS</t>
  </si>
  <si>
    <t>대전정림중학교</t>
  </si>
  <si>
    <t>G107451114ES</t>
  </si>
  <si>
    <t>대전정림초등학교</t>
  </si>
  <si>
    <t>G107430052HS</t>
  </si>
  <si>
    <t>대전중앙고등학교</t>
  </si>
  <si>
    <t>G107441096ES</t>
  </si>
  <si>
    <t>대전중앙초등학교</t>
  </si>
  <si>
    <t>G107441097ES</t>
  </si>
  <si>
    <t>대전중원초등학교</t>
  </si>
  <si>
    <t>G107451048MS</t>
  </si>
  <si>
    <t>대전지족중학교</t>
  </si>
  <si>
    <t>G107430138HS</t>
  </si>
  <si>
    <t>대전한빛고등학교</t>
  </si>
  <si>
    <t>G107430349SS</t>
  </si>
  <si>
    <t>대전해든학교</t>
  </si>
  <si>
    <t>G107441102ES</t>
  </si>
  <si>
    <t>대전현암초등학교</t>
  </si>
  <si>
    <t>G107441103ES</t>
  </si>
  <si>
    <t>대전화정초등학교</t>
  </si>
  <si>
    <t>G107441106ES</t>
  </si>
  <si>
    <t>동명초등학교</t>
  </si>
  <si>
    <t>G107451052MS</t>
  </si>
  <si>
    <t>동방여자중학교</t>
  </si>
  <si>
    <t>G107441033MS</t>
  </si>
  <si>
    <t>동신중학교</t>
  </si>
  <si>
    <t>G107451119ES</t>
  </si>
  <si>
    <t>문지초등학교</t>
  </si>
  <si>
    <t>G107451120ES</t>
  </si>
  <si>
    <t>봉암초등학교</t>
  </si>
  <si>
    <t>G107441107ES</t>
  </si>
  <si>
    <t>산내초등학교</t>
  </si>
  <si>
    <t>G107441108ES</t>
  </si>
  <si>
    <t>산서초등학교</t>
  </si>
  <si>
    <t>G107441109ES</t>
  </si>
  <si>
    <t>산흥초등학교</t>
  </si>
  <si>
    <t>G107441110ES</t>
  </si>
  <si>
    <t>새일초등학교</t>
  </si>
  <si>
    <t>G107430059HS</t>
  </si>
  <si>
    <t>서대전고등학교</t>
  </si>
  <si>
    <t>G107441111ES</t>
  </si>
  <si>
    <t>서대전초등학교</t>
  </si>
  <si>
    <t>G107441112ES</t>
  </si>
  <si>
    <t>세천초등학교</t>
  </si>
  <si>
    <t>G107441114ES</t>
  </si>
  <si>
    <t>신탄진초등학교</t>
  </si>
  <si>
    <t>G107441115ES</t>
  </si>
  <si>
    <t>와동초등학교</t>
  </si>
  <si>
    <t>G107441040MS</t>
  </si>
  <si>
    <t>중리중학교</t>
  </si>
  <si>
    <t>G107451123ES</t>
  </si>
  <si>
    <t>진잠초등학교</t>
  </si>
  <si>
    <t>G107430066HS</t>
  </si>
  <si>
    <t>청란여자고등학교</t>
  </si>
  <si>
    <t>G107441041MS</t>
  </si>
  <si>
    <t>청란여자중학교</t>
  </si>
  <si>
    <t>G107430043HS</t>
  </si>
  <si>
    <t>충남고등학교</t>
  </si>
  <si>
    <t>G107430073HS</t>
  </si>
  <si>
    <t>충남기계공업고등학교</t>
  </si>
  <si>
    <t>G107430044HS</t>
  </si>
  <si>
    <t>충남여자고등학교</t>
  </si>
  <si>
    <t>G107441042MS</t>
  </si>
  <si>
    <t>충남여자중학교</t>
  </si>
  <si>
    <t>G107441043MS</t>
  </si>
  <si>
    <t>충남중학교</t>
  </si>
  <si>
    <t>G107441046MS</t>
  </si>
  <si>
    <t>호수돈여자중학교</t>
  </si>
  <si>
    <t>G107441047MS</t>
  </si>
  <si>
    <t>회덕중학교</t>
  </si>
  <si>
    <t>G107441117ES</t>
  </si>
  <si>
    <t>회덕초등학교</t>
  </si>
  <si>
    <t>다운로드</t>
  </si>
  <si>
    <t>업로드</t>
  </si>
  <si>
    <t>지연</t>
  </si>
  <si>
    <t>2.5G</t>
  </si>
  <si>
    <t>1G</t>
  </si>
  <si>
    <t>5G</t>
  </si>
  <si>
    <t xml:space="preserve"> </t>
  </si>
  <si>
    <t>대전탄방초등학교 용문분교장</t>
  </si>
  <si>
    <t>학교수</t>
  </si>
  <si>
    <t>합계</t>
  </si>
  <si>
    <t>방화벽</t>
  </si>
  <si>
    <t>보안L2/L3</t>
  </si>
  <si>
    <t>L2SW</t>
  </si>
  <si>
    <t>L2SW(100M)</t>
  </si>
  <si>
    <t>광케이블MM</t>
  </si>
  <si>
    <t>광케이블SM</t>
  </si>
  <si>
    <t>Cat6</t>
  </si>
  <si>
    <t>Cat5E</t>
  </si>
  <si>
    <t>Cat5</t>
  </si>
  <si>
    <t>L2SW
(10G)</t>
  </si>
  <si>
    <t>L2PoE
(2.5G
이상)</t>
  </si>
  <si>
    <t>L2PoE
(1G
이상)</t>
  </si>
  <si>
    <t>기타L2/L3</t>
  </si>
  <si>
    <t>무선AP
5 이하</t>
  </si>
  <si>
    <t>무선AP
6 이상</t>
  </si>
  <si>
    <t>광케이블MM_무선</t>
  </si>
  <si>
    <t>광케이블SM_무선</t>
  </si>
  <si>
    <t>Cat6
_무선</t>
  </si>
  <si>
    <t>Cat5E
_무선</t>
  </si>
  <si>
    <t>Cat5
_무선</t>
  </si>
  <si>
    <t>진단대상</t>
  </si>
  <si>
    <t>교육청</t>
  </si>
  <si>
    <t>지역</t>
  </si>
  <si>
    <t>학교유형</t>
  </si>
  <si>
    <t>스쿨넷
회선속도</t>
  </si>
  <si>
    <t>무선망
전용
회선속도</t>
  </si>
  <si>
    <t>망분리현황</t>
  </si>
  <si>
    <t>스쿨넷</t>
  </si>
  <si>
    <t>업무망</t>
  </si>
  <si>
    <t>교육망</t>
  </si>
  <si>
    <t>기타</t>
  </si>
  <si>
    <t>무선망</t>
  </si>
  <si>
    <t>계위 단계수</t>
  </si>
  <si>
    <t>Y</t>
  </si>
  <si>
    <t>대전</t>
  </si>
  <si>
    <t>대덕구</t>
  </si>
  <si>
    <t>O</t>
  </si>
  <si>
    <t>업무망:4계위, 교육망:5계위, 무선망:3계위</t>
  </si>
  <si>
    <t>업무망:5계위, 교육망:4계위, 무선망:3계위</t>
  </si>
  <si>
    <t>X</t>
  </si>
  <si>
    <t>업무망:4계위, 교육망:4계위, 무선망:2계위</t>
  </si>
  <si>
    <t>업무망:5계위, 교육망:2계위, 무선망:3계위</t>
  </si>
  <si>
    <t>업무망:4계위, 교육망:4계위, 무선망:3계위</t>
  </si>
  <si>
    <t>업무망:6계위, 교육망:2계위, 무선망:3계위</t>
  </si>
  <si>
    <t>업무망:5계위, 교육망:4계위, 무선망:2계위</t>
  </si>
  <si>
    <t>업무망:5계위, 교육망:4계위, 무선망:4계위</t>
  </si>
  <si>
    <t>업무망:5계위, 교육망:4계위, 무선망:6계위</t>
  </si>
  <si>
    <t>업무망:7계위, 교육망:4계위, 무선망:3계위</t>
  </si>
  <si>
    <t>업무망:6계위, 교육망:4계위, 무선망:3계위</t>
  </si>
  <si>
    <t>업무망:4계위, 교육망:2계위, 무선망:4계위</t>
  </si>
  <si>
    <t>업무망:4계위, 교육망:5계위, 무선망:4계위</t>
  </si>
  <si>
    <t>업무망:4계위, 교육망:2계위, 무선망:2계위</t>
  </si>
  <si>
    <t>업무망:4계위, 교육망:2계위, 무선망:3계위</t>
  </si>
  <si>
    <t>업무망:6계위, 교육망:5계위, 무선망:3계위</t>
  </si>
  <si>
    <t>업무망:7계위, 교육망:6계위, 무선망:2계위</t>
  </si>
  <si>
    <t>업무망:4계위, 교육망:4계위, 무선망:4계위</t>
  </si>
  <si>
    <t>업무망:7계위, 교육망:5계위, 무선망:2계위</t>
  </si>
  <si>
    <t>업무망:8계위, 교육망:5계위, 무선망:4계위</t>
  </si>
  <si>
    <t>업무망:5계위, 교육망:2계위, 무선망:2계위</t>
  </si>
  <si>
    <t>업무망:5계위, 교육망:5계위, 무선망:3계위</t>
  </si>
  <si>
    <t>동구</t>
  </si>
  <si>
    <t>업무망:4계위, 교육망:6계위, 무선망:3계위</t>
  </si>
  <si>
    <t>업무망:6계위, 교육망:4계위, 무선망:4계위</t>
  </si>
  <si>
    <t>업무망:5계위, 교육망:4계위, 무선망:5계위</t>
  </si>
  <si>
    <t>업무망:4계위, 교육망:5계위, 무선망:2계위</t>
  </si>
  <si>
    <t>업무망:6계위, 교육망:3계위, 무선망:2계위</t>
  </si>
  <si>
    <t>업무망:5계위, 교육망:6계위, 무선망:3계위</t>
  </si>
  <si>
    <t>업무망:2계위, 교육망:5계위, 무선망:3계위</t>
  </si>
  <si>
    <t>업무망:7계위, 교육망:5계위, 무선망:3계위</t>
  </si>
  <si>
    <t>업무망:5계위, 교육망:5계위, 무선망:4계위</t>
  </si>
  <si>
    <t>업무망:6계위, 교육망:4계위, 무선망:2계위</t>
  </si>
  <si>
    <t>업무망:4계위, 교육망:3계위, 무선망:3계위</t>
  </si>
  <si>
    <t>업무망:6계위, 교육망:2계위, 무선망:2계위</t>
  </si>
  <si>
    <t>업무망:9계위, 교육망:5계위, 무선망:3계위</t>
  </si>
  <si>
    <t>서구</t>
  </si>
  <si>
    <t>업무망:6계위, 교육망:3계위, 무선망:4계위</t>
  </si>
  <si>
    <t>업무망:2계위, 교육망:2계위, 무선망:4계위</t>
  </si>
  <si>
    <t>업무망:4계위, 교육망:4계위, 무선망:5계위</t>
  </si>
  <si>
    <t>업무망:5계위, 교육망:5계위, 무선망:2계위</t>
  </si>
  <si>
    <t>업무망:7계위, 교육망:4계위, 무선망:4계위</t>
  </si>
  <si>
    <t>업무망:5계위, 교육망:6계위, 무선망:2계위</t>
  </si>
  <si>
    <t>업무망:5계위, 교육망:7계위, 무선망:3계위</t>
  </si>
  <si>
    <t>업무망:5계위, 교육망:3계위, 무선망:2계위</t>
  </si>
  <si>
    <t>업무망:2계위, 교육망:4계위, 무선망:4계위</t>
  </si>
  <si>
    <t>업무망:5계위, 교육망:4계위, 무선망:7계위</t>
  </si>
  <si>
    <t>업무망:6계위, 교육망:5계위, 무선망:2계위</t>
  </si>
  <si>
    <t>업무망:5계위, 교육망:5계위, 무선망:6계위</t>
  </si>
  <si>
    <t>업무망:4계위, 교육망:6계위, 무선망:4계위</t>
  </si>
  <si>
    <t>업무망:2계위, 교육망:4계위, 무선망:5계위</t>
  </si>
  <si>
    <t>업무망:6계위, 교육망:7계위, 무선망:3계위</t>
  </si>
  <si>
    <t>업무망:8계위, 교육망:5계위, 무선망:3계위</t>
  </si>
  <si>
    <t>유성구</t>
  </si>
  <si>
    <t>업무망:4계위, 교육망:3계위, 무선망:2계위</t>
  </si>
  <si>
    <t>업무망:6계위, 교육망:5계위, 무선망:4계위</t>
  </si>
  <si>
    <t>업무망:2계위, 교육망:2계위, 무선망:3계위</t>
  </si>
  <si>
    <t>업무망:5계위, 교육망:2계위, 무선망:4계위</t>
  </si>
  <si>
    <t>업무망:2계위, 교육망:6계위, 무선망:3계위</t>
  </si>
  <si>
    <t>업무망:7계위, 교육망:4계위, 무선망:2계위</t>
  </si>
  <si>
    <t>업무망:7계위, 교육망:3계위, 무선망:2계위</t>
  </si>
  <si>
    <t>업무망:7계위, 교육망:7계위, 무선망:2계위</t>
  </si>
  <si>
    <t>업무망:4계위, 교육망:6계위, 무선망:2계위</t>
  </si>
  <si>
    <t>중구</t>
  </si>
  <si>
    <t>업무망:7계위, 교육망:3계위, 무선망:3계위</t>
  </si>
  <si>
    <t>L2SW(10G)</t>
  </si>
  <si>
    <t>L2PoE(2.5G이상)</t>
  </si>
  <si>
    <t>L2PoE(1G이상)</t>
  </si>
  <si>
    <t>무선AP5이하</t>
  </si>
  <si>
    <t>무선AP6이상</t>
  </si>
  <si>
    <t>Cat6_무선</t>
  </si>
  <si>
    <t>배포순서</t>
  </si>
  <si>
    <t>사업대상</t>
  </si>
  <si>
    <t>중학교</t>
  </si>
  <si>
    <t>초등학교</t>
  </si>
  <si>
    <t>고등학교</t>
  </si>
  <si>
    <t>특수학교</t>
  </si>
  <si>
    <t>힉교코드</t>
  </si>
  <si>
    <t>학교</t>
  </si>
  <si>
    <t>지역명</t>
  </si>
  <si>
    <t>SM</t>
  </si>
  <si>
    <t>MM</t>
  </si>
  <si>
    <t>UTP Cat.6</t>
  </si>
  <si>
    <t>UTP Cat.5e</t>
  </si>
  <si>
    <t>UTP Cat.5</t>
  </si>
  <si>
    <t>최대사용포트수</t>
  </si>
  <si>
    <t>채널 중첩수</t>
  </si>
  <si>
    <t>n</t>
  </si>
  <si>
    <t>ac</t>
  </si>
  <si>
    <t>ax</t>
  </si>
  <si>
    <t>위치 5</t>
  </si>
  <si>
    <t>위치 5 외</t>
  </si>
  <si>
    <t>다운로드 진단</t>
  </si>
  <si>
    <t>업로드 진단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</si>
</sst>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0.0&quot; Mbps&quot;"/>
    <numFmt numFmtId="177" formatCode="0.0\ &quot;ms&quot;"/>
    <numFmt numFmtId="180" formatCode="#,##0_);[Red]\(#,##0\)"/>
    <numFmt numFmtId="181" formatCode="0.0%"/>
    <numFmt numFmtId="182" formatCode="0.0"/>
    <numFmt numFmtId="183" formatCode="0_);[Red]\(0\)"/>
    <numFmt numFmtId="184" formatCode="0.0\ &quot;Mbps&quot;"/>
    <numFmt numFmtId="185" formatCode="0.00&quot;%&quot;"/>
    <numFmt numFmtId="186" formatCode="0.0_ "/>
  </numFmts>
  <fonts count="35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0"/>
      <name val="맑은 고딕"/>
      <family val="3"/>
      <charset val="129"/>
    </font>
    <font>
      <sz val="10"/>
      <color rgb="FFC00000"/>
      <name val="맑은 고딕"/>
      <family val="3"/>
      <charset val="129"/>
    </font>
    <font>
      <sz val="11"/>
      <color theme="0"/>
      <name val="Century Gothic"/>
      <family val="2"/>
    </font>
    <font>
      <sz val="9"/>
      <color rgb="FFFFFFFF"/>
      <name val=" 맑은 고딕"/>
      <family val="3"/>
      <charset val="129"/>
    </font>
    <font>
      <sz val="10"/>
      <color rgb="FFFFFFFF"/>
      <name val=" 맑은 고딕"/>
      <family val="3"/>
      <charset val="129"/>
    </font>
    <font>
      <sz val="8"/>
      <color rgb="FFFFFFFF"/>
      <name val=" 맑은 고딕"/>
      <family val="3"/>
      <charset val="129"/>
    </font>
    <font>
      <sz val="10"/>
      <color rgb="FF000000"/>
      <name val="맑은 고딕"/>
      <family val="3"/>
      <charset val="129"/>
      <scheme val="major"/>
    </font>
    <font>
      <sz val="10"/>
      <name val="Century Gothic"/>
      <family val="2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11"/>
      <color rgb="FF000000"/>
      <name val="Calibri"/>
      <family val="2"/>
    </font>
    <font>
      <b/>
      <sz val="10"/>
      <color theme="1"/>
      <name val="Malgun Gothic"/>
      <family val="3"/>
      <charset val="129"/>
    </font>
    <font>
      <sz val="11"/>
      <color indexed="8"/>
      <name val="맑은 고딕"/>
      <family val="2"/>
      <scheme val="minor"/>
    </font>
    <font>
      <sz val="10"/>
      <color theme="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</font>
    <font>
      <sz val="10"/>
      <color theme="1"/>
      <name val="Century Gothic"/>
      <family val="2"/>
    </font>
    <font>
      <sz val="10"/>
      <color theme="1"/>
      <name val="Arial Unicode MS"/>
      <family val="2"/>
      <charset val="129"/>
    </font>
    <font>
      <sz val="10"/>
      <color theme="1"/>
      <name val="맑은 고딕"/>
      <family val="3"/>
      <charset val="129"/>
      <scheme val="major"/>
    </font>
    <font>
      <b/>
      <sz val="10"/>
      <color rgb="FFFFFFFF"/>
      <name val=" 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sz val="11"/>
      <color theme="1"/>
      <name val="Century Gothic"/>
      <family val="2"/>
    </font>
    <font>
      <sz val="11"/>
      <color theme="1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</fonts>
  <fills count="2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2F5496"/>
        <bgColor rgb="FF2F5496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BE4D5"/>
        <bgColor rgb="FFFBE4D5"/>
      </patternFill>
    </fill>
    <fill>
      <patternFill patternType="solid">
        <fgColor theme="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4C6E7"/>
        <bgColor rgb="FFB4C6E7"/>
      </patternFill>
    </fill>
    <fill>
      <patternFill patternType="solid">
        <fgColor theme="9" tint="0.79998168889431442"/>
        <bgColor rgb="FFB4C6E7"/>
      </patternFill>
    </fill>
    <fill>
      <patternFill patternType="solid">
        <fgColor theme="7" tint="0.79998168889431442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theme="0"/>
      </patternFill>
    </fill>
    <fill>
      <patternFill patternType="solid">
        <fgColor theme="4"/>
        <bgColor theme="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4D5FF"/>
      </patternFill>
    </fill>
    <fill>
      <patternFill patternType="solid">
        <fgColor theme="0"/>
        <bgColor indexed="64"/>
      </patternFill>
    </fill>
    <fill>
      <patternFill patternType="solid">
        <fgColor theme="1"/>
        <bgColor rgb="FFFEF2CB"/>
      </patternFill>
    </fill>
    <fill>
      <patternFill patternType="solid">
        <fgColor theme="5" tint="-0.249977111117893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4472C4"/>
        <bgColor rgb="FF4472C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8">
    <xf numFmtId="0" fontId="0" fillId="0" borderId="0"/>
    <xf numFmtId="0" fontId="2" fillId="0" borderId="0"/>
    <xf numFmtId="0" fontId="1" fillId="0" borderId="0">
      <alignment vertical="center"/>
    </xf>
    <xf numFmtId="41" fontId="2" fillId="0" borderId="0">
      <alignment vertical="center"/>
    </xf>
    <xf numFmtId="9" fontId="2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>
      <alignment vertical="center"/>
    </xf>
    <xf numFmtId="0" fontId="2" fillId="0" borderId="0"/>
    <xf numFmtId="0" fontId="2" fillId="0" borderId="0"/>
    <xf numFmtId="0" fontId="19" fillId="0" borderId="0">
      <alignment vertical="center"/>
    </xf>
    <xf numFmtId="0" fontId="19" fillId="0" borderId="0">
      <alignment vertical="center"/>
    </xf>
    <xf numFmtId="41" fontId="19" fillId="0" borderId="0">
      <alignment vertical="center"/>
    </xf>
    <xf numFmtId="41" fontId="2" fillId="0" borderId="0">
      <alignment vertical="center"/>
    </xf>
    <xf numFmtId="9" fontId="19" fillId="0" borderId="0">
      <alignment vertical="center"/>
    </xf>
    <xf numFmtId="0" fontId="1" fillId="0" borderId="0">
      <alignment vertical="center"/>
    </xf>
  </cellStyleXfs>
  <cellXfs count="153">
    <xf numFmtId="0" fontId="0" fillId="0" borderId="0" xfId="0"/>
    <xf numFmtId="0" fontId="4" fillId="2" borderId="1" xfId="1" applyFont="1" applyFill="1" applyBorder="1" applyAlignment="1">
      <alignment horizontal="center" vertical="top" wrapText="1"/>
    </xf>
    <xf numFmtId="0" fontId="5" fillId="3" borderId="1" xfId="1" applyFont="1" applyFill="1" applyBorder="1" applyAlignment="1">
      <alignment horizontal="center" vertical="top" wrapText="1"/>
    </xf>
    <xf numFmtId="0" fontId="4" fillId="2" borderId="2" xfId="1" applyFont="1" applyFill="1" applyBorder="1" applyAlignment="1">
      <alignment horizontal="center" vertical="top" wrapText="1"/>
    </xf>
    <xf numFmtId="0" fontId="1" fillId="0" borderId="0" xfId="2">
      <alignment vertical="center"/>
    </xf>
    <xf numFmtId="0" fontId="4" fillId="0" borderId="3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vertical="center"/>
    </xf>
    <xf numFmtId="0" fontId="6" fillId="4" borderId="5" xfId="1" applyFont="1" applyFill="1" applyBorder="1" applyAlignment="1">
      <alignment horizontal="center" vertical="center"/>
    </xf>
    <xf numFmtId="0" fontId="4" fillId="5" borderId="6" xfId="1" applyFont="1" applyFill="1" applyBorder="1" applyAlignment="1">
      <alignment vertical="center"/>
    </xf>
    <xf numFmtId="0" fontId="4" fillId="0" borderId="7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4" fillId="6" borderId="2" xfId="1" applyFont="1" applyFill="1" applyBorder="1" applyAlignment="1">
      <alignment vertical="center"/>
    </xf>
    <xf numFmtId="0" fontId="6" fillId="4" borderId="2" xfId="1" applyFont="1" applyFill="1" applyBorder="1" applyAlignment="1">
      <alignment vertical="center"/>
    </xf>
    <xf numFmtId="0" fontId="6" fillId="4" borderId="2" xfId="1" applyFont="1" applyFill="1" applyBorder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vertical="center"/>
    </xf>
    <xf numFmtId="176" fontId="1" fillId="0" borderId="0" xfId="2" applyNumberFormat="1">
      <alignment vertical="center"/>
    </xf>
    <xf numFmtId="177" fontId="1" fillId="0" borderId="0" xfId="2" applyNumberFormat="1">
      <alignment vertical="center"/>
    </xf>
    <xf numFmtId="177" fontId="0" fillId="0" borderId="0" xfId="0" applyNumberFormat="1"/>
    <xf numFmtId="0" fontId="0" fillId="0" borderId="0" xfId="0" applyAlignment="1">
      <alignment horizontal="center" vertical="center"/>
    </xf>
    <xf numFmtId="0" fontId="4" fillId="0" borderId="0" xfId="1" applyFont="1" applyAlignment="1">
      <alignment horizontal="right" vertical="center"/>
    </xf>
    <xf numFmtId="180" fontId="7" fillId="7" borderId="0" xfId="0" applyNumberFormat="1" applyFont="1" applyFill="1"/>
    <xf numFmtId="180" fontId="7" fillId="7" borderId="8" xfId="0" applyNumberFormat="1" applyFont="1" applyFill="1" applyBorder="1"/>
    <xf numFmtId="180" fontId="4" fillId="0" borderId="0" xfId="1" applyNumberFormat="1" applyFont="1" applyAlignment="1">
      <alignment vertical="center"/>
    </xf>
    <xf numFmtId="0" fontId="4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4" fillId="0" borderId="0" xfId="1" applyFont="1" applyAlignment="1">
      <alignment horizontal="right"/>
    </xf>
    <xf numFmtId="180" fontId="8" fillId="3" borderId="9" xfId="0" applyNumberFormat="1" applyFont="1" applyFill="1" applyBorder="1" applyAlignment="1">
      <alignment horizontal="center" wrapText="1"/>
    </xf>
    <xf numFmtId="180" fontId="9" fillId="3" borderId="9" xfId="0" applyNumberFormat="1" applyFont="1" applyFill="1" applyBorder="1" applyAlignment="1">
      <alignment horizontal="center" wrapText="1"/>
    </xf>
    <xf numFmtId="180" fontId="10" fillId="3" borderId="9" xfId="0" applyNumberFormat="1" applyFont="1" applyFill="1" applyBorder="1" applyAlignment="1">
      <alignment horizontal="center" wrapText="1"/>
    </xf>
    <xf numFmtId="181" fontId="4" fillId="0" borderId="0" xfId="4" applyNumberFormat="1" applyFont="1" applyAlignment="1"/>
    <xf numFmtId="180" fontId="4" fillId="0" borderId="0" xfId="1" applyNumberFormat="1" applyFont="1" applyAlignment="1">
      <alignment horizontal="center"/>
    </xf>
    <xf numFmtId="0" fontId="5" fillId="8" borderId="1" xfId="1" applyFont="1" applyFill="1" applyBorder="1" applyAlignment="1">
      <alignment horizontal="center" vertical="top" wrapText="1"/>
    </xf>
    <xf numFmtId="180" fontId="11" fillId="9" borderId="1" xfId="0" applyNumberFormat="1" applyFont="1" applyFill="1" applyBorder="1" applyAlignment="1">
      <alignment horizontal="center" vertical="top" wrapText="1"/>
    </xf>
    <xf numFmtId="180" fontId="11" fillId="10" borderId="10" xfId="0" applyNumberFormat="1" applyFont="1" applyFill="1" applyBorder="1" applyAlignment="1">
      <alignment horizontal="center" vertical="top" wrapText="1"/>
    </xf>
    <xf numFmtId="180" fontId="11" fillId="11" borderId="10" xfId="0" applyNumberFormat="1" applyFont="1" applyFill="1" applyBorder="1" applyAlignment="1">
      <alignment horizontal="center" vertical="top" wrapText="1"/>
    </xf>
    <xf numFmtId="180" fontId="11" fillId="12" borderId="10" xfId="0" applyNumberFormat="1" applyFont="1" applyFill="1" applyBorder="1" applyAlignment="1">
      <alignment horizontal="center" vertical="top" wrapText="1"/>
    </xf>
    <xf numFmtId="180" fontId="11" fillId="0" borderId="10" xfId="0" applyNumberFormat="1" applyFont="1" applyBorder="1" applyAlignment="1">
      <alignment horizontal="center" vertical="top" wrapText="1"/>
    </xf>
    <xf numFmtId="181" fontId="4" fillId="0" borderId="0" xfId="4" applyNumberFormat="1" applyFont="1" applyAlignment="1">
      <alignment vertical="top" wrapText="1"/>
    </xf>
    <xf numFmtId="0" fontId="4" fillId="0" borderId="0" xfId="1" applyFont="1" applyAlignment="1">
      <alignment horizontal="center" vertical="top" wrapText="1"/>
    </xf>
    <xf numFmtId="0" fontId="4" fillId="0" borderId="10" xfId="1" applyFont="1" applyBorder="1" applyAlignment="1">
      <alignment horizontal="center" vertical="center"/>
    </xf>
    <xf numFmtId="0" fontId="4" fillId="13" borderId="3" xfId="1" applyFont="1" applyFill="1" applyBorder="1" applyAlignment="1">
      <alignment horizontal="left" vertical="center"/>
    </xf>
    <xf numFmtId="41" fontId="0" fillId="0" borderId="1" xfId="3" applyFont="1" applyBorder="1" applyAlignment="1"/>
    <xf numFmtId="41" fontId="12" fillId="0" borderId="11" xfId="3" applyFont="1" applyBorder="1" applyAlignment="1"/>
    <xf numFmtId="0" fontId="0" fillId="0" borderId="1" xfId="0" applyBorder="1" applyAlignment="1">
      <alignment vertical="center"/>
    </xf>
    <xf numFmtId="41" fontId="4" fillId="0" borderId="0" xfId="1" applyNumberFormat="1" applyFont="1" applyAlignment="1">
      <alignment vertical="center"/>
    </xf>
    <xf numFmtId="0" fontId="4" fillId="6" borderId="5" xfId="1" applyFont="1" applyFill="1" applyBorder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0" fontId="4" fillId="13" borderId="5" xfId="1" applyFont="1" applyFill="1" applyBorder="1" applyAlignment="1">
      <alignment horizontal="left" vertical="center"/>
    </xf>
    <xf numFmtId="0" fontId="4" fillId="4" borderId="5" xfId="1" applyFont="1" applyFill="1" applyBorder="1" applyAlignment="1">
      <alignment horizontal="left" vertical="center"/>
    </xf>
    <xf numFmtId="180" fontId="0" fillId="0" borderId="0" xfId="0" applyNumberFormat="1"/>
    <xf numFmtId="0" fontId="14" fillId="0" borderId="0" xfId="6" applyFont="1" applyAlignment="1">
      <alignment horizontal="center" vertical="center"/>
    </xf>
    <xf numFmtId="0" fontId="14" fillId="0" borderId="0" xfId="6" applyFont="1" applyAlignment="1">
      <alignment horizontal="left" vertical="center"/>
    </xf>
    <xf numFmtId="0" fontId="15" fillId="14" borderId="1" xfId="6" applyFont="1" applyFill="1" applyBorder="1" applyAlignment="1">
      <alignment horizontal="center" vertical="top" wrapText="1"/>
    </xf>
    <xf numFmtId="0" fontId="16" fillId="15" borderId="1" xfId="6" applyFont="1" applyFill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center"/>
    </xf>
    <xf numFmtId="0" fontId="0" fillId="0" borderId="1" xfId="0" applyBorder="1"/>
    <xf numFmtId="0" fontId="4" fillId="2" borderId="2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82" fontId="0" fillId="0" borderId="1" xfId="0" applyNumberFormat="1" applyBorder="1" applyAlignment="1">
      <alignment horizontal="center" vertical="center"/>
    </xf>
    <xf numFmtId="0" fontId="18" fillId="2" borderId="1" xfId="1" applyFont="1" applyFill="1" applyBorder="1" applyAlignment="1">
      <alignment horizontal="center" vertical="top" wrapText="1"/>
    </xf>
    <xf numFmtId="180" fontId="4" fillId="0" borderId="1" xfId="1" applyNumberFormat="1" applyFont="1" applyBorder="1" applyAlignment="1">
      <alignment vertical="center"/>
    </xf>
    <xf numFmtId="0" fontId="4" fillId="0" borderId="0" xfId="21" applyFont="1" applyAlignment="1">
      <alignment vertical="center"/>
    </xf>
    <xf numFmtId="0" fontId="4" fillId="2" borderId="1" xfId="21" applyFont="1" applyFill="1" applyBorder="1" applyAlignment="1">
      <alignment horizontal="center" vertical="top" wrapText="1"/>
    </xf>
    <xf numFmtId="0" fontId="5" fillId="3" borderId="1" xfId="21" applyFont="1" applyFill="1" applyBorder="1" applyAlignment="1">
      <alignment horizontal="center" vertical="top" wrapText="1"/>
    </xf>
    <xf numFmtId="180" fontId="20" fillId="16" borderId="10" xfId="22" applyNumberFormat="1" applyFont="1" applyFill="1" applyBorder="1" applyAlignment="1">
      <alignment horizontal="center" vertical="top" wrapText="1"/>
    </xf>
    <xf numFmtId="0" fontId="21" fillId="17" borderId="1" xfId="23" applyFont="1" applyFill="1" applyBorder="1" applyAlignment="1">
      <alignment horizontal="center" vertical="top" wrapText="1"/>
    </xf>
    <xf numFmtId="0" fontId="4" fillId="0" borderId="0" xfId="21" applyFont="1" applyAlignment="1">
      <alignment vertical="center" wrapText="1"/>
    </xf>
    <xf numFmtId="41" fontId="4" fillId="0" borderId="1" xfId="21" applyNumberFormat="1" applyFont="1" applyBorder="1" applyAlignment="1">
      <alignment vertical="center"/>
    </xf>
    <xf numFmtId="41" fontId="13" fillId="0" borderId="1" xfId="25" applyFont="1" applyBorder="1">
      <alignment vertical="center"/>
    </xf>
    <xf numFmtId="183" fontId="4" fillId="0" borderId="0" xfId="21" applyNumberFormat="1" applyFont="1" applyAlignment="1">
      <alignment vertical="center"/>
    </xf>
    <xf numFmtId="184" fontId="0" fillId="0" borderId="0" xfId="0" applyNumberFormat="1"/>
    <xf numFmtId="185" fontId="0" fillId="0" borderId="0" xfId="0" applyNumberFormat="1"/>
    <xf numFmtId="0" fontId="22" fillId="18" borderId="3" xfId="20" applyFont="1" applyFill="1" applyBorder="1" applyAlignment="1">
      <alignment vertical="center"/>
    </xf>
    <xf numFmtId="0" fontId="22" fillId="18" borderId="3" xfId="20" applyFont="1" applyFill="1" applyBorder="1" applyAlignment="1">
      <alignment horizontal="center" vertical="center"/>
    </xf>
    <xf numFmtId="0" fontId="22" fillId="18" borderId="5" xfId="20" applyFont="1" applyFill="1" applyBorder="1" applyAlignment="1">
      <alignment vertical="center"/>
    </xf>
    <xf numFmtId="0" fontId="22" fillId="18" borderId="5" xfId="20" applyFont="1" applyFill="1" applyBorder="1" applyAlignment="1">
      <alignment horizontal="center" vertical="center"/>
    </xf>
    <xf numFmtId="0" fontId="22" fillId="18" borderId="14" xfId="20" applyFont="1" applyFill="1" applyBorder="1" applyAlignment="1">
      <alignment vertical="center"/>
    </xf>
    <xf numFmtId="0" fontId="22" fillId="18" borderId="14" xfId="20" applyFont="1" applyFill="1" applyBorder="1" applyAlignment="1">
      <alignment horizontal="center" vertical="center"/>
    </xf>
    <xf numFmtId="0" fontId="22" fillId="18" borderId="1" xfId="20" applyFont="1" applyFill="1" applyBorder="1" applyAlignment="1">
      <alignment vertical="center"/>
    </xf>
    <xf numFmtId="0" fontId="23" fillId="18" borderId="1" xfId="20" applyFont="1" applyFill="1" applyBorder="1" applyAlignment="1">
      <alignment horizontal="center" vertical="center"/>
    </xf>
    <xf numFmtId="0" fontId="22" fillId="18" borderId="1" xfId="20" applyFont="1" applyFill="1" applyBorder="1" applyAlignment="1">
      <alignment horizontal="left" vertical="center"/>
    </xf>
    <xf numFmtId="0" fontId="20" fillId="0" borderId="15" xfId="1" applyFont="1" applyBorder="1" applyAlignment="1">
      <alignment horizontal="center" vertical="center" wrapText="1"/>
    </xf>
    <xf numFmtId="0" fontId="24" fillId="0" borderId="14" xfId="1" applyFont="1" applyBorder="1" applyAlignment="1">
      <alignment horizontal="center" vertical="center"/>
    </xf>
    <xf numFmtId="0" fontId="20" fillId="0" borderId="16" xfId="1" applyFont="1" applyBorder="1" applyAlignment="1">
      <alignment horizontal="center" vertical="top"/>
    </xf>
    <xf numFmtId="0" fontId="20" fillId="0" borderId="17" xfId="1" applyFont="1" applyBorder="1" applyAlignment="1">
      <alignment horizontal="center" vertical="top"/>
    </xf>
    <xf numFmtId="0" fontId="20" fillId="0" borderId="15" xfId="1" applyFont="1" applyBorder="1" applyAlignment="1">
      <alignment horizontal="left" vertical="top"/>
    </xf>
    <xf numFmtId="0" fontId="24" fillId="0" borderId="14" xfId="1" applyFont="1" applyBorder="1" applyAlignment="1">
      <alignment horizontal="center" vertical="top"/>
    </xf>
    <xf numFmtId="0" fontId="24" fillId="0" borderId="7" xfId="1" applyFont="1" applyBorder="1" applyAlignment="1">
      <alignment horizontal="center" vertical="top" wrapText="1"/>
    </xf>
    <xf numFmtId="0" fontId="24" fillId="0" borderId="0" xfId="20" applyFont="1" applyAlignment="1">
      <alignment vertical="center"/>
    </xf>
    <xf numFmtId="0" fontId="24" fillId="0" borderId="0" xfId="20" applyFont="1" applyAlignment="1">
      <alignment horizontal="center" vertical="center"/>
    </xf>
    <xf numFmtId="0" fontId="25" fillId="3" borderId="18" xfId="0" applyFont="1" applyFill="1" applyBorder="1" applyAlignment="1">
      <alignment horizontal="center" vertical="center" wrapText="1"/>
    </xf>
    <xf numFmtId="0" fontId="25" fillId="3" borderId="19" xfId="0" applyFont="1" applyFill="1" applyBorder="1" applyAlignment="1">
      <alignment horizontal="center" vertical="center" wrapText="1"/>
    </xf>
    <xf numFmtId="0" fontId="25" fillId="3" borderId="22" xfId="0" applyFont="1" applyFill="1" applyBorder="1" applyAlignment="1">
      <alignment horizontal="center" vertical="center" wrapText="1"/>
    </xf>
    <xf numFmtId="0" fontId="26" fillId="0" borderId="0" xfId="20" applyFont="1" applyAlignment="1">
      <alignment vertical="center"/>
    </xf>
    <xf numFmtId="0" fontId="27" fillId="19" borderId="23" xfId="20" applyFont="1" applyFill="1" applyBorder="1" applyAlignment="1">
      <alignment horizontal="center" vertical="center" wrapText="1"/>
    </xf>
    <xf numFmtId="0" fontId="28" fillId="2" borderId="23" xfId="20" applyFont="1" applyFill="1" applyBorder="1" applyAlignment="1">
      <alignment vertical="center" wrapText="1"/>
    </xf>
    <xf numFmtId="0" fontId="27" fillId="20" borderId="23" xfId="20" applyFont="1" applyFill="1" applyBorder="1" applyAlignment="1">
      <alignment horizontal="center" vertical="center"/>
    </xf>
    <xf numFmtId="0" fontId="27" fillId="3" borderId="23" xfId="20" applyFont="1" applyFill="1" applyBorder="1" applyAlignment="1">
      <alignment horizontal="center" vertical="center" wrapText="1"/>
    </xf>
    <xf numFmtId="0" fontId="27" fillId="3" borderId="23" xfId="20" applyFont="1" applyFill="1" applyBorder="1" applyAlignment="1">
      <alignment horizontal="left" vertical="center" wrapText="1"/>
    </xf>
    <xf numFmtId="0" fontId="28" fillId="2" borderId="23" xfId="20" applyFont="1" applyFill="1" applyBorder="1" applyAlignment="1">
      <alignment horizontal="center" vertical="center" wrapText="1"/>
    </xf>
    <xf numFmtId="0" fontId="28" fillId="21" borderId="23" xfId="20" applyFont="1" applyFill="1" applyBorder="1" applyAlignment="1">
      <alignment horizontal="center" vertical="center" wrapText="1"/>
    </xf>
    <xf numFmtId="0" fontId="28" fillId="4" borderId="23" xfId="20" applyFont="1" applyFill="1" applyBorder="1" applyAlignment="1">
      <alignment horizontal="center" vertical="center" wrapText="1"/>
    </xf>
    <xf numFmtId="0" fontId="28" fillId="4" borderId="24" xfId="20" applyFont="1" applyFill="1" applyBorder="1" applyAlignment="1">
      <alignment horizontal="center" vertical="center" wrapText="1"/>
    </xf>
    <xf numFmtId="0" fontId="29" fillId="9" borderId="25" xfId="0" applyFont="1" applyFill="1" applyBorder="1" applyAlignment="1">
      <alignment horizontal="center" vertical="center" wrapText="1"/>
    </xf>
    <xf numFmtId="0" fontId="29" fillId="10" borderId="26" xfId="0" applyFont="1" applyFill="1" applyBorder="1" applyAlignment="1">
      <alignment horizontal="center" vertical="center" wrapText="1"/>
    </xf>
    <xf numFmtId="0" fontId="29" fillId="11" borderId="26" xfId="0" applyFont="1" applyFill="1" applyBorder="1" applyAlignment="1">
      <alignment horizontal="center" vertical="center" wrapText="1"/>
    </xf>
    <xf numFmtId="0" fontId="29" fillId="12" borderId="26" xfId="0" applyFont="1" applyFill="1" applyBorder="1" applyAlignment="1">
      <alignment horizontal="center" vertical="center" wrapText="1"/>
    </xf>
    <xf numFmtId="0" fontId="29" fillId="0" borderId="26" xfId="0" applyFont="1" applyBorder="1" applyAlignment="1">
      <alignment horizontal="center" vertical="center" wrapText="1"/>
    </xf>
    <xf numFmtId="0" fontId="30" fillId="0" borderId="0" xfId="20" applyFont="1" applyAlignment="1">
      <alignment vertical="top" wrapText="1"/>
    </xf>
    <xf numFmtId="183" fontId="22" fillId="18" borderId="3" xfId="20" applyNumberFormat="1" applyFont="1" applyFill="1" applyBorder="1" applyAlignment="1">
      <alignment horizontal="center" vertical="center"/>
    </xf>
    <xf numFmtId="0" fontId="22" fillId="18" borderId="3" xfId="20" applyFont="1" applyFill="1" applyBorder="1" applyAlignment="1">
      <alignment horizontal="left" vertical="center"/>
    </xf>
    <xf numFmtId="0" fontId="22" fillId="0" borderId="3" xfId="20" applyFont="1" applyBorder="1" applyAlignment="1">
      <alignment horizontal="right" vertical="center"/>
    </xf>
    <xf numFmtId="0" fontId="22" fillId="0" borderId="4" xfId="20" applyFont="1" applyBorder="1" applyAlignment="1">
      <alignment horizontal="right" vertical="center"/>
    </xf>
    <xf numFmtId="0" fontId="22" fillId="0" borderId="10" xfId="20" applyFont="1" applyBorder="1" applyAlignment="1">
      <alignment horizontal="center" vertical="center"/>
    </xf>
    <xf numFmtId="180" fontId="12" fillId="0" borderId="11" xfId="0" applyNumberFormat="1" applyFont="1" applyBorder="1" applyAlignment="1">
      <alignment horizontal="right"/>
    </xf>
    <xf numFmtId="0" fontId="12" fillId="0" borderId="10" xfId="0" applyFont="1" applyBorder="1" applyAlignment="1">
      <alignment horizontal="right"/>
    </xf>
    <xf numFmtId="0" fontId="31" fillId="0" borderId="0" xfId="20" applyFont="1" applyAlignment="1">
      <alignment vertical="center"/>
    </xf>
    <xf numFmtId="183" fontId="22" fillId="18" borderId="5" xfId="20" applyNumberFormat="1" applyFont="1" applyFill="1" applyBorder="1" applyAlignment="1">
      <alignment horizontal="center" vertical="center"/>
    </xf>
    <xf numFmtId="0" fontId="22" fillId="18" borderId="5" xfId="20" applyFont="1" applyFill="1" applyBorder="1" applyAlignment="1">
      <alignment horizontal="left" vertical="center"/>
    </xf>
    <xf numFmtId="0" fontId="22" fillId="0" borderId="5" xfId="20" applyFont="1" applyBorder="1" applyAlignment="1">
      <alignment horizontal="right" vertical="center"/>
    </xf>
    <xf numFmtId="0" fontId="22" fillId="0" borderId="6" xfId="20" applyFont="1" applyBorder="1" applyAlignment="1">
      <alignment horizontal="right" vertical="center"/>
    </xf>
    <xf numFmtId="0" fontId="22" fillId="0" borderId="1" xfId="20" applyFont="1" applyBorder="1" applyAlignment="1">
      <alignment horizontal="center" vertical="center"/>
    </xf>
    <xf numFmtId="180" fontId="12" fillId="0" borderId="27" xfId="0" applyNumberFormat="1" applyFont="1" applyBorder="1" applyAlignment="1">
      <alignment horizontal="right"/>
    </xf>
    <xf numFmtId="183" fontId="22" fillId="18" borderId="14" xfId="20" applyNumberFormat="1" applyFont="1" applyFill="1" applyBorder="1" applyAlignment="1">
      <alignment horizontal="center" vertical="center"/>
    </xf>
    <xf numFmtId="0" fontId="22" fillId="18" borderId="28" xfId="20" applyFont="1" applyFill="1" applyBorder="1" applyAlignment="1">
      <alignment horizontal="center" vertical="center"/>
    </xf>
    <xf numFmtId="0" fontId="22" fillId="18" borderId="14" xfId="20" applyFont="1" applyFill="1" applyBorder="1" applyAlignment="1">
      <alignment horizontal="left" vertical="center"/>
    </xf>
    <xf numFmtId="0" fontId="22" fillId="0" borderId="14" xfId="20" applyFont="1" applyBorder="1" applyAlignment="1">
      <alignment horizontal="right" vertical="center"/>
    </xf>
    <xf numFmtId="0" fontId="22" fillId="0" borderId="7" xfId="20" applyFont="1" applyBorder="1" applyAlignment="1">
      <alignment horizontal="right" vertical="center"/>
    </xf>
    <xf numFmtId="183" fontId="22" fillId="18" borderId="1" xfId="20" applyNumberFormat="1" applyFont="1" applyFill="1" applyBorder="1" applyAlignment="1">
      <alignment horizontal="center" vertical="center"/>
    </xf>
    <xf numFmtId="0" fontId="22" fillId="18" borderId="1" xfId="20" applyFont="1" applyFill="1" applyBorder="1" applyAlignment="1">
      <alignment horizontal="center" vertical="center"/>
    </xf>
    <xf numFmtId="0" fontId="23" fillId="18" borderId="1" xfId="20" applyFont="1" applyFill="1" applyBorder="1" applyAlignment="1">
      <alignment horizontal="left" vertical="center"/>
    </xf>
    <xf numFmtId="0" fontId="22" fillId="0" borderId="1" xfId="20" applyFont="1" applyBorder="1" applyAlignment="1">
      <alignment horizontal="right" vertical="center"/>
    </xf>
    <xf numFmtId="0" fontId="22" fillId="0" borderId="2" xfId="20" applyFont="1" applyBorder="1" applyAlignment="1">
      <alignment horizontal="right" vertical="center"/>
    </xf>
    <xf numFmtId="0" fontId="32" fillId="0" borderId="0" xfId="20" applyFont="1" applyAlignment="1">
      <alignment vertical="center"/>
    </xf>
    <xf numFmtId="0" fontId="32" fillId="0" borderId="0" xfId="20" applyFont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186" fontId="0" fillId="0" borderId="1" xfId="0" applyNumberFormat="1" applyBorder="1" applyAlignment="1">
      <alignment vertical="center"/>
    </xf>
    <xf numFmtId="0" fontId="1" fillId="0" borderId="0" xfId="2" applyAlignment="1">
      <alignment horizontal="center" vertical="center"/>
    </xf>
    <xf numFmtId="0" fontId="0" fillId="0" borderId="27" xfId="0" applyBorder="1" applyAlignment="1">
      <alignment vertical="center"/>
    </xf>
    <xf numFmtId="0" fontId="1" fillId="0" borderId="1" xfId="2" applyBorder="1" applyAlignment="1">
      <alignment horizontal="center" vertical="center"/>
    </xf>
    <xf numFmtId="0" fontId="1" fillId="0" borderId="1" xfId="2" applyBorder="1">
      <alignment vertical="center"/>
    </xf>
    <xf numFmtId="0" fontId="33" fillId="23" borderId="30" xfId="0" applyFont="1" applyFill="1" applyBorder="1" applyAlignment="1">
      <alignment horizontal="center" wrapText="1"/>
    </xf>
    <xf numFmtId="0" fontId="0" fillId="0" borderId="30" xfId="0" applyBorder="1"/>
    <xf numFmtId="182" fontId="0" fillId="0" borderId="30" xfId="0" applyNumberFormat="1" applyBorder="1"/>
    <xf numFmtId="0" fontId="34" fillId="0" borderId="30" xfId="0" applyFont="1" applyBorder="1"/>
    <xf numFmtId="180" fontId="9" fillId="3" borderId="9" xfId="0" applyNumberFormat="1" applyFont="1" applyFill="1" applyBorder="1" applyAlignment="1">
      <alignment horizontal="center" wrapText="1"/>
    </xf>
    <xf numFmtId="0" fontId="0" fillId="0" borderId="12" xfId="0" applyBorder="1"/>
    <xf numFmtId="0" fontId="0" fillId="0" borderId="13" xfId="0" applyBorder="1"/>
    <xf numFmtId="0" fontId="25" fillId="3" borderId="29" xfId="0" applyFont="1" applyFill="1" applyBorder="1" applyAlignment="1">
      <alignment horizontal="center" vertical="center" wrapText="1"/>
    </xf>
    <xf numFmtId="0" fontId="0" fillId="0" borderId="21" xfId="0" applyBorder="1"/>
    <xf numFmtId="0" fontId="0" fillId="0" borderId="20" xfId="0" applyBorder="1"/>
  </cellXfs>
  <cellStyles count="28">
    <cellStyle name="백분율" xfId="4" builtinId="5"/>
    <cellStyle name="백분율 3" xfId="26" xr:uid="{00000000-0005-0000-0000-00001A000000}"/>
    <cellStyle name="쉼표 [0]" xfId="3" builtinId="6"/>
    <cellStyle name="쉼표 [0] 2" xfId="5" xr:uid="{00000000-0005-0000-0000-000005000000}"/>
    <cellStyle name="쉼표 [0] 2 2" xfId="25" xr:uid="{00000000-0005-0000-0000-000019000000}"/>
    <cellStyle name="쉼표 [0] 3" xfId="24" xr:uid="{00000000-0005-0000-0000-000018000000}"/>
    <cellStyle name="표준" xfId="0" builtinId="0"/>
    <cellStyle name="표준 10" xfId="12" xr:uid="{00000000-0005-0000-0000-00000C000000}"/>
    <cellStyle name="표준 11" xfId="13" xr:uid="{00000000-0005-0000-0000-00000D000000}"/>
    <cellStyle name="표준 12" xfId="14" xr:uid="{00000000-0005-0000-0000-00000E000000}"/>
    <cellStyle name="표준 13" xfId="15" xr:uid="{00000000-0005-0000-0000-00000F000000}"/>
    <cellStyle name="표준 14" xfId="16" xr:uid="{00000000-0005-0000-0000-000010000000}"/>
    <cellStyle name="표준 15" xfId="17" xr:uid="{00000000-0005-0000-0000-000011000000}"/>
    <cellStyle name="표준 16" xfId="18" xr:uid="{00000000-0005-0000-0000-000012000000}"/>
    <cellStyle name="표준 17" xfId="19" xr:uid="{00000000-0005-0000-0000-000013000000}"/>
    <cellStyle name="표준 2" xfId="1" xr:uid="{00000000-0005-0000-0000-000001000000}"/>
    <cellStyle name="표준 2 2" xfId="6" xr:uid="{00000000-0005-0000-0000-000006000000}"/>
    <cellStyle name="표준 2 2 2" xfId="21" xr:uid="{00000000-0005-0000-0000-000015000000}"/>
    <cellStyle name="표준 3" xfId="2" xr:uid="{00000000-0005-0000-0000-000002000000}"/>
    <cellStyle name="표준 3 3" xfId="20" xr:uid="{00000000-0005-0000-0000-000014000000}"/>
    <cellStyle name="표준 3 4" xfId="23" xr:uid="{00000000-0005-0000-0000-000017000000}"/>
    <cellStyle name="표준 4" xfId="7" xr:uid="{00000000-0005-0000-0000-000007000000}"/>
    <cellStyle name="표준 5" xfId="8" xr:uid="{00000000-0005-0000-0000-000008000000}"/>
    <cellStyle name="표준 6" xfId="27" xr:uid="{00000000-0005-0000-0000-00001B000000}"/>
    <cellStyle name="표준 7" xfId="9" xr:uid="{00000000-0005-0000-0000-000009000000}"/>
    <cellStyle name="표준 7 2" xfId="22" xr:uid="{00000000-0005-0000-0000-000016000000}"/>
    <cellStyle name="표준 8" xfId="10" xr:uid="{00000000-0005-0000-0000-00000A000000}"/>
    <cellStyle name="표준 9" xfId="11" xr:uid="{00000000-0005-0000-0000-00000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6"/>
  <sheetViews>
    <sheetView workbookViewId="0">
      <selection activeCell="B24" sqref="B24"/>
    </sheetView>
  </sheetViews>
  <sheetFormatPr defaultRowHeight="16.5"/>
  <cols>
    <col min="1" max="1" width="15.375" bestFit="1" customWidth="1"/>
    <col min="2" max="2" width="38" bestFit="1" customWidth="1"/>
    <col min="3" max="3" width="9" style="20" customWidth="1"/>
    <col min="4" max="4" width="23.5" bestFit="1" customWidth="1"/>
    <col min="5" max="5" width="14.25" bestFit="1" customWidth="1"/>
    <col min="6" max="6" width="16.625" bestFit="1" customWidth="1"/>
    <col min="7" max="7" width="13.5" bestFit="1" customWidth="1"/>
  </cols>
  <sheetData>
    <row r="1" spans="1:8">
      <c r="A1" t="s">
        <v>0</v>
      </c>
      <c r="B1" t="s">
        <v>1</v>
      </c>
      <c r="C1" t="s">
        <v>581</v>
      </c>
      <c r="D1" t="s">
        <v>582</v>
      </c>
      <c r="E1" t="s">
        <v>583</v>
      </c>
      <c r="F1" t="s">
        <v>584</v>
      </c>
      <c r="G1" t="s">
        <v>585</v>
      </c>
      <c r="H1" t="s">
        <v>586</v>
      </c>
    </row>
    <row r="2" spans="1:8">
      <c r="A2" t="s">
        <v>283</v>
      </c>
      <c r="B2" t="s">
        <v>284</v>
      </c>
      <c r="C2">
        <v>12</v>
      </c>
      <c r="D2" s="72">
        <v>827.68330000000003</v>
      </c>
      <c r="E2" s="73">
        <v>0.1125</v>
      </c>
      <c r="F2" s="19">
        <v>0.46</v>
      </c>
      <c r="G2" s="19">
        <v>24.808299999999999</v>
      </c>
      <c r="H2" t="s">
        <v>13</v>
      </c>
    </row>
    <row r="3" spans="1:8">
      <c r="A3" t="s">
        <v>395</v>
      </c>
      <c r="B3" t="s">
        <v>396</v>
      </c>
      <c r="C3">
        <v>17</v>
      </c>
      <c r="D3" s="72">
        <v>978.14710000000002</v>
      </c>
      <c r="E3" s="73">
        <v>0.18590000000000001</v>
      </c>
      <c r="F3" s="19">
        <v>2.6505999999999998</v>
      </c>
      <c r="G3" s="19">
        <v>25.647099999999998</v>
      </c>
      <c r="H3" t="s">
        <v>13</v>
      </c>
    </row>
    <row r="4" spans="1:8">
      <c r="A4" t="s">
        <v>587</v>
      </c>
      <c r="B4" t="s">
        <v>588</v>
      </c>
      <c r="C4">
        <v>20</v>
      </c>
      <c r="D4" s="72">
        <v>974.17</v>
      </c>
      <c r="E4" s="73">
        <v>0.25850000000000001</v>
      </c>
      <c r="F4" s="19">
        <v>14.260999999999999</v>
      </c>
      <c r="G4" s="19">
        <v>70.444999999999993</v>
      </c>
      <c r="H4" t="s">
        <v>13</v>
      </c>
    </row>
    <row r="5" spans="1:8">
      <c r="A5" t="s">
        <v>589</v>
      </c>
      <c r="B5" t="s">
        <v>590</v>
      </c>
      <c r="C5">
        <v>16</v>
      </c>
      <c r="D5" s="72">
        <v>817.82500000000005</v>
      </c>
      <c r="E5" s="73">
        <v>2.5600000000000001E-2</v>
      </c>
      <c r="F5" s="19">
        <v>1.3438000000000001</v>
      </c>
      <c r="G5" s="19">
        <v>11.1625</v>
      </c>
      <c r="H5" t="s">
        <v>13</v>
      </c>
    </row>
    <row r="6" spans="1:8">
      <c r="A6" t="s">
        <v>591</v>
      </c>
      <c r="B6" t="s">
        <v>592</v>
      </c>
      <c r="C6">
        <v>21</v>
      </c>
      <c r="D6" s="72">
        <v>931.05709999999999</v>
      </c>
      <c r="E6" s="73">
        <v>6.5199999999999994E-2</v>
      </c>
      <c r="F6" s="19">
        <v>1.0381</v>
      </c>
      <c r="G6" s="19">
        <v>12.895200000000001</v>
      </c>
      <c r="H6" t="s">
        <v>13</v>
      </c>
    </row>
    <row r="7" spans="1:8">
      <c r="A7" t="s">
        <v>398</v>
      </c>
      <c r="B7" t="s">
        <v>399</v>
      </c>
      <c r="C7">
        <v>23</v>
      </c>
      <c r="D7" s="72">
        <v>981.69569999999999</v>
      </c>
      <c r="E7" s="73">
        <v>1.2999999999999999E-2</v>
      </c>
      <c r="F7" s="19">
        <v>1.2826</v>
      </c>
      <c r="G7" s="19">
        <v>23.488700000000001</v>
      </c>
      <c r="H7" t="s">
        <v>13</v>
      </c>
    </row>
    <row r="8" spans="1:8">
      <c r="A8" t="s">
        <v>286</v>
      </c>
      <c r="B8" t="s">
        <v>287</v>
      </c>
      <c r="C8">
        <v>12</v>
      </c>
      <c r="D8" s="72">
        <v>756.67499999999995</v>
      </c>
      <c r="E8" s="73">
        <v>0.1167</v>
      </c>
      <c r="F8" s="19">
        <v>1.9582999999999999</v>
      </c>
      <c r="G8" s="19">
        <v>38.583300000000001</v>
      </c>
      <c r="H8" t="s">
        <v>13</v>
      </c>
    </row>
    <row r="9" spans="1:8">
      <c r="A9" t="s">
        <v>593</v>
      </c>
      <c r="B9" t="s">
        <v>594</v>
      </c>
      <c r="C9">
        <v>14</v>
      </c>
      <c r="D9" s="72">
        <v>915.27859999999998</v>
      </c>
      <c r="E9" s="73">
        <v>0.06</v>
      </c>
      <c r="F9" s="19">
        <v>6.2286000000000001</v>
      </c>
      <c r="G9" s="19">
        <v>14.007099999999999</v>
      </c>
      <c r="H9" t="s">
        <v>13</v>
      </c>
    </row>
    <row r="10" spans="1:8">
      <c r="A10" t="s">
        <v>401</v>
      </c>
      <c r="B10" t="s">
        <v>402</v>
      </c>
      <c r="C10">
        <v>9</v>
      </c>
      <c r="D10" s="72">
        <v>878.17780000000005</v>
      </c>
      <c r="E10" s="73">
        <v>1.5599999999999999E-2</v>
      </c>
      <c r="F10" s="19">
        <v>0.1111</v>
      </c>
      <c r="G10" s="19">
        <v>13.1889</v>
      </c>
      <c r="H10" t="s">
        <v>13</v>
      </c>
    </row>
    <row r="11" spans="1:8">
      <c r="A11" t="s">
        <v>595</v>
      </c>
      <c r="B11" t="s">
        <v>596</v>
      </c>
      <c r="C11">
        <v>31</v>
      </c>
      <c r="D11" s="72">
        <v>981.95479999999998</v>
      </c>
      <c r="E11" s="73">
        <v>0.1555</v>
      </c>
      <c r="F11" s="19">
        <v>5.2451999999999996</v>
      </c>
      <c r="G11" s="19">
        <v>21.6645</v>
      </c>
      <c r="H11" t="s">
        <v>13</v>
      </c>
    </row>
    <row r="12" spans="1:8">
      <c r="A12" t="s">
        <v>597</v>
      </c>
      <c r="B12" t="s">
        <v>598</v>
      </c>
      <c r="C12">
        <v>9</v>
      </c>
      <c r="D12" s="72">
        <v>777.22220000000004</v>
      </c>
      <c r="E12" s="73">
        <v>0.24440000000000001</v>
      </c>
      <c r="F12" s="19">
        <v>4.9688999999999997</v>
      </c>
      <c r="G12" s="19">
        <v>186.87780000000001</v>
      </c>
      <c r="H12" t="s">
        <v>13</v>
      </c>
    </row>
    <row r="13" spans="1:8">
      <c r="A13" t="s">
        <v>10</v>
      </c>
      <c r="B13" t="s">
        <v>11</v>
      </c>
      <c r="C13">
        <v>49</v>
      </c>
      <c r="D13" s="72">
        <v>979.15309999999999</v>
      </c>
      <c r="E13" s="73">
        <v>0.41880000000000001</v>
      </c>
      <c r="F13" s="19">
        <v>3.3702000000000001</v>
      </c>
      <c r="G13" s="19">
        <v>767.62450000000001</v>
      </c>
      <c r="H13" t="s">
        <v>13</v>
      </c>
    </row>
    <row r="14" spans="1:8">
      <c r="A14" t="s">
        <v>133</v>
      </c>
      <c r="B14" t="s">
        <v>134</v>
      </c>
      <c r="C14">
        <v>26</v>
      </c>
      <c r="D14" s="72">
        <v>976.5308</v>
      </c>
      <c r="E14" s="73">
        <v>0.1323</v>
      </c>
      <c r="F14" s="19">
        <v>3.17</v>
      </c>
      <c r="G14" s="19">
        <v>22.05</v>
      </c>
      <c r="H14" t="s">
        <v>13</v>
      </c>
    </row>
    <row r="15" spans="1:8">
      <c r="A15" t="s">
        <v>289</v>
      </c>
      <c r="B15" t="s">
        <v>290</v>
      </c>
      <c r="C15">
        <v>20</v>
      </c>
      <c r="D15" s="72">
        <v>887.03</v>
      </c>
      <c r="E15" s="73">
        <v>0.13850000000000001</v>
      </c>
      <c r="F15" s="19">
        <v>1.034</v>
      </c>
      <c r="G15" s="19">
        <v>11.85</v>
      </c>
      <c r="H15" t="s">
        <v>13</v>
      </c>
    </row>
    <row r="16" spans="1:8">
      <c r="A16" t="s">
        <v>404</v>
      </c>
      <c r="B16" t="s">
        <v>405</v>
      </c>
      <c r="C16">
        <v>12</v>
      </c>
      <c r="D16" s="72">
        <v>826.72500000000002</v>
      </c>
      <c r="E16" s="73">
        <v>0.17419999999999999</v>
      </c>
      <c r="F16" s="19">
        <v>9.0399999999999991</v>
      </c>
      <c r="G16" s="19">
        <v>14.6</v>
      </c>
      <c r="H16" t="s">
        <v>13</v>
      </c>
    </row>
    <row r="17" spans="1:8">
      <c r="A17" t="s">
        <v>599</v>
      </c>
      <c r="B17" t="s">
        <v>600</v>
      </c>
      <c r="C17">
        <v>9</v>
      </c>
      <c r="D17" s="72">
        <v>974.37779999999998</v>
      </c>
      <c r="E17" s="73">
        <v>0.03</v>
      </c>
      <c r="F17" s="19">
        <v>1</v>
      </c>
      <c r="G17" s="19">
        <v>10.4</v>
      </c>
      <c r="H17" t="s">
        <v>13</v>
      </c>
    </row>
    <row r="18" spans="1:8">
      <c r="A18" t="s">
        <v>142</v>
      </c>
      <c r="B18" t="s">
        <v>143</v>
      </c>
      <c r="C18">
        <v>14</v>
      </c>
      <c r="D18" s="72">
        <v>850.92859999999996</v>
      </c>
      <c r="E18" s="73">
        <v>5.57E-2</v>
      </c>
      <c r="F18" s="19">
        <v>0.35</v>
      </c>
      <c r="G18" s="19">
        <v>18.221399999999999</v>
      </c>
      <c r="H18" t="s">
        <v>13</v>
      </c>
    </row>
    <row r="19" spans="1:8">
      <c r="A19" t="s">
        <v>601</v>
      </c>
      <c r="B19" t="s">
        <v>602</v>
      </c>
      <c r="C19">
        <v>14</v>
      </c>
      <c r="D19" s="72">
        <v>723.61429999999996</v>
      </c>
      <c r="E19" s="73">
        <v>0.12640000000000001</v>
      </c>
      <c r="F19" s="19">
        <v>1.95</v>
      </c>
      <c r="G19" s="19">
        <v>143.2071</v>
      </c>
      <c r="H19" t="s">
        <v>13</v>
      </c>
    </row>
    <row r="20" spans="1:8">
      <c r="A20" t="s">
        <v>603</v>
      </c>
      <c r="B20" t="s">
        <v>604</v>
      </c>
      <c r="C20">
        <v>22</v>
      </c>
      <c r="D20" s="72">
        <v>697.82730000000004</v>
      </c>
      <c r="E20" s="73">
        <v>0.29089999999999999</v>
      </c>
      <c r="F20" s="19">
        <v>3.6581999999999999</v>
      </c>
      <c r="G20" s="19">
        <v>209.55449999999999</v>
      </c>
      <c r="H20" t="s">
        <v>14</v>
      </c>
    </row>
    <row r="21" spans="1:8">
      <c r="A21" t="s">
        <v>605</v>
      </c>
      <c r="B21" t="s">
        <v>606</v>
      </c>
      <c r="C21">
        <v>20</v>
      </c>
      <c r="D21" s="72">
        <v>978.32500000000005</v>
      </c>
      <c r="E21" s="73">
        <v>4.9500000000000002E-2</v>
      </c>
      <c r="F21" s="19">
        <v>1.829</v>
      </c>
      <c r="G21" s="19">
        <v>1480.29</v>
      </c>
      <c r="H21" t="s">
        <v>13</v>
      </c>
    </row>
    <row r="22" spans="1:8">
      <c r="A22" t="s">
        <v>607</v>
      </c>
      <c r="B22" t="s">
        <v>608</v>
      </c>
      <c r="C22">
        <v>19</v>
      </c>
      <c r="D22" s="72">
        <v>790.68949999999995</v>
      </c>
      <c r="E22" s="73">
        <v>8.1100000000000005E-2</v>
      </c>
      <c r="F22" s="19">
        <v>4.2820999999999998</v>
      </c>
      <c r="G22" s="19">
        <v>3037.6262999999999</v>
      </c>
      <c r="H22" t="s">
        <v>13</v>
      </c>
    </row>
    <row r="23" spans="1:8">
      <c r="A23" t="s">
        <v>609</v>
      </c>
      <c r="B23" t="s">
        <v>610</v>
      </c>
      <c r="C23">
        <v>23</v>
      </c>
      <c r="D23" s="72">
        <v>785.60429999999997</v>
      </c>
      <c r="E23" s="73">
        <v>3.4299999999999997E-2</v>
      </c>
      <c r="F23" s="19">
        <v>0.3</v>
      </c>
      <c r="G23" s="19">
        <v>14.2174</v>
      </c>
      <c r="H23" t="s">
        <v>13</v>
      </c>
    </row>
    <row r="24" spans="1:8">
      <c r="A24" t="s">
        <v>407</v>
      </c>
      <c r="B24" t="s">
        <v>408</v>
      </c>
      <c r="C24">
        <v>23</v>
      </c>
      <c r="D24" s="72">
        <v>939.00869999999998</v>
      </c>
      <c r="E24" s="73">
        <v>7.22E-2</v>
      </c>
      <c r="F24" s="19">
        <v>1.9</v>
      </c>
      <c r="G24" s="19">
        <v>14.513</v>
      </c>
      <c r="H24" t="s">
        <v>13</v>
      </c>
    </row>
    <row r="25" spans="1:8">
      <c r="A25" t="s">
        <v>410</v>
      </c>
      <c r="B25" t="s">
        <v>411</v>
      </c>
      <c r="C25">
        <v>14</v>
      </c>
      <c r="D25" s="72">
        <v>787.96429999999998</v>
      </c>
      <c r="E25" s="73">
        <v>7.2099999999999997E-2</v>
      </c>
      <c r="F25" s="19">
        <v>1.8643000000000001</v>
      </c>
      <c r="G25" s="19">
        <v>94.742900000000006</v>
      </c>
      <c r="H25" t="s">
        <v>13</v>
      </c>
    </row>
    <row r="26" spans="1:8">
      <c r="A26" t="s">
        <v>292</v>
      </c>
      <c r="B26" t="s">
        <v>293</v>
      </c>
      <c r="C26">
        <v>20</v>
      </c>
      <c r="D26" s="72">
        <v>975.26</v>
      </c>
      <c r="E26" s="73">
        <v>7.9500000000000001E-2</v>
      </c>
      <c r="F26" s="19">
        <v>4.7750000000000004</v>
      </c>
      <c r="G26" s="19">
        <v>14.49</v>
      </c>
      <c r="H26" t="s">
        <v>13</v>
      </c>
    </row>
    <row r="27" spans="1:8">
      <c r="A27" t="s">
        <v>611</v>
      </c>
      <c r="B27" t="s">
        <v>612</v>
      </c>
      <c r="C27">
        <v>13</v>
      </c>
      <c r="D27" s="72">
        <v>847.5</v>
      </c>
      <c r="E27" s="73">
        <v>1.9199999999999998E-2</v>
      </c>
      <c r="F27" s="19">
        <v>1.7384999999999999</v>
      </c>
      <c r="G27" s="19">
        <v>125.38460000000001</v>
      </c>
      <c r="H27" t="s">
        <v>13</v>
      </c>
    </row>
    <row r="28" spans="1:8">
      <c r="A28" t="s">
        <v>280</v>
      </c>
      <c r="B28" t="s">
        <v>281</v>
      </c>
      <c r="C28">
        <v>18</v>
      </c>
      <c r="D28" s="72">
        <v>979.12220000000002</v>
      </c>
      <c r="E28" s="73">
        <v>1.3299999999999999E-2</v>
      </c>
      <c r="F28" s="19">
        <v>0.80220000000000002</v>
      </c>
      <c r="G28" s="19">
        <v>11.1167</v>
      </c>
      <c r="H28" t="s">
        <v>13</v>
      </c>
    </row>
    <row r="29" spans="1:8">
      <c r="A29" t="s">
        <v>613</v>
      </c>
      <c r="B29" t="s">
        <v>614</v>
      </c>
      <c r="C29">
        <v>17</v>
      </c>
      <c r="D29" s="72">
        <v>665.4588</v>
      </c>
      <c r="E29" s="73">
        <v>4.7000000000000002E-3</v>
      </c>
      <c r="F29" s="19">
        <v>1.1482000000000001</v>
      </c>
      <c r="G29" s="19">
        <v>9.0175999999999998</v>
      </c>
      <c r="H29" t="s">
        <v>14</v>
      </c>
    </row>
    <row r="30" spans="1:8">
      <c r="A30" t="s">
        <v>615</v>
      </c>
      <c r="B30" t="s">
        <v>616</v>
      </c>
      <c r="C30">
        <v>33</v>
      </c>
      <c r="D30" s="72">
        <v>979.91210000000001</v>
      </c>
      <c r="E30" s="73">
        <v>0.76549999999999996</v>
      </c>
      <c r="F30" s="19">
        <v>2.4102999999999999</v>
      </c>
      <c r="G30" s="19">
        <v>25.797000000000001</v>
      </c>
      <c r="H30" t="s">
        <v>13</v>
      </c>
    </row>
    <row r="31" spans="1:8">
      <c r="A31" t="s">
        <v>15</v>
      </c>
      <c r="B31" t="s">
        <v>16</v>
      </c>
      <c r="C31">
        <v>22</v>
      </c>
      <c r="D31" s="72">
        <v>949.25</v>
      </c>
      <c r="E31" s="73">
        <v>8.0500000000000002E-2</v>
      </c>
      <c r="F31" s="19">
        <v>3.2555000000000001</v>
      </c>
      <c r="G31" s="19">
        <v>16.127300000000002</v>
      </c>
      <c r="H31" t="s">
        <v>13</v>
      </c>
    </row>
    <row r="32" spans="1:8">
      <c r="A32" t="s">
        <v>18</v>
      </c>
      <c r="B32" t="s">
        <v>19</v>
      </c>
      <c r="C32">
        <v>18</v>
      </c>
      <c r="D32" s="72">
        <v>980.84439999999995</v>
      </c>
      <c r="E32" s="73">
        <v>5.9400000000000001E-2</v>
      </c>
      <c r="F32" s="19">
        <v>4.9378000000000002</v>
      </c>
      <c r="G32" s="19">
        <v>29.038900000000002</v>
      </c>
      <c r="H32" t="s">
        <v>13</v>
      </c>
    </row>
    <row r="33" spans="1:8">
      <c r="A33" t="s">
        <v>295</v>
      </c>
      <c r="B33" t="s">
        <v>296</v>
      </c>
      <c r="C33">
        <v>21</v>
      </c>
      <c r="D33" s="72">
        <v>935.79049999999995</v>
      </c>
      <c r="E33" s="73">
        <v>1.3299999999999999E-2</v>
      </c>
      <c r="F33" s="19">
        <v>1.8475999999999999</v>
      </c>
      <c r="G33" s="19">
        <v>11.419</v>
      </c>
      <c r="H33" t="s">
        <v>13</v>
      </c>
    </row>
    <row r="34" spans="1:8">
      <c r="A34" t="s">
        <v>413</v>
      </c>
      <c r="B34" t="s">
        <v>414</v>
      </c>
      <c r="C34">
        <v>17</v>
      </c>
      <c r="D34" s="72">
        <v>924.11180000000002</v>
      </c>
      <c r="E34" s="73">
        <v>9.35E-2</v>
      </c>
      <c r="F34" s="19">
        <v>2.5424000000000002</v>
      </c>
      <c r="G34" s="19">
        <v>14.241199999999999</v>
      </c>
      <c r="H34" t="s">
        <v>13</v>
      </c>
    </row>
    <row r="35" spans="1:8">
      <c r="A35" t="s">
        <v>298</v>
      </c>
      <c r="B35" t="s">
        <v>299</v>
      </c>
      <c r="C35">
        <v>19</v>
      </c>
      <c r="D35" s="72">
        <v>886.20529999999997</v>
      </c>
      <c r="E35" s="73">
        <v>0.13159999999999999</v>
      </c>
      <c r="F35" s="19">
        <v>0.6895</v>
      </c>
      <c r="G35" s="19">
        <v>37.210500000000003</v>
      </c>
      <c r="H35" t="s">
        <v>13</v>
      </c>
    </row>
    <row r="36" spans="1:8">
      <c r="A36" t="s">
        <v>416</v>
      </c>
      <c r="B36" t="s">
        <v>417</v>
      </c>
      <c r="C36">
        <v>21</v>
      </c>
      <c r="D36" s="72">
        <v>933.59519999999998</v>
      </c>
      <c r="E36" s="73">
        <v>0.17380000000000001</v>
      </c>
      <c r="F36" s="19">
        <v>4.0713999999999997</v>
      </c>
      <c r="G36" s="19">
        <v>24.3171</v>
      </c>
      <c r="H36" t="s">
        <v>13</v>
      </c>
    </row>
    <row r="37" spans="1:8">
      <c r="A37" t="s">
        <v>106</v>
      </c>
      <c r="B37" t="s">
        <v>107</v>
      </c>
      <c r="C37">
        <v>19</v>
      </c>
      <c r="D37" s="72">
        <v>885.2</v>
      </c>
      <c r="E37" s="73">
        <v>0.12839999999999999</v>
      </c>
      <c r="F37" s="19">
        <v>3.6789000000000001</v>
      </c>
      <c r="G37" s="19">
        <v>51.752600000000001</v>
      </c>
      <c r="H37" t="s">
        <v>13</v>
      </c>
    </row>
    <row r="38" spans="1:8">
      <c r="A38" t="s">
        <v>302</v>
      </c>
      <c r="B38" t="s">
        <v>303</v>
      </c>
      <c r="C38">
        <v>17</v>
      </c>
      <c r="D38" s="72">
        <v>824.71759999999995</v>
      </c>
      <c r="E38" s="73">
        <v>7.9399999999999998E-2</v>
      </c>
      <c r="F38" s="19">
        <v>0.63529999999999998</v>
      </c>
      <c r="G38" s="19">
        <v>12.947100000000001</v>
      </c>
      <c r="H38" t="s">
        <v>13</v>
      </c>
    </row>
    <row r="39" spans="1:8">
      <c r="A39" t="s">
        <v>419</v>
      </c>
      <c r="B39" t="s">
        <v>420</v>
      </c>
      <c r="C39">
        <v>8</v>
      </c>
      <c r="D39" s="72">
        <v>883.3125</v>
      </c>
      <c r="E39" s="73">
        <v>3.2500000000000001E-2</v>
      </c>
      <c r="F39" s="19">
        <v>0.22</v>
      </c>
      <c r="G39" s="19">
        <v>10.45</v>
      </c>
      <c r="H39" t="s">
        <v>13</v>
      </c>
    </row>
    <row r="40" spans="1:8">
      <c r="A40" t="s">
        <v>103</v>
      </c>
      <c r="B40" t="s">
        <v>104</v>
      </c>
      <c r="C40">
        <v>21</v>
      </c>
      <c r="D40" s="72">
        <v>849.41899999999998</v>
      </c>
      <c r="E40" s="73">
        <v>0.1762</v>
      </c>
      <c r="F40" s="19">
        <v>5.6486000000000001</v>
      </c>
      <c r="G40" s="19">
        <v>200.31899999999999</v>
      </c>
      <c r="H40" t="s">
        <v>13</v>
      </c>
    </row>
    <row r="41" spans="1:8">
      <c r="A41" t="s">
        <v>305</v>
      </c>
      <c r="B41" t="s">
        <v>306</v>
      </c>
      <c r="C41">
        <v>17</v>
      </c>
      <c r="D41" s="72">
        <v>874.11760000000004</v>
      </c>
      <c r="E41" s="73">
        <v>0.17349999999999999</v>
      </c>
      <c r="F41" s="19">
        <v>1.5765</v>
      </c>
      <c r="G41" s="19">
        <v>15.3118</v>
      </c>
      <c r="H41" t="s">
        <v>13</v>
      </c>
    </row>
    <row r="42" spans="1:8">
      <c r="A42" t="s">
        <v>422</v>
      </c>
      <c r="B42" t="s">
        <v>423</v>
      </c>
      <c r="C42">
        <v>19</v>
      </c>
      <c r="D42" s="72">
        <v>837.8211</v>
      </c>
      <c r="E42" s="73">
        <v>0.25319999999999998</v>
      </c>
      <c r="F42" s="19">
        <v>3.2368000000000001</v>
      </c>
      <c r="G42" s="19">
        <v>12.9895</v>
      </c>
      <c r="H42" t="s">
        <v>13</v>
      </c>
    </row>
    <row r="43" spans="1:8">
      <c r="A43" t="s">
        <v>121</v>
      </c>
      <c r="B43" t="s">
        <v>122</v>
      </c>
      <c r="C43">
        <v>27</v>
      </c>
      <c r="D43" s="72">
        <v>848.22220000000004</v>
      </c>
      <c r="E43" s="73">
        <v>0.59109999999999996</v>
      </c>
      <c r="F43" s="19">
        <v>2.1185</v>
      </c>
      <c r="G43" s="19">
        <v>265.9778</v>
      </c>
      <c r="H43" t="s">
        <v>13</v>
      </c>
    </row>
    <row r="44" spans="1:8">
      <c r="A44" t="s">
        <v>145</v>
      </c>
      <c r="B44" t="s">
        <v>146</v>
      </c>
      <c r="C44">
        <v>18</v>
      </c>
      <c r="D44" s="72">
        <v>979.96669999999995</v>
      </c>
      <c r="E44" s="73">
        <v>0.1867</v>
      </c>
      <c r="F44" s="19">
        <v>2.6943999999999999</v>
      </c>
      <c r="G44" s="19">
        <v>38.7333</v>
      </c>
      <c r="H44" t="s">
        <v>13</v>
      </c>
    </row>
    <row r="45" spans="1:8">
      <c r="A45" t="s">
        <v>617</v>
      </c>
      <c r="B45" t="s">
        <v>618</v>
      </c>
      <c r="C45">
        <v>25</v>
      </c>
      <c r="D45" s="72">
        <v>988.64800000000002</v>
      </c>
      <c r="E45" s="73">
        <v>5.4800000000000001E-2</v>
      </c>
      <c r="F45" s="19">
        <v>2.3439999999999999</v>
      </c>
      <c r="G45" s="19">
        <v>1171.2639999999999</v>
      </c>
      <c r="H45" t="s">
        <v>13</v>
      </c>
    </row>
    <row r="46" spans="1:8">
      <c r="A46" t="s">
        <v>619</v>
      </c>
      <c r="B46" t="s">
        <v>620</v>
      </c>
      <c r="C46">
        <v>15</v>
      </c>
      <c r="D46" s="72">
        <v>741.22670000000005</v>
      </c>
      <c r="E46" s="73">
        <v>6.2700000000000006E-2</v>
      </c>
      <c r="F46" s="19">
        <v>2.8933</v>
      </c>
      <c r="G46" s="19">
        <v>11.8</v>
      </c>
      <c r="H46" t="s">
        <v>13</v>
      </c>
    </row>
    <row r="47" spans="1:8">
      <c r="A47" t="s">
        <v>308</v>
      </c>
      <c r="B47" t="s">
        <v>309</v>
      </c>
      <c r="C47">
        <v>19</v>
      </c>
      <c r="D47" s="72">
        <v>973.86839999999995</v>
      </c>
      <c r="E47" s="73">
        <v>0.1221</v>
      </c>
      <c r="F47" s="19">
        <v>11.5632</v>
      </c>
      <c r="G47" s="19">
        <v>12.39</v>
      </c>
      <c r="H47" t="s">
        <v>13</v>
      </c>
    </row>
    <row r="48" spans="1:8">
      <c r="A48" t="s">
        <v>311</v>
      </c>
      <c r="B48" t="s">
        <v>312</v>
      </c>
      <c r="C48">
        <v>15</v>
      </c>
      <c r="D48" s="72">
        <v>684.6</v>
      </c>
      <c r="E48" s="73">
        <v>0.16600000000000001</v>
      </c>
      <c r="F48" s="19">
        <v>3.1</v>
      </c>
      <c r="G48" s="19">
        <v>133.08670000000001</v>
      </c>
      <c r="H48" t="s">
        <v>14</v>
      </c>
    </row>
    <row r="49" spans="1:8">
      <c r="A49" t="s">
        <v>425</v>
      </c>
      <c r="B49" t="s">
        <v>426</v>
      </c>
      <c r="C49">
        <v>26</v>
      </c>
      <c r="D49" s="72">
        <v>811.40269999999998</v>
      </c>
      <c r="E49" s="73">
        <v>0.14419999999999999</v>
      </c>
      <c r="F49" s="19">
        <v>0.77310000000000001</v>
      </c>
      <c r="G49" s="19">
        <v>199.92420000000001</v>
      </c>
      <c r="H49" t="s">
        <v>13</v>
      </c>
    </row>
    <row r="50" spans="1:8">
      <c r="A50" t="s">
        <v>93</v>
      </c>
      <c r="B50" t="s">
        <v>94</v>
      </c>
      <c r="C50">
        <v>42</v>
      </c>
      <c r="D50" s="72">
        <v>933.6952</v>
      </c>
      <c r="E50" s="73">
        <v>0.1729</v>
      </c>
      <c r="F50" s="19">
        <v>1.0124</v>
      </c>
      <c r="G50" s="19">
        <v>14.9452</v>
      </c>
      <c r="H50" t="s">
        <v>13</v>
      </c>
    </row>
    <row r="51" spans="1:8">
      <c r="A51" t="s">
        <v>621</v>
      </c>
      <c r="B51" t="s">
        <v>622</v>
      </c>
      <c r="C51">
        <v>19</v>
      </c>
      <c r="D51" s="72">
        <v>888.42110000000002</v>
      </c>
      <c r="E51" s="73">
        <v>7.2599999999999998E-2</v>
      </c>
      <c r="F51" s="19">
        <v>3.2357999999999998</v>
      </c>
      <c r="G51" s="19">
        <v>1603.4105</v>
      </c>
      <c r="H51" t="s">
        <v>13</v>
      </c>
    </row>
    <row r="52" spans="1:8">
      <c r="A52" t="s">
        <v>428</v>
      </c>
      <c r="B52" t="s">
        <v>429</v>
      </c>
      <c r="C52">
        <v>24</v>
      </c>
      <c r="D52" s="72">
        <v>870.46249999999998</v>
      </c>
      <c r="E52" s="73">
        <v>0.19</v>
      </c>
      <c r="F52" s="19">
        <v>3.5333000000000001</v>
      </c>
      <c r="G52" s="19">
        <v>1628.6</v>
      </c>
      <c r="H52" t="s">
        <v>13</v>
      </c>
    </row>
    <row r="53" spans="1:8">
      <c r="A53" t="s">
        <v>314</v>
      </c>
      <c r="B53" t="s">
        <v>315</v>
      </c>
      <c r="C53">
        <v>13</v>
      </c>
      <c r="D53" s="72">
        <v>844.32309999999995</v>
      </c>
      <c r="E53" s="73">
        <v>8.1500000000000003E-2</v>
      </c>
      <c r="F53" s="19">
        <v>0.2462</v>
      </c>
      <c r="G53" s="19">
        <v>10.869199999999999</v>
      </c>
      <c r="H53" t="s">
        <v>13</v>
      </c>
    </row>
    <row r="54" spans="1:8">
      <c r="A54" t="s">
        <v>431</v>
      </c>
      <c r="B54" t="s">
        <v>432</v>
      </c>
      <c r="C54">
        <v>26</v>
      </c>
      <c r="D54" s="72">
        <v>641.32309999999995</v>
      </c>
      <c r="E54" s="73">
        <v>0.65580000000000005</v>
      </c>
      <c r="F54" s="19">
        <v>7.8146000000000004</v>
      </c>
      <c r="G54" s="19">
        <v>1086.3037999999999</v>
      </c>
      <c r="H54" t="s">
        <v>14</v>
      </c>
    </row>
    <row r="55" spans="1:8">
      <c r="A55" t="s">
        <v>199</v>
      </c>
      <c r="B55" t="s">
        <v>200</v>
      </c>
      <c r="C55">
        <v>20</v>
      </c>
      <c r="D55" s="72">
        <v>752.93499999999995</v>
      </c>
      <c r="E55" s="73">
        <v>6.4000000000000001E-2</v>
      </c>
      <c r="F55" s="19">
        <v>0.46899999999999997</v>
      </c>
      <c r="G55" s="19">
        <v>22.135000000000002</v>
      </c>
      <c r="H55" t="s">
        <v>13</v>
      </c>
    </row>
    <row r="56" spans="1:8">
      <c r="A56" t="s">
        <v>202</v>
      </c>
      <c r="B56" t="s">
        <v>203</v>
      </c>
      <c r="C56">
        <v>13</v>
      </c>
      <c r="D56" s="72">
        <v>708.79229999999995</v>
      </c>
      <c r="E56" s="73">
        <v>0.1023</v>
      </c>
      <c r="F56" s="19">
        <v>9.1462000000000003</v>
      </c>
      <c r="G56" s="19">
        <v>2251.4769000000001</v>
      </c>
      <c r="H56" t="s">
        <v>13</v>
      </c>
    </row>
    <row r="57" spans="1:8">
      <c r="A57" t="s">
        <v>148</v>
      </c>
      <c r="B57" t="s">
        <v>149</v>
      </c>
      <c r="C57">
        <v>13</v>
      </c>
      <c r="D57" s="72">
        <v>983.84619999999995</v>
      </c>
      <c r="E57" s="73">
        <v>2.3099999999999999E-2</v>
      </c>
      <c r="F57" s="19">
        <v>0.99229999999999996</v>
      </c>
      <c r="G57" s="19">
        <v>11.469200000000001</v>
      </c>
      <c r="H57" t="s">
        <v>13</v>
      </c>
    </row>
    <row r="58" spans="1:8">
      <c r="A58" t="s">
        <v>623</v>
      </c>
      <c r="B58" t="s">
        <v>624</v>
      </c>
      <c r="C58">
        <v>17</v>
      </c>
      <c r="D58" s="72">
        <v>932.09410000000003</v>
      </c>
      <c r="E58" s="73">
        <v>0.22650000000000001</v>
      </c>
      <c r="F58" s="19">
        <v>2.0293999999999999</v>
      </c>
      <c r="G58" s="19">
        <v>156.15289999999999</v>
      </c>
      <c r="H58" t="s">
        <v>13</v>
      </c>
    </row>
    <row r="59" spans="1:8">
      <c r="A59" t="s">
        <v>136</v>
      </c>
      <c r="B59" t="s">
        <v>137</v>
      </c>
      <c r="C59">
        <v>26</v>
      </c>
      <c r="D59" s="72">
        <v>979.83460000000002</v>
      </c>
      <c r="E59" s="73">
        <v>5.2299999999999999E-2</v>
      </c>
      <c r="F59" s="19">
        <v>0.94230000000000003</v>
      </c>
      <c r="G59" s="19">
        <v>12.365399999999999</v>
      </c>
      <c r="H59" t="s">
        <v>13</v>
      </c>
    </row>
    <row r="60" spans="1:8">
      <c r="A60" t="s">
        <v>139</v>
      </c>
      <c r="B60" t="s">
        <v>140</v>
      </c>
      <c r="C60">
        <v>36</v>
      </c>
      <c r="D60" s="72">
        <v>977.31389999999999</v>
      </c>
      <c r="E60" s="73">
        <v>0.15190000000000001</v>
      </c>
      <c r="F60" s="19">
        <v>1.5349999999999999</v>
      </c>
      <c r="G60" s="19">
        <v>933.81939999999997</v>
      </c>
      <c r="H60" t="s">
        <v>13</v>
      </c>
    </row>
    <row r="61" spans="1:8">
      <c r="A61" t="s">
        <v>274</v>
      </c>
      <c r="B61" t="s">
        <v>275</v>
      </c>
      <c r="C61">
        <v>14</v>
      </c>
      <c r="D61" s="72">
        <v>914.39290000000005</v>
      </c>
      <c r="E61" s="73">
        <v>0.19139999999999999</v>
      </c>
      <c r="F61" s="19">
        <v>5.2114000000000003</v>
      </c>
      <c r="G61" s="19">
        <v>5383.5928999999996</v>
      </c>
      <c r="H61" t="s">
        <v>13</v>
      </c>
    </row>
    <row r="62" spans="1:8">
      <c r="A62" t="s">
        <v>277</v>
      </c>
      <c r="B62" t="s">
        <v>278</v>
      </c>
      <c r="C62">
        <v>12</v>
      </c>
      <c r="D62" s="72">
        <v>905.64170000000001</v>
      </c>
      <c r="E62" s="73">
        <v>0.1017</v>
      </c>
      <c r="F62" s="19">
        <v>2.335</v>
      </c>
      <c r="G62" s="19">
        <v>13.7</v>
      </c>
      <c r="H62" t="s">
        <v>13</v>
      </c>
    </row>
    <row r="63" spans="1:8">
      <c r="A63" t="s">
        <v>625</v>
      </c>
      <c r="B63" t="s">
        <v>626</v>
      </c>
      <c r="C63">
        <v>49</v>
      </c>
      <c r="D63" s="72">
        <v>976.59590000000003</v>
      </c>
      <c r="E63" s="73">
        <v>0.12920000000000001</v>
      </c>
      <c r="F63" s="19">
        <v>2.6770999999999998</v>
      </c>
      <c r="G63" s="19">
        <v>21.946899999999999</v>
      </c>
      <c r="H63" t="s">
        <v>13</v>
      </c>
    </row>
    <row r="64" spans="1:8">
      <c r="A64" t="s">
        <v>317</v>
      </c>
      <c r="B64" t="s">
        <v>318</v>
      </c>
      <c r="C64">
        <v>17</v>
      </c>
      <c r="D64" s="72">
        <v>871.02940000000001</v>
      </c>
      <c r="E64" s="73">
        <v>1.12E-2</v>
      </c>
      <c r="F64" s="19">
        <v>0.82350000000000001</v>
      </c>
      <c r="G64" s="19">
        <v>10.4176</v>
      </c>
      <c r="H64" t="s">
        <v>13</v>
      </c>
    </row>
    <row r="65" spans="1:8">
      <c r="A65" t="s">
        <v>627</v>
      </c>
      <c r="B65" t="s">
        <v>628</v>
      </c>
      <c r="C65">
        <v>13</v>
      </c>
      <c r="D65" s="72">
        <v>781.57690000000002</v>
      </c>
      <c r="E65" s="73">
        <v>4.6899999999999997E-2</v>
      </c>
      <c r="F65" s="19">
        <v>0.63539999999999996</v>
      </c>
      <c r="G65" s="19">
        <v>15.2615</v>
      </c>
      <c r="H65" t="s">
        <v>13</v>
      </c>
    </row>
    <row r="66" spans="1:8">
      <c r="A66" t="s">
        <v>629</v>
      </c>
      <c r="B66" t="s">
        <v>630</v>
      </c>
      <c r="C66">
        <v>13</v>
      </c>
      <c r="D66" s="72">
        <v>841.66150000000005</v>
      </c>
      <c r="E66" s="73">
        <v>5.3800000000000001E-2</v>
      </c>
      <c r="F66" s="19">
        <v>0.90769999999999995</v>
      </c>
      <c r="G66" s="19">
        <v>16.1846</v>
      </c>
      <c r="H66" t="s">
        <v>13</v>
      </c>
    </row>
    <row r="67" spans="1:8">
      <c r="A67" t="s">
        <v>631</v>
      </c>
      <c r="B67" t="s">
        <v>632</v>
      </c>
      <c r="C67">
        <v>20</v>
      </c>
      <c r="D67" s="72">
        <v>886.55</v>
      </c>
      <c r="E67" s="73">
        <v>0.26</v>
      </c>
      <c r="F67" s="19">
        <v>2.5049999999999999</v>
      </c>
      <c r="G67" s="19">
        <v>1889.835</v>
      </c>
      <c r="H67" t="s">
        <v>13</v>
      </c>
    </row>
    <row r="68" spans="1:8">
      <c r="A68" t="s">
        <v>434</v>
      </c>
      <c r="B68" t="s">
        <v>435</v>
      </c>
      <c r="C68">
        <v>10</v>
      </c>
      <c r="D68" s="72">
        <v>887.06</v>
      </c>
      <c r="E68" s="73">
        <v>9.2999999999999999E-2</v>
      </c>
      <c r="F68" s="19">
        <v>2.0840000000000001</v>
      </c>
      <c r="G68" s="19">
        <v>29.13</v>
      </c>
      <c r="H68" t="s">
        <v>13</v>
      </c>
    </row>
    <row r="69" spans="1:8">
      <c r="A69" t="s">
        <v>151</v>
      </c>
      <c r="B69" t="s">
        <v>152</v>
      </c>
      <c r="C69">
        <v>31</v>
      </c>
      <c r="D69" s="72">
        <v>973.68709999999999</v>
      </c>
      <c r="E69" s="73">
        <v>0.21</v>
      </c>
      <c r="F69" s="19">
        <v>3.9232</v>
      </c>
      <c r="G69" s="19">
        <v>2789.5742</v>
      </c>
      <c r="H69" t="s">
        <v>13</v>
      </c>
    </row>
    <row r="70" spans="1:8">
      <c r="A70" t="s">
        <v>633</v>
      </c>
      <c r="B70" t="s">
        <v>634</v>
      </c>
      <c r="C70">
        <v>15</v>
      </c>
      <c r="D70" s="72">
        <v>916.79330000000004</v>
      </c>
      <c r="E70" s="73">
        <v>0.25800000000000001</v>
      </c>
      <c r="F70" s="19">
        <v>2.0333000000000001</v>
      </c>
      <c r="G70" s="19">
        <v>54.52</v>
      </c>
      <c r="H70" t="s">
        <v>13</v>
      </c>
    </row>
    <row r="71" spans="1:8">
      <c r="A71" t="s">
        <v>635</v>
      </c>
      <c r="B71" t="s">
        <v>636</v>
      </c>
      <c r="C71">
        <v>15</v>
      </c>
      <c r="D71" s="72">
        <v>797.8</v>
      </c>
      <c r="E71" s="73">
        <v>0.1447</v>
      </c>
      <c r="F71" s="19">
        <v>1.0266999999999999</v>
      </c>
      <c r="G71" s="19">
        <v>65.400000000000006</v>
      </c>
      <c r="H71" t="s">
        <v>13</v>
      </c>
    </row>
    <row r="72" spans="1:8">
      <c r="A72" t="s">
        <v>637</v>
      </c>
      <c r="B72" t="s">
        <v>638</v>
      </c>
      <c r="C72">
        <v>14</v>
      </c>
      <c r="D72" s="72">
        <v>855.12139999999999</v>
      </c>
      <c r="E72" s="73">
        <v>1.5699999999999999E-2</v>
      </c>
      <c r="F72" s="19">
        <v>0.70709999999999995</v>
      </c>
      <c r="G72" s="19">
        <v>44.428600000000003</v>
      </c>
      <c r="H72" t="s">
        <v>13</v>
      </c>
    </row>
    <row r="73" spans="1:8">
      <c r="A73" t="s">
        <v>551</v>
      </c>
      <c r="B73" t="s">
        <v>552</v>
      </c>
      <c r="C73">
        <v>19</v>
      </c>
      <c r="D73" s="72">
        <v>980.27369999999996</v>
      </c>
      <c r="E73" s="73">
        <v>7.7899999999999997E-2</v>
      </c>
      <c r="F73" s="19">
        <v>0.73160000000000003</v>
      </c>
      <c r="G73" s="19">
        <v>32.631599999999999</v>
      </c>
      <c r="H73" t="s">
        <v>13</v>
      </c>
    </row>
    <row r="74" spans="1:8">
      <c r="A74" t="s">
        <v>320</v>
      </c>
      <c r="B74" t="s">
        <v>321</v>
      </c>
      <c r="C74">
        <v>12</v>
      </c>
      <c r="D74" s="72">
        <v>975.57500000000005</v>
      </c>
      <c r="E74" s="73">
        <v>0.1633</v>
      </c>
      <c r="F74" s="19">
        <v>0.7167</v>
      </c>
      <c r="G74" s="19">
        <v>32.799999999999997</v>
      </c>
      <c r="H74" t="s">
        <v>13</v>
      </c>
    </row>
    <row r="75" spans="1:8">
      <c r="A75" t="s">
        <v>639</v>
      </c>
      <c r="B75" t="s">
        <v>640</v>
      </c>
      <c r="C75">
        <v>16</v>
      </c>
      <c r="D75" s="72">
        <v>766.56880000000001</v>
      </c>
      <c r="E75" s="73">
        <v>0.50249999999999995</v>
      </c>
      <c r="F75" s="19">
        <v>3.6438000000000001</v>
      </c>
      <c r="G75" s="19">
        <v>19.768799999999999</v>
      </c>
      <c r="H75" t="s">
        <v>13</v>
      </c>
    </row>
    <row r="76" spans="1:8">
      <c r="A76" t="s">
        <v>557</v>
      </c>
      <c r="B76" t="s">
        <v>558</v>
      </c>
      <c r="C76">
        <v>26</v>
      </c>
      <c r="D76" s="72">
        <v>674.58079999999995</v>
      </c>
      <c r="E76" s="73">
        <v>5.2299999999999999E-2</v>
      </c>
      <c r="F76" s="19">
        <v>2.1715</v>
      </c>
      <c r="G76" s="19">
        <v>17.365400000000001</v>
      </c>
      <c r="H76" t="s">
        <v>14</v>
      </c>
    </row>
    <row r="77" spans="1:8">
      <c r="A77" t="s">
        <v>641</v>
      </c>
      <c r="B77" t="s">
        <v>642</v>
      </c>
      <c r="C77">
        <v>11</v>
      </c>
      <c r="D77" s="72">
        <v>999.13639999999998</v>
      </c>
      <c r="E77" s="73">
        <v>2.2700000000000001E-2</v>
      </c>
      <c r="F77" s="19">
        <v>1.4618</v>
      </c>
      <c r="G77" s="19">
        <v>11.9909</v>
      </c>
      <c r="H77" t="s">
        <v>13</v>
      </c>
    </row>
    <row r="78" spans="1:8">
      <c r="A78" t="s">
        <v>130</v>
      </c>
      <c r="B78" t="s">
        <v>131</v>
      </c>
      <c r="C78">
        <v>29</v>
      </c>
      <c r="D78" s="72">
        <v>976.57929999999999</v>
      </c>
      <c r="E78" s="73">
        <v>8.6599999999999996E-2</v>
      </c>
      <c r="F78" s="19">
        <v>3.4</v>
      </c>
      <c r="G78" s="19">
        <v>16.2241</v>
      </c>
      <c r="H78" t="s">
        <v>13</v>
      </c>
    </row>
    <row r="79" spans="1:8">
      <c r="A79" t="s">
        <v>548</v>
      </c>
      <c r="B79" t="s">
        <v>549</v>
      </c>
      <c r="C79">
        <v>21</v>
      </c>
      <c r="D79" s="72">
        <v>936.85709999999995</v>
      </c>
      <c r="E79" s="73">
        <v>6.4299999999999996E-2</v>
      </c>
      <c r="F79" s="19">
        <v>1.3475999999999999</v>
      </c>
      <c r="G79" s="19">
        <v>26.3</v>
      </c>
      <c r="H79" t="s">
        <v>13</v>
      </c>
    </row>
    <row r="80" spans="1:8">
      <c r="A80" t="s">
        <v>542</v>
      </c>
      <c r="B80" t="s">
        <v>543</v>
      </c>
      <c r="C80">
        <v>20</v>
      </c>
      <c r="D80" s="72">
        <v>984.11500000000001</v>
      </c>
      <c r="E80" s="73">
        <v>6.3E-2</v>
      </c>
      <c r="F80" s="19">
        <v>4.66</v>
      </c>
      <c r="G80" s="19">
        <v>15.63</v>
      </c>
      <c r="H80" t="s">
        <v>13</v>
      </c>
    </row>
    <row r="81" spans="1:8">
      <c r="A81" t="s">
        <v>205</v>
      </c>
      <c r="B81" t="s">
        <v>206</v>
      </c>
      <c r="C81">
        <v>20</v>
      </c>
      <c r="D81" s="72">
        <v>753.39499999999998</v>
      </c>
      <c r="E81" s="73">
        <v>0.13</v>
      </c>
      <c r="F81" s="19">
        <v>1.121</v>
      </c>
      <c r="G81" s="19">
        <v>1698.37</v>
      </c>
      <c r="H81" t="s">
        <v>13</v>
      </c>
    </row>
    <row r="82" spans="1:8">
      <c r="A82" t="s">
        <v>208</v>
      </c>
      <c r="B82" t="s">
        <v>209</v>
      </c>
      <c r="C82">
        <v>15</v>
      </c>
      <c r="D82" s="72">
        <v>798.5933</v>
      </c>
      <c r="E82" s="73">
        <v>0.56730000000000003</v>
      </c>
      <c r="F82" s="19">
        <v>3.4333</v>
      </c>
      <c r="G82" s="19">
        <v>3834.24</v>
      </c>
      <c r="H82" t="s">
        <v>13</v>
      </c>
    </row>
    <row r="83" spans="1:8">
      <c r="A83" t="s">
        <v>211</v>
      </c>
      <c r="B83" t="s">
        <v>212</v>
      </c>
      <c r="C83">
        <v>15</v>
      </c>
      <c r="D83" s="72">
        <v>923.19330000000002</v>
      </c>
      <c r="E83" s="73">
        <v>7.7299999999999994E-2</v>
      </c>
      <c r="F83" s="19">
        <v>0.29330000000000001</v>
      </c>
      <c r="G83" s="19">
        <v>11.7333</v>
      </c>
      <c r="H83" t="s">
        <v>13</v>
      </c>
    </row>
    <row r="84" spans="1:8">
      <c r="A84" t="s">
        <v>48</v>
      </c>
      <c r="B84" t="s">
        <v>49</v>
      </c>
      <c r="C84">
        <v>26</v>
      </c>
      <c r="D84" s="72">
        <v>980.55769999999995</v>
      </c>
      <c r="E84" s="73">
        <v>4.9599999999999998E-2</v>
      </c>
      <c r="F84" s="19">
        <v>1.7384999999999999</v>
      </c>
      <c r="G84" s="19">
        <v>13.057700000000001</v>
      </c>
      <c r="H84" t="s">
        <v>13</v>
      </c>
    </row>
    <row r="85" spans="1:8">
      <c r="A85" t="s">
        <v>643</v>
      </c>
      <c r="B85" t="s">
        <v>644</v>
      </c>
      <c r="C85">
        <v>14</v>
      </c>
      <c r="D85" s="72">
        <v>854.52859999999998</v>
      </c>
      <c r="E85" s="73">
        <v>0.15210000000000001</v>
      </c>
      <c r="F85" s="19">
        <v>1.6429</v>
      </c>
      <c r="G85" s="19">
        <v>16.078600000000002</v>
      </c>
      <c r="H85" t="s">
        <v>13</v>
      </c>
    </row>
    <row r="86" spans="1:8">
      <c r="A86" t="s">
        <v>214</v>
      </c>
      <c r="B86" t="s">
        <v>215</v>
      </c>
      <c r="C86">
        <v>16</v>
      </c>
      <c r="D86" s="72">
        <v>869.91250000000002</v>
      </c>
      <c r="E86" s="73">
        <v>0.40310000000000001</v>
      </c>
      <c r="F86" s="19">
        <v>1.6062000000000001</v>
      </c>
      <c r="G86" s="19">
        <v>44.0625</v>
      </c>
      <c r="H86" t="s">
        <v>13</v>
      </c>
    </row>
    <row r="87" spans="1:8">
      <c r="A87" t="s">
        <v>645</v>
      </c>
      <c r="B87" t="s">
        <v>646</v>
      </c>
      <c r="C87">
        <v>13</v>
      </c>
      <c r="D87" s="72">
        <v>977.23850000000004</v>
      </c>
      <c r="E87" s="73">
        <v>8.77E-2</v>
      </c>
      <c r="F87" s="19">
        <v>2.8923000000000001</v>
      </c>
      <c r="G87" s="19">
        <v>5795.6462000000001</v>
      </c>
      <c r="H87" t="s">
        <v>13</v>
      </c>
    </row>
    <row r="88" spans="1:8">
      <c r="A88" t="s">
        <v>647</v>
      </c>
      <c r="B88" t="s">
        <v>648</v>
      </c>
      <c r="C88">
        <v>34</v>
      </c>
      <c r="D88" s="72">
        <v>924.15589999999997</v>
      </c>
      <c r="E88" s="73">
        <v>5.3199999999999997E-2</v>
      </c>
      <c r="F88" s="19">
        <v>1.2635000000000001</v>
      </c>
      <c r="G88" s="19">
        <v>13.9588</v>
      </c>
      <c r="H88" t="s">
        <v>13</v>
      </c>
    </row>
    <row r="89" spans="1:8">
      <c r="A89" t="s">
        <v>323</v>
      </c>
      <c r="B89" t="s">
        <v>324</v>
      </c>
      <c r="C89">
        <v>23</v>
      </c>
      <c r="D89" s="72">
        <v>977.76089999999999</v>
      </c>
      <c r="E89" s="73">
        <v>4.0899999999999999E-2</v>
      </c>
      <c r="F89" s="19">
        <v>2.6825999999999999</v>
      </c>
      <c r="G89" s="19">
        <v>14.3652</v>
      </c>
      <c r="H89" t="s">
        <v>13</v>
      </c>
    </row>
    <row r="90" spans="1:8">
      <c r="A90" t="s">
        <v>649</v>
      </c>
      <c r="B90" t="s">
        <v>650</v>
      </c>
      <c r="C90">
        <v>22</v>
      </c>
      <c r="D90" s="72">
        <v>819.59090000000003</v>
      </c>
      <c r="E90" s="73">
        <v>0.13550000000000001</v>
      </c>
      <c r="F90" s="19">
        <v>1.6427</v>
      </c>
      <c r="G90" s="19">
        <v>69.677300000000002</v>
      </c>
      <c r="H90" t="s">
        <v>13</v>
      </c>
    </row>
    <row r="91" spans="1:8">
      <c r="A91" t="s">
        <v>326</v>
      </c>
      <c r="B91" t="s">
        <v>327</v>
      </c>
      <c r="C91">
        <v>25</v>
      </c>
      <c r="D91" s="72">
        <v>973.42</v>
      </c>
      <c r="E91" s="73">
        <v>0.17080000000000001</v>
      </c>
      <c r="F91" s="19">
        <v>2.972</v>
      </c>
      <c r="G91" s="19">
        <v>25.116</v>
      </c>
      <c r="H91" t="s">
        <v>13</v>
      </c>
    </row>
    <row r="92" spans="1:8">
      <c r="A92" t="s">
        <v>437</v>
      </c>
      <c r="B92" t="s">
        <v>438</v>
      </c>
      <c r="C92">
        <v>25</v>
      </c>
      <c r="D92" s="72">
        <v>910.976</v>
      </c>
      <c r="E92" s="73">
        <v>7.1199999999999999E-2</v>
      </c>
      <c r="F92" s="19">
        <v>1.296</v>
      </c>
      <c r="G92" s="19">
        <v>19.736000000000001</v>
      </c>
      <c r="H92" t="s">
        <v>13</v>
      </c>
    </row>
    <row r="93" spans="1:8">
      <c r="A93" t="s">
        <v>575</v>
      </c>
      <c r="B93" t="s">
        <v>576</v>
      </c>
      <c r="C93">
        <v>5</v>
      </c>
      <c r="D93" s="72">
        <v>978.74</v>
      </c>
      <c r="E93" s="73">
        <v>0.10199999999999999</v>
      </c>
      <c r="F93" s="19">
        <v>1.548</v>
      </c>
      <c r="G93" s="19">
        <v>31.7</v>
      </c>
      <c r="H93" t="s">
        <v>13</v>
      </c>
    </row>
    <row r="94" spans="1:8">
      <c r="A94" t="s">
        <v>651</v>
      </c>
      <c r="B94" t="s">
        <v>652</v>
      </c>
      <c r="C94">
        <v>29</v>
      </c>
      <c r="D94" s="72">
        <v>974.40689999999995</v>
      </c>
      <c r="E94" s="73">
        <v>0.13239999999999999</v>
      </c>
      <c r="F94" s="19">
        <v>2.6979000000000002</v>
      </c>
      <c r="G94" s="19">
        <v>29.134499999999999</v>
      </c>
      <c r="H94" t="s">
        <v>13</v>
      </c>
    </row>
    <row r="95" spans="1:8">
      <c r="A95" t="s">
        <v>21</v>
      </c>
      <c r="B95" t="s">
        <v>22</v>
      </c>
      <c r="C95">
        <v>27</v>
      </c>
      <c r="D95" s="72">
        <v>847.70740000000001</v>
      </c>
      <c r="E95" s="73">
        <v>0.35039999999999999</v>
      </c>
      <c r="F95" s="19">
        <v>6.0903999999999998</v>
      </c>
      <c r="G95" s="19">
        <v>1514.6481000000001</v>
      </c>
      <c r="H95" t="s">
        <v>13</v>
      </c>
    </row>
    <row r="96" spans="1:8">
      <c r="A96" t="s">
        <v>329</v>
      </c>
      <c r="B96" t="s">
        <v>330</v>
      </c>
      <c r="C96">
        <v>14</v>
      </c>
      <c r="D96" s="72">
        <v>791.46289999999999</v>
      </c>
      <c r="E96" s="73">
        <v>0.24360000000000001</v>
      </c>
      <c r="F96" s="19">
        <v>9.1857000000000006</v>
      </c>
      <c r="G96" s="19">
        <v>350.92140000000001</v>
      </c>
      <c r="H96" t="s">
        <v>13</v>
      </c>
    </row>
    <row r="97" spans="1:8">
      <c r="A97" t="s">
        <v>440</v>
      </c>
      <c r="B97" t="s">
        <v>441</v>
      </c>
      <c r="C97">
        <v>25</v>
      </c>
      <c r="D97" s="72">
        <v>946.70399999999995</v>
      </c>
      <c r="E97" s="73">
        <v>5.04E-2</v>
      </c>
      <c r="F97" s="19">
        <v>3.3039999999999998</v>
      </c>
      <c r="G97" s="19">
        <v>16.056000000000001</v>
      </c>
      <c r="H97" t="s">
        <v>13</v>
      </c>
    </row>
    <row r="98" spans="1:8">
      <c r="A98" t="s">
        <v>90</v>
      </c>
      <c r="B98" t="s">
        <v>91</v>
      </c>
      <c r="C98">
        <v>30</v>
      </c>
      <c r="D98" s="72">
        <v>976.66669999999999</v>
      </c>
      <c r="E98" s="73">
        <v>5.8999999999999997E-2</v>
      </c>
      <c r="F98" s="19">
        <v>3.8113000000000001</v>
      </c>
      <c r="G98" s="19">
        <v>20.49</v>
      </c>
      <c r="H98" t="s">
        <v>13</v>
      </c>
    </row>
    <row r="99" spans="1:8">
      <c r="A99" t="s">
        <v>332</v>
      </c>
      <c r="B99" t="s">
        <v>333</v>
      </c>
      <c r="C99">
        <v>24</v>
      </c>
      <c r="D99" s="72">
        <v>972.77080000000001</v>
      </c>
      <c r="E99" s="73">
        <v>3.2099999999999997E-2</v>
      </c>
      <c r="F99" s="19">
        <v>1.3374999999999999</v>
      </c>
      <c r="G99" s="19">
        <v>21.3</v>
      </c>
      <c r="H99" t="s">
        <v>13</v>
      </c>
    </row>
    <row r="100" spans="1:8">
      <c r="A100" t="s">
        <v>443</v>
      </c>
      <c r="B100" t="s">
        <v>444</v>
      </c>
      <c r="C100">
        <v>12</v>
      </c>
      <c r="D100" s="72">
        <v>763.39170000000001</v>
      </c>
      <c r="E100" s="73">
        <v>0.1525</v>
      </c>
      <c r="F100" s="19">
        <v>0.95</v>
      </c>
      <c r="G100" s="19">
        <v>167.3083</v>
      </c>
      <c r="H100" t="s">
        <v>13</v>
      </c>
    </row>
    <row r="101" spans="1:8">
      <c r="A101" t="s">
        <v>653</v>
      </c>
      <c r="B101" t="s">
        <v>654</v>
      </c>
      <c r="C101">
        <v>12</v>
      </c>
      <c r="D101" s="72">
        <v>976.55</v>
      </c>
      <c r="E101" s="73">
        <v>2.92E-2</v>
      </c>
      <c r="F101" s="19">
        <v>1.635</v>
      </c>
      <c r="G101" s="19">
        <v>11.816700000000001</v>
      </c>
      <c r="H101" t="s">
        <v>13</v>
      </c>
    </row>
    <row r="102" spans="1:8">
      <c r="A102" t="s">
        <v>24</v>
      </c>
      <c r="B102" t="s">
        <v>25</v>
      </c>
      <c r="C102">
        <v>18</v>
      </c>
      <c r="D102" s="72">
        <v>687.06669999999997</v>
      </c>
      <c r="E102" s="73">
        <v>0.2611</v>
      </c>
      <c r="F102" s="19">
        <v>2.0310999999999999</v>
      </c>
      <c r="G102" s="19">
        <v>469.36669999999998</v>
      </c>
      <c r="H102" t="s">
        <v>14</v>
      </c>
    </row>
    <row r="103" spans="1:8">
      <c r="A103" t="s">
        <v>335</v>
      </c>
      <c r="B103" t="s">
        <v>336</v>
      </c>
      <c r="C103">
        <v>21</v>
      </c>
      <c r="D103" s="72">
        <v>978.83810000000005</v>
      </c>
      <c r="E103" s="73">
        <v>0.04</v>
      </c>
      <c r="F103" s="19">
        <v>1.9457</v>
      </c>
      <c r="G103" s="19">
        <v>14.042899999999999</v>
      </c>
      <c r="H103" t="s">
        <v>13</v>
      </c>
    </row>
    <row r="104" spans="1:8">
      <c r="A104" t="s">
        <v>655</v>
      </c>
      <c r="B104" t="s">
        <v>656</v>
      </c>
      <c r="C104">
        <v>21</v>
      </c>
      <c r="D104" s="72">
        <v>809.76670000000001</v>
      </c>
      <c r="E104" s="73">
        <v>0.1457</v>
      </c>
      <c r="F104" s="19">
        <v>2.1095000000000002</v>
      </c>
      <c r="G104" s="19">
        <v>111.17140000000001</v>
      </c>
      <c r="H104" t="s">
        <v>13</v>
      </c>
    </row>
    <row r="105" spans="1:8">
      <c r="A105" t="s">
        <v>657</v>
      </c>
      <c r="B105" t="s">
        <v>658</v>
      </c>
      <c r="C105">
        <v>20</v>
      </c>
      <c r="D105" s="72">
        <v>886.53</v>
      </c>
      <c r="E105" s="73">
        <v>0.94450000000000001</v>
      </c>
      <c r="F105" s="19">
        <v>6.601</v>
      </c>
      <c r="G105" s="19">
        <v>4683.5349999999999</v>
      </c>
      <c r="H105" t="s">
        <v>13</v>
      </c>
    </row>
    <row r="106" spans="1:8">
      <c r="A106" t="s">
        <v>659</v>
      </c>
      <c r="B106" t="s">
        <v>660</v>
      </c>
      <c r="C106">
        <v>29</v>
      </c>
      <c r="D106" s="72">
        <v>707.65520000000004</v>
      </c>
      <c r="E106" s="73">
        <v>0.12590000000000001</v>
      </c>
      <c r="F106" s="19">
        <v>2.8130999999999999</v>
      </c>
      <c r="G106" s="19">
        <v>32.024099999999997</v>
      </c>
      <c r="H106" t="s">
        <v>13</v>
      </c>
    </row>
    <row r="107" spans="1:8">
      <c r="A107" t="s">
        <v>661</v>
      </c>
      <c r="B107" t="s">
        <v>662</v>
      </c>
      <c r="C107">
        <v>20</v>
      </c>
      <c r="D107" s="72">
        <v>847.22500000000002</v>
      </c>
      <c r="E107" s="73">
        <v>0.1275</v>
      </c>
      <c r="F107" s="19">
        <v>3.8119999999999998</v>
      </c>
      <c r="G107" s="19">
        <v>446.54500000000002</v>
      </c>
      <c r="H107" t="s">
        <v>13</v>
      </c>
    </row>
    <row r="108" spans="1:8">
      <c r="A108" t="s">
        <v>663</v>
      </c>
      <c r="B108" t="s">
        <v>664</v>
      </c>
      <c r="C108">
        <v>18</v>
      </c>
      <c r="D108" s="72">
        <v>840.3</v>
      </c>
      <c r="E108" s="73">
        <v>4.8300000000000003E-2</v>
      </c>
      <c r="F108" s="19">
        <v>2.1389</v>
      </c>
      <c r="G108" s="19">
        <v>43.8889</v>
      </c>
      <c r="H108" t="s">
        <v>13</v>
      </c>
    </row>
    <row r="109" spans="1:8">
      <c r="A109" t="s">
        <v>665</v>
      </c>
      <c r="B109" t="s">
        <v>666</v>
      </c>
      <c r="C109">
        <v>21</v>
      </c>
      <c r="D109" s="72">
        <v>847.2</v>
      </c>
      <c r="E109" s="73">
        <v>0.1867</v>
      </c>
      <c r="F109" s="19">
        <v>1.5981000000000001</v>
      </c>
      <c r="G109" s="19">
        <v>5529.5523999999996</v>
      </c>
      <c r="H109" t="s">
        <v>13</v>
      </c>
    </row>
    <row r="110" spans="1:8">
      <c r="A110" t="s">
        <v>217</v>
      </c>
      <c r="B110" t="s">
        <v>218</v>
      </c>
      <c r="C110">
        <v>22</v>
      </c>
      <c r="D110" s="72">
        <v>787.41819999999996</v>
      </c>
      <c r="E110" s="73">
        <v>8.5900000000000004E-2</v>
      </c>
      <c r="F110" s="19">
        <v>1.4273</v>
      </c>
      <c r="G110" s="19">
        <v>84.009100000000004</v>
      </c>
      <c r="H110" t="s">
        <v>13</v>
      </c>
    </row>
    <row r="111" spans="1:8">
      <c r="A111" t="s">
        <v>667</v>
      </c>
      <c r="B111" t="s">
        <v>668</v>
      </c>
      <c r="C111">
        <v>17</v>
      </c>
      <c r="D111" s="72">
        <v>773.3</v>
      </c>
      <c r="E111" s="73">
        <v>0.1759</v>
      </c>
      <c r="F111" s="19">
        <v>3.0788000000000002</v>
      </c>
      <c r="G111" s="19">
        <v>60.023499999999999</v>
      </c>
      <c r="H111" t="s">
        <v>13</v>
      </c>
    </row>
    <row r="112" spans="1:8">
      <c r="A112" t="s">
        <v>338</v>
      </c>
      <c r="B112" t="s">
        <v>339</v>
      </c>
      <c r="C112">
        <v>27</v>
      </c>
      <c r="D112" s="72">
        <v>945.37779999999998</v>
      </c>
      <c r="E112" s="73">
        <v>4.5199999999999997E-2</v>
      </c>
      <c r="F112" s="19">
        <v>3.1652</v>
      </c>
      <c r="G112" s="19">
        <v>14.348100000000001</v>
      </c>
      <c r="H112" t="s">
        <v>13</v>
      </c>
    </row>
    <row r="113" spans="1:8">
      <c r="A113" t="s">
        <v>446</v>
      </c>
      <c r="B113" t="s">
        <v>447</v>
      </c>
      <c r="C113">
        <v>18</v>
      </c>
      <c r="D113" s="72">
        <v>881.50559999999996</v>
      </c>
      <c r="E113" s="73">
        <v>0.1128</v>
      </c>
      <c r="F113" s="19">
        <v>4.2332999999999998</v>
      </c>
      <c r="G113" s="19">
        <v>43.083300000000001</v>
      </c>
      <c r="H113" t="s">
        <v>13</v>
      </c>
    </row>
    <row r="114" spans="1:8">
      <c r="A114" t="s">
        <v>341</v>
      </c>
      <c r="B114" t="s">
        <v>342</v>
      </c>
      <c r="C114">
        <v>19</v>
      </c>
      <c r="D114" s="72">
        <v>929.05259999999998</v>
      </c>
      <c r="E114" s="73">
        <v>0.1263</v>
      </c>
      <c r="F114" s="19">
        <v>1.8579000000000001</v>
      </c>
      <c r="G114" s="19">
        <v>2168.1262999999999</v>
      </c>
      <c r="H114" t="s">
        <v>13</v>
      </c>
    </row>
    <row r="115" spans="1:8">
      <c r="A115" t="s">
        <v>220</v>
      </c>
      <c r="B115" t="s">
        <v>221</v>
      </c>
      <c r="C115">
        <v>11</v>
      </c>
      <c r="D115" s="72">
        <v>903.7364</v>
      </c>
      <c r="E115" s="73">
        <v>0</v>
      </c>
      <c r="F115" s="19">
        <v>0.17269999999999999</v>
      </c>
      <c r="G115" s="19">
        <v>6.4181999999999997</v>
      </c>
      <c r="H115" t="s">
        <v>13</v>
      </c>
    </row>
    <row r="116" spans="1:8">
      <c r="A116" t="s">
        <v>669</v>
      </c>
      <c r="B116" t="s">
        <v>670</v>
      </c>
      <c r="C116">
        <v>21</v>
      </c>
      <c r="D116" s="72">
        <v>863.03809999999999</v>
      </c>
      <c r="E116" s="73">
        <v>0.1648</v>
      </c>
      <c r="F116" s="19">
        <v>0.2495</v>
      </c>
      <c r="G116" s="19">
        <v>54.095199999999998</v>
      </c>
      <c r="H116" t="s">
        <v>13</v>
      </c>
    </row>
    <row r="117" spans="1:8">
      <c r="A117" t="s">
        <v>671</v>
      </c>
      <c r="B117" t="s">
        <v>672</v>
      </c>
      <c r="C117">
        <v>20</v>
      </c>
      <c r="D117" s="72">
        <v>893.75</v>
      </c>
      <c r="E117" s="73">
        <v>1.7000000000000001E-2</v>
      </c>
      <c r="F117" s="19">
        <v>1.7050000000000001</v>
      </c>
      <c r="G117" s="19">
        <v>15.58</v>
      </c>
      <c r="H117" t="s">
        <v>13</v>
      </c>
    </row>
    <row r="118" spans="1:8">
      <c r="A118" t="s">
        <v>109</v>
      </c>
      <c r="B118" t="s">
        <v>110</v>
      </c>
      <c r="C118">
        <v>20</v>
      </c>
      <c r="D118" s="72">
        <v>753.52499999999998</v>
      </c>
      <c r="E118" s="73">
        <v>0.1835</v>
      </c>
      <c r="F118" s="19">
        <v>2.5979999999999999</v>
      </c>
      <c r="G118" s="19">
        <v>2059.3000000000002</v>
      </c>
      <c r="H118" t="s">
        <v>13</v>
      </c>
    </row>
    <row r="119" spans="1:8">
      <c r="A119" t="s">
        <v>449</v>
      </c>
      <c r="B119" t="s">
        <v>450</v>
      </c>
      <c r="C119">
        <v>34</v>
      </c>
      <c r="D119" s="72">
        <v>980.09119999999996</v>
      </c>
      <c r="E119" s="73">
        <v>0.13120000000000001</v>
      </c>
      <c r="F119" s="19">
        <v>1.7911999999999999</v>
      </c>
      <c r="G119" s="19">
        <v>55.191200000000002</v>
      </c>
      <c r="H119" t="s">
        <v>13</v>
      </c>
    </row>
    <row r="120" spans="1:8">
      <c r="A120" t="s">
        <v>452</v>
      </c>
      <c r="B120" t="s">
        <v>453</v>
      </c>
      <c r="C120">
        <v>17</v>
      </c>
      <c r="D120" s="72">
        <v>767.19410000000005</v>
      </c>
      <c r="E120" s="73">
        <v>0.21179999999999999</v>
      </c>
      <c r="F120" s="19">
        <v>2.6871</v>
      </c>
      <c r="G120" s="19">
        <v>214.5059</v>
      </c>
      <c r="H120" t="s">
        <v>13</v>
      </c>
    </row>
    <row r="121" spans="1:8">
      <c r="A121" t="s">
        <v>455</v>
      </c>
      <c r="B121" t="s">
        <v>456</v>
      </c>
      <c r="C121">
        <v>23</v>
      </c>
      <c r="D121" s="72">
        <v>824.15650000000005</v>
      </c>
      <c r="E121" s="73">
        <v>9.9099999999999994E-2</v>
      </c>
      <c r="F121" s="19">
        <v>3.0461</v>
      </c>
      <c r="G121" s="19">
        <v>20.930399999999999</v>
      </c>
      <c r="H121" t="s">
        <v>13</v>
      </c>
    </row>
    <row r="122" spans="1:8">
      <c r="A122" t="s">
        <v>344</v>
      </c>
      <c r="B122" t="s">
        <v>345</v>
      </c>
      <c r="C122">
        <v>20</v>
      </c>
      <c r="D122" s="72">
        <v>979.53</v>
      </c>
      <c r="E122" s="73">
        <v>5.8500000000000003E-2</v>
      </c>
      <c r="F122" s="19">
        <v>3.1150000000000002</v>
      </c>
      <c r="G122" s="19">
        <v>15.645</v>
      </c>
      <c r="H122" t="s">
        <v>13</v>
      </c>
    </row>
    <row r="123" spans="1:8">
      <c r="A123" t="s">
        <v>673</v>
      </c>
      <c r="B123" t="s">
        <v>674</v>
      </c>
      <c r="C123">
        <v>21</v>
      </c>
      <c r="D123" s="72">
        <v>898.82860000000005</v>
      </c>
      <c r="E123" s="73">
        <v>0.27139999999999997</v>
      </c>
      <c r="F123" s="19">
        <v>2.7570999999999999</v>
      </c>
      <c r="G123" s="19">
        <v>53.881</v>
      </c>
      <c r="H123" t="s">
        <v>13</v>
      </c>
    </row>
    <row r="124" spans="1:8">
      <c r="A124" t="s">
        <v>154</v>
      </c>
      <c r="B124" t="s">
        <v>155</v>
      </c>
      <c r="C124">
        <v>19</v>
      </c>
      <c r="D124" s="72">
        <v>932.62630000000001</v>
      </c>
      <c r="E124" s="73">
        <v>0.1353</v>
      </c>
      <c r="F124" s="19">
        <v>1.1526000000000001</v>
      </c>
      <c r="G124" s="19">
        <v>32.094700000000003</v>
      </c>
      <c r="H124" t="s">
        <v>13</v>
      </c>
    </row>
    <row r="125" spans="1:8">
      <c r="A125" t="s">
        <v>675</v>
      </c>
      <c r="B125" t="s">
        <v>676</v>
      </c>
      <c r="C125">
        <v>21</v>
      </c>
      <c r="D125" s="72">
        <v>559.96190000000001</v>
      </c>
      <c r="E125" s="73">
        <v>0.12429999999999999</v>
      </c>
      <c r="F125" s="19">
        <v>6.5010000000000003</v>
      </c>
      <c r="G125" s="19">
        <v>42.566699999999997</v>
      </c>
      <c r="H125" t="s">
        <v>14</v>
      </c>
    </row>
    <row r="126" spans="1:8">
      <c r="A126" t="s">
        <v>347</v>
      </c>
      <c r="B126" t="s">
        <v>348</v>
      </c>
      <c r="C126">
        <v>19</v>
      </c>
      <c r="D126" s="72">
        <v>841.96839999999997</v>
      </c>
      <c r="E126" s="73">
        <v>6.3700000000000007E-2</v>
      </c>
      <c r="F126" s="19">
        <v>3.5579000000000001</v>
      </c>
      <c r="G126" s="19">
        <v>44.573700000000002</v>
      </c>
      <c r="H126" t="s">
        <v>13</v>
      </c>
    </row>
    <row r="127" spans="1:8">
      <c r="A127" t="s">
        <v>677</v>
      </c>
      <c r="B127" t="s">
        <v>678</v>
      </c>
      <c r="C127">
        <v>17</v>
      </c>
      <c r="D127" s="72">
        <v>874.21180000000004</v>
      </c>
      <c r="E127" s="73">
        <v>0.1394</v>
      </c>
      <c r="F127" s="19">
        <v>1.3575999999999999</v>
      </c>
      <c r="G127" s="19">
        <v>25.782399999999999</v>
      </c>
      <c r="H127" t="s">
        <v>13</v>
      </c>
    </row>
    <row r="128" spans="1:8">
      <c r="A128" t="s">
        <v>223</v>
      </c>
      <c r="B128" t="s">
        <v>224</v>
      </c>
      <c r="C128">
        <v>18</v>
      </c>
      <c r="D128" s="72">
        <v>884.75</v>
      </c>
      <c r="E128" s="73">
        <v>0.12720000000000001</v>
      </c>
      <c r="F128" s="19">
        <v>2.4432999999999998</v>
      </c>
      <c r="G128" s="19">
        <v>22.183299999999999</v>
      </c>
      <c r="H128" t="s">
        <v>13</v>
      </c>
    </row>
    <row r="129" spans="1:8">
      <c r="A129" t="s">
        <v>679</v>
      </c>
      <c r="B129" t="s">
        <v>680</v>
      </c>
      <c r="C129">
        <v>16</v>
      </c>
      <c r="D129" s="72">
        <v>760.00630000000001</v>
      </c>
      <c r="E129" s="73">
        <v>8.6300000000000002E-2</v>
      </c>
      <c r="F129" s="19">
        <v>0.44369999999999998</v>
      </c>
      <c r="G129" s="19">
        <v>9.9250000000000007</v>
      </c>
      <c r="H129" t="s">
        <v>13</v>
      </c>
    </row>
    <row r="130" spans="1:8">
      <c r="A130" t="s">
        <v>124</v>
      </c>
      <c r="B130" t="s">
        <v>125</v>
      </c>
      <c r="C130">
        <v>30</v>
      </c>
      <c r="D130" s="72">
        <v>978.73329999999999</v>
      </c>
      <c r="E130" s="73">
        <v>0.1037</v>
      </c>
      <c r="F130" s="19">
        <v>3.8386999999999998</v>
      </c>
      <c r="G130" s="19">
        <v>19.686699999999998</v>
      </c>
      <c r="H130" t="s">
        <v>13</v>
      </c>
    </row>
    <row r="131" spans="1:8">
      <c r="A131" t="s">
        <v>681</v>
      </c>
      <c r="B131" t="s">
        <v>682</v>
      </c>
      <c r="C131">
        <v>20</v>
      </c>
      <c r="D131" s="72">
        <v>846.86500000000001</v>
      </c>
      <c r="E131" s="73">
        <v>9.1999999999999998E-2</v>
      </c>
      <c r="F131" s="19">
        <v>1.04</v>
      </c>
      <c r="G131" s="19">
        <v>144.35499999999999</v>
      </c>
      <c r="H131" t="s">
        <v>13</v>
      </c>
    </row>
    <row r="132" spans="1:8">
      <c r="A132" t="s">
        <v>572</v>
      </c>
      <c r="B132" t="s">
        <v>573</v>
      </c>
      <c r="C132">
        <v>21</v>
      </c>
      <c r="D132" s="72">
        <v>977.74289999999996</v>
      </c>
      <c r="E132" s="73">
        <v>0.16900000000000001</v>
      </c>
      <c r="F132" s="19">
        <v>6.4837999999999996</v>
      </c>
      <c r="G132" s="19">
        <v>22.957100000000001</v>
      </c>
      <c r="H132" t="s">
        <v>13</v>
      </c>
    </row>
    <row r="133" spans="1:8">
      <c r="A133" t="s">
        <v>533</v>
      </c>
      <c r="B133" t="s">
        <v>534</v>
      </c>
      <c r="C133">
        <v>22</v>
      </c>
      <c r="D133" s="72">
        <v>574.7636</v>
      </c>
      <c r="E133" s="73">
        <v>0.13139999999999999</v>
      </c>
      <c r="F133" s="19">
        <v>1.0545</v>
      </c>
      <c r="G133" s="19">
        <v>850.56820000000005</v>
      </c>
      <c r="H133" t="s">
        <v>14</v>
      </c>
    </row>
    <row r="134" spans="1:8">
      <c r="A134" t="s">
        <v>536</v>
      </c>
      <c r="B134" t="s">
        <v>537</v>
      </c>
      <c r="C134">
        <v>23</v>
      </c>
      <c r="D134" s="72">
        <v>975.06960000000004</v>
      </c>
      <c r="E134" s="73">
        <v>0.1391</v>
      </c>
      <c r="F134" s="19">
        <v>2.3843000000000001</v>
      </c>
      <c r="G134" s="19">
        <v>1663.0478000000001</v>
      </c>
      <c r="H134" t="s">
        <v>13</v>
      </c>
    </row>
    <row r="135" spans="1:8">
      <c r="A135" t="s">
        <v>350</v>
      </c>
      <c r="B135" t="s">
        <v>351</v>
      </c>
      <c r="C135">
        <v>14</v>
      </c>
      <c r="D135" s="72">
        <v>786.70709999999997</v>
      </c>
      <c r="E135" s="73">
        <v>0.16789999999999999</v>
      </c>
      <c r="F135" s="19">
        <v>13.697100000000001</v>
      </c>
      <c r="G135" s="19">
        <v>16.921399999999998</v>
      </c>
      <c r="H135" t="s">
        <v>13</v>
      </c>
    </row>
    <row r="136" spans="1:8">
      <c r="A136" t="s">
        <v>458</v>
      </c>
      <c r="B136" t="s">
        <v>459</v>
      </c>
      <c r="C136">
        <v>22</v>
      </c>
      <c r="D136" s="72">
        <v>784.55</v>
      </c>
      <c r="E136" s="73">
        <v>0.1623</v>
      </c>
      <c r="F136" s="19">
        <v>2.2109000000000001</v>
      </c>
      <c r="G136" s="19">
        <v>25.195499999999999</v>
      </c>
      <c r="H136" t="s">
        <v>13</v>
      </c>
    </row>
    <row r="137" spans="1:8">
      <c r="A137" t="s">
        <v>353</v>
      </c>
      <c r="B137" t="s">
        <v>354</v>
      </c>
      <c r="C137">
        <v>16</v>
      </c>
      <c r="D137" s="72">
        <v>813.8125</v>
      </c>
      <c r="E137" s="73">
        <v>8.8099999999999998E-2</v>
      </c>
      <c r="F137" s="19">
        <v>0.44369999999999998</v>
      </c>
      <c r="G137" s="19">
        <v>10.237500000000001</v>
      </c>
      <c r="H137" t="s">
        <v>13</v>
      </c>
    </row>
    <row r="138" spans="1:8">
      <c r="A138" t="s">
        <v>683</v>
      </c>
      <c r="B138" t="s">
        <v>684</v>
      </c>
      <c r="C138">
        <v>22</v>
      </c>
      <c r="D138" s="72">
        <v>696.12729999999999</v>
      </c>
      <c r="E138" s="73">
        <v>0.1323</v>
      </c>
      <c r="F138" s="19">
        <v>4.6981999999999999</v>
      </c>
      <c r="G138" s="19">
        <v>1345.4864</v>
      </c>
      <c r="H138" t="s">
        <v>14</v>
      </c>
    </row>
    <row r="139" spans="1:8">
      <c r="A139" t="s">
        <v>685</v>
      </c>
      <c r="B139" t="s">
        <v>686</v>
      </c>
      <c r="C139">
        <v>26</v>
      </c>
      <c r="D139" s="72">
        <v>812.62689999999998</v>
      </c>
      <c r="E139" s="73">
        <v>0.16309999999999999</v>
      </c>
      <c r="F139" s="19">
        <v>1.1231</v>
      </c>
      <c r="G139" s="19">
        <v>23.607700000000001</v>
      </c>
      <c r="H139" t="s">
        <v>13</v>
      </c>
    </row>
    <row r="140" spans="1:8">
      <c r="A140" t="s">
        <v>687</v>
      </c>
      <c r="B140" t="s">
        <v>688</v>
      </c>
      <c r="C140">
        <v>42</v>
      </c>
      <c r="D140" s="72">
        <v>937.16899999999998</v>
      </c>
      <c r="E140" s="73">
        <v>0.2571</v>
      </c>
      <c r="F140" s="19">
        <v>1.7071000000000001</v>
      </c>
      <c r="G140" s="19">
        <v>25.797599999999999</v>
      </c>
      <c r="H140" t="s">
        <v>13</v>
      </c>
    </row>
    <row r="141" spans="1:8">
      <c r="A141" t="s">
        <v>689</v>
      </c>
      <c r="B141" t="s">
        <v>690</v>
      </c>
      <c r="C141">
        <v>20</v>
      </c>
      <c r="D141" s="72">
        <v>936.02499999999998</v>
      </c>
      <c r="E141" s="73">
        <v>7.7499999999999999E-2</v>
      </c>
      <c r="F141" s="19">
        <v>1.026</v>
      </c>
      <c r="G141" s="19">
        <v>13.69</v>
      </c>
      <c r="H141" t="s">
        <v>13</v>
      </c>
    </row>
    <row r="142" spans="1:8">
      <c r="A142" t="s">
        <v>356</v>
      </c>
      <c r="B142" t="s">
        <v>357</v>
      </c>
      <c r="C142">
        <v>15</v>
      </c>
      <c r="D142" s="72">
        <v>923.10670000000005</v>
      </c>
      <c r="E142" s="73">
        <v>8.8700000000000001E-2</v>
      </c>
      <c r="F142" s="19">
        <v>2.3412999999999999</v>
      </c>
      <c r="G142" s="19">
        <v>21.246700000000001</v>
      </c>
      <c r="H142" t="s">
        <v>13</v>
      </c>
    </row>
    <row r="143" spans="1:8">
      <c r="A143" t="s">
        <v>461</v>
      </c>
      <c r="B143" t="s">
        <v>462</v>
      </c>
      <c r="C143">
        <v>12</v>
      </c>
      <c r="D143" s="72">
        <v>905.86670000000004</v>
      </c>
      <c r="E143" s="73">
        <v>1.67E-2</v>
      </c>
      <c r="F143" s="19">
        <v>1.3783000000000001</v>
      </c>
      <c r="G143" s="19">
        <v>27.291699999999999</v>
      </c>
      <c r="H143" t="s">
        <v>13</v>
      </c>
    </row>
    <row r="144" spans="1:8">
      <c r="A144" t="s">
        <v>691</v>
      </c>
      <c r="B144" t="s">
        <v>692</v>
      </c>
      <c r="C144">
        <v>31</v>
      </c>
      <c r="D144" s="72">
        <v>950.74839999999995</v>
      </c>
      <c r="E144" s="73">
        <v>7.1900000000000006E-2</v>
      </c>
      <c r="F144" s="19">
        <v>1.6315999999999999</v>
      </c>
      <c r="G144" s="19">
        <v>7.3548</v>
      </c>
      <c r="H144" t="s">
        <v>13</v>
      </c>
    </row>
    <row r="145" spans="1:8">
      <c r="A145" t="s">
        <v>464</v>
      </c>
      <c r="B145" t="s">
        <v>465</v>
      </c>
      <c r="C145">
        <v>17</v>
      </c>
      <c r="D145" s="72">
        <v>718.11760000000004</v>
      </c>
      <c r="E145" s="73">
        <v>9.9400000000000002E-2</v>
      </c>
      <c r="F145" s="19">
        <v>2.9293999999999998</v>
      </c>
      <c r="G145" s="19">
        <v>61.7059</v>
      </c>
      <c r="H145" t="s">
        <v>13</v>
      </c>
    </row>
    <row r="146" spans="1:8">
      <c r="A146" t="s">
        <v>467</v>
      </c>
      <c r="B146" t="s">
        <v>468</v>
      </c>
      <c r="C146">
        <v>24</v>
      </c>
      <c r="D146" s="72">
        <v>794.95</v>
      </c>
      <c r="E146" s="73">
        <v>2.58E-2</v>
      </c>
      <c r="F146" s="19">
        <v>1.4375</v>
      </c>
      <c r="G146" s="19">
        <v>127.4667</v>
      </c>
      <c r="H146" t="s">
        <v>13</v>
      </c>
    </row>
    <row r="147" spans="1:8">
      <c r="A147" t="s">
        <v>545</v>
      </c>
      <c r="B147" t="s">
        <v>546</v>
      </c>
      <c r="C147">
        <v>16</v>
      </c>
      <c r="D147" s="72">
        <v>757.26869999999997</v>
      </c>
      <c r="E147" s="73">
        <v>0.11559999999999999</v>
      </c>
      <c r="F147" s="19">
        <v>1.8688</v>
      </c>
      <c r="G147" s="19">
        <v>62.7</v>
      </c>
      <c r="H147" t="s">
        <v>13</v>
      </c>
    </row>
    <row r="148" spans="1:8">
      <c r="A148" t="s">
        <v>470</v>
      </c>
      <c r="B148" t="s">
        <v>471</v>
      </c>
      <c r="C148">
        <v>17</v>
      </c>
      <c r="D148" s="72">
        <v>771.34709999999995</v>
      </c>
      <c r="E148" s="73">
        <v>0.08</v>
      </c>
      <c r="F148" s="19">
        <v>1.76</v>
      </c>
      <c r="G148" s="19">
        <v>41.7941</v>
      </c>
      <c r="H148" t="s">
        <v>13</v>
      </c>
    </row>
    <row r="149" spans="1:8">
      <c r="A149" t="s">
        <v>554</v>
      </c>
      <c r="B149" t="s">
        <v>555</v>
      </c>
      <c r="C149">
        <v>11</v>
      </c>
      <c r="D149" s="72">
        <v>818.43640000000005</v>
      </c>
      <c r="E149" s="73">
        <v>0.09</v>
      </c>
      <c r="F149" s="19">
        <v>1.5472999999999999</v>
      </c>
      <c r="G149" s="19">
        <v>88.972700000000003</v>
      </c>
      <c r="H149" t="s">
        <v>13</v>
      </c>
    </row>
    <row r="150" spans="1:8">
      <c r="A150" t="s">
        <v>693</v>
      </c>
      <c r="B150" t="s">
        <v>694</v>
      </c>
      <c r="C150">
        <v>34</v>
      </c>
      <c r="D150" s="72">
        <v>769.77940000000001</v>
      </c>
      <c r="E150" s="73">
        <v>0.1426</v>
      </c>
      <c r="F150" s="19">
        <v>3.3264999999999998</v>
      </c>
      <c r="G150" s="19">
        <v>4164.1441000000004</v>
      </c>
      <c r="H150" t="s">
        <v>13</v>
      </c>
    </row>
    <row r="151" spans="1:8">
      <c r="A151" t="s">
        <v>271</v>
      </c>
      <c r="B151" t="s">
        <v>272</v>
      </c>
      <c r="C151">
        <v>26</v>
      </c>
      <c r="D151" s="72">
        <v>673.73850000000004</v>
      </c>
      <c r="E151" s="73">
        <v>7.5399999999999995E-2</v>
      </c>
      <c r="F151" s="19">
        <v>3.15</v>
      </c>
      <c r="G151" s="19">
        <v>1357.7769000000001</v>
      </c>
      <c r="H151" t="s">
        <v>14</v>
      </c>
    </row>
    <row r="152" spans="1:8">
      <c r="A152" t="s">
        <v>695</v>
      </c>
      <c r="B152" t="s">
        <v>696</v>
      </c>
      <c r="C152">
        <v>22</v>
      </c>
      <c r="D152" s="72">
        <v>938.80909999999994</v>
      </c>
      <c r="E152" s="73">
        <v>0.1986</v>
      </c>
      <c r="F152" s="19">
        <v>4.9817999999999998</v>
      </c>
      <c r="G152" s="19">
        <v>53.631799999999998</v>
      </c>
      <c r="H152" t="s">
        <v>13</v>
      </c>
    </row>
    <row r="153" spans="1:8">
      <c r="A153" t="s">
        <v>697</v>
      </c>
      <c r="B153" t="s">
        <v>698</v>
      </c>
      <c r="C153">
        <v>23</v>
      </c>
      <c r="D153" s="72">
        <v>941.3261</v>
      </c>
      <c r="E153" s="73">
        <v>0.20349999999999999</v>
      </c>
      <c r="F153" s="19">
        <v>2.3130000000000002</v>
      </c>
      <c r="G153" s="19">
        <v>17.930399999999999</v>
      </c>
      <c r="H153" t="s">
        <v>13</v>
      </c>
    </row>
    <row r="154" spans="1:8">
      <c r="A154" t="s">
        <v>473</v>
      </c>
      <c r="B154" t="s">
        <v>474</v>
      </c>
      <c r="C154">
        <v>19</v>
      </c>
      <c r="D154" s="72">
        <v>979.87369999999999</v>
      </c>
      <c r="E154" s="73">
        <v>0.1142</v>
      </c>
      <c r="F154" s="19">
        <v>1.8431999999999999</v>
      </c>
      <c r="G154" s="19">
        <v>20.6158</v>
      </c>
      <c r="H154" t="s">
        <v>13</v>
      </c>
    </row>
    <row r="155" spans="1:8">
      <c r="A155" t="s">
        <v>476</v>
      </c>
      <c r="B155" t="s">
        <v>477</v>
      </c>
      <c r="C155">
        <v>17</v>
      </c>
      <c r="D155" s="72">
        <v>772.6</v>
      </c>
      <c r="E155" s="73">
        <v>5.4699999999999999E-2</v>
      </c>
      <c r="F155" s="19">
        <v>2.1271</v>
      </c>
      <c r="G155" s="19">
        <v>21.088200000000001</v>
      </c>
      <c r="H155" t="s">
        <v>13</v>
      </c>
    </row>
    <row r="156" spans="1:8">
      <c r="A156" t="s">
        <v>359</v>
      </c>
      <c r="B156" t="s">
        <v>360</v>
      </c>
      <c r="C156">
        <v>16</v>
      </c>
      <c r="D156" s="72">
        <v>979.03750000000002</v>
      </c>
      <c r="E156" s="73">
        <v>8.2500000000000004E-2</v>
      </c>
      <c r="F156" s="19">
        <v>2.9075000000000002</v>
      </c>
      <c r="G156" s="19">
        <v>18.862500000000001</v>
      </c>
      <c r="H156" t="s">
        <v>13</v>
      </c>
    </row>
    <row r="157" spans="1:8">
      <c r="A157" t="s">
        <v>699</v>
      </c>
      <c r="B157" t="s">
        <v>700</v>
      </c>
      <c r="C157">
        <v>18</v>
      </c>
      <c r="D157" s="72">
        <v>936.44439999999997</v>
      </c>
      <c r="E157" s="73">
        <v>6.6100000000000006E-2</v>
      </c>
      <c r="F157" s="19">
        <v>2.75</v>
      </c>
      <c r="G157" s="19">
        <v>17.4222</v>
      </c>
      <c r="H157" t="s">
        <v>13</v>
      </c>
    </row>
    <row r="158" spans="1:8">
      <c r="A158" t="s">
        <v>701</v>
      </c>
      <c r="B158" t="s">
        <v>702</v>
      </c>
      <c r="C158">
        <v>9</v>
      </c>
      <c r="D158" s="72">
        <v>787.31110000000001</v>
      </c>
      <c r="E158" s="73">
        <v>4.4000000000000003E-3</v>
      </c>
      <c r="F158" s="19">
        <v>0.52669999999999995</v>
      </c>
      <c r="G158" s="19">
        <v>9.1889000000000003</v>
      </c>
      <c r="H158" t="s">
        <v>13</v>
      </c>
    </row>
    <row r="159" spans="1:8">
      <c r="A159" t="s">
        <v>479</v>
      </c>
      <c r="B159" t="s">
        <v>480</v>
      </c>
      <c r="C159">
        <v>15</v>
      </c>
      <c r="D159" s="72">
        <v>799.7867</v>
      </c>
      <c r="E159" s="73">
        <v>7.0000000000000007E-2</v>
      </c>
      <c r="F159" s="19">
        <v>0.57869999999999999</v>
      </c>
      <c r="G159" s="19">
        <v>9.1133000000000006</v>
      </c>
      <c r="H159" t="s">
        <v>13</v>
      </c>
    </row>
    <row r="160" spans="1:8">
      <c r="A160" t="s">
        <v>563</v>
      </c>
      <c r="B160" t="s">
        <v>564</v>
      </c>
      <c r="C160">
        <v>27</v>
      </c>
      <c r="D160" s="72">
        <v>977.48519999999996</v>
      </c>
      <c r="E160" s="73">
        <v>0.33889999999999998</v>
      </c>
      <c r="F160" s="19">
        <v>5.0185000000000004</v>
      </c>
      <c r="G160" s="19">
        <v>36.514800000000001</v>
      </c>
      <c r="H160" t="s">
        <v>13</v>
      </c>
    </row>
    <row r="161" spans="1:8">
      <c r="A161" t="s">
        <v>226</v>
      </c>
      <c r="B161" t="s">
        <v>227</v>
      </c>
      <c r="C161">
        <v>11</v>
      </c>
      <c r="D161" s="72">
        <v>740.86360000000002</v>
      </c>
      <c r="E161" s="73">
        <v>0.1009</v>
      </c>
      <c r="F161" s="19">
        <v>10.2273</v>
      </c>
      <c r="G161" s="19">
        <v>6980.4636</v>
      </c>
      <c r="H161" t="s">
        <v>13</v>
      </c>
    </row>
    <row r="162" spans="1:8">
      <c r="A162" t="s">
        <v>229</v>
      </c>
      <c r="B162" t="s">
        <v>230</v>
      </c>
      <c r="C162">
        <v>18</v>
      </c>
      <c r="D162" s="72">
        <v>976.43889999999999</v>
      </c>
      <c r="E162" s="73">
        <v>0.11</v>
      </c>
      <c r="F162" s="19">
        <v>1.2566999999999999</v>
      </c>
      <c r="G162" s="19">
        <v>14.588900000000001</v>
      </c>
      <c r="H162" t="s">
        <v>13</v>
      </c>
    </row>
    <row r="163" spans="1:8">
      <c r="A163" t="s">
        <v>703</v>
      </c>
      <c r="B163" t="s">
        <v>704</v>
      </c>
      <c r="C163">
        <v>24</v>
      </c>
      <c r="D163" s="72">
        <v>977.91250000000002</v>
      </c>
      <c r="E163" s="73">
        <v>0.1313</v>
      </c>
      <c r="F163" s="19">
        <v>3.1358000000000001</v>
      </c>
      <c r="G163" s="19">
        <v>18.975000000000001</v>
      </c>
      <c r="H163" t="s">
        <v>13</v>
      </c>
    </row>
    <row r="164" spans="1:8">
      <c r="A164" t="s">
        <v>705</v>
      </c>
      <c r="B164" t="s">
        <v>706</v>
      </c>
      <c r="C164">
        <v>22</v>
      </c>
      <c r="D164" s="72">
        <v>858.71820000000002</v>
      </c>
      <c r="E164" s="73">
        <v>0.215</v>
      </c>
      <c r="F164" s="19">
        <v>2.6918000000000002</v>
      </c>
      <c r="G164" s="19">
        <v>43.195500000000003</v>
      </c>
      <c r="H164" t="s">
        <v>13</v>
      </c>
    </row>
    <row r="165" spans="1:8">
      <c r="A165" t="s">
        <v>707</v>
      </c>
      <c r="B165" t="s">
        <v>708</v>
      </c>
      <c r="C165">
        <v>17</v>
      </c>
      <c r="D165" s="72">
        <v>883.84709999999995</v>
      </c>
      <c r="E165" s="73">
        <v>0.10589999999999999</v>
      </c>
      <c r="F165" s="19">
        <v>2.2212000000000001</v>
      </c>
      <c r="G165" s="19">
        <v>95.964699999999993</v>
      </c>
      <c r="H165" t="s">
        <v>13</v>
      </c>
    </row>
    <row r="166" spans="1:8">
      <c r="A166" t="s">
        <v>709</v>
      </c>
      <c r="B166" t="s">
        <v>710</v>
      </c>
      <c r="C166">
        <v>7</v>
      </c>
      <c r="D166" s="72">
        <v>979.8143</v>
      </c>
      <c r="E166" s="73">
        <v>5.1400000000000001E-2</v>
      </c>
      <c r="F166" s="19">
        <v>0.51429999999999998</v>
      </c>
      <c r="G166" s="19">
        <v>23.3857</v>
      </c>
      <c r="H166" t="s">
        <v>13</v>
      </c>
    </row>
    <row r="167" spans="1:8">
      <c r="A167" t="s">
        <v>482</v>
      </c>
      <c r="B167" t="s">
        <v>483</v>
      </c>
      <c r="C167">
        <v>14</v>
      </c>
      <c r="D167" s="72">
        <v>848.29290000000003</v>
      </c>
      <c r="E167" s="73">
        <v>0.27860000000000001</v>
      </c>
      <c r="F167" s="19">
        <v>14.6586</v>
      </c>
      <c r="G167" s="19">
        <v>431.76429999999999</v>
      </c>
      <c r="H167" t="s">
        <v>13</v>
      </c>
    </row>
    <row r="168" spans="1:8">
      <c r="A168" t="s">
        <v>711</v>
      </c>
      <c r="B168" t="s">
        <v>712</v>
      </c>
      <c r="C168">
        <v>22</v>
      </c>
      <c r="D168" s="72">
        <v>823.30909999999994</v>
      </c>
      <c r="E168" s="73">
        <v>2.5899999999999999E-2</v>
      </c>
      <c r="F168" s="19">
        <v>0.22270000000000001</v>
      </c>
      <c r="G168" s="19">
        <v>16.7364</v>
      </c>
      <c r="H168" t="s">
        <v>13</v>
      </c>
    </row>
    <row r="169" spans="1:8">
      <c r="A169" t="s">
        <v>485</v>
      </c>
      <c r="B169" t="s">
        <v>486</v>
      </c>
      <c r="C169">
        <v>22</v>
      </c>
      <c r="D169" s="72">
        <v>818.63639999999998</v>
      </c>
      <c r="E169" s="73">
        <v>9.0499999999999997E-2</v>
      </c>
      <c r="F169" s="19">
        <v>1.2408999999999999</v>
      </c>
      <c r="G169" s="19">
        <v>15.4909</v>
      </c>
      <c r="H169" t="s">
        <v>13</v>
      </c>
    </row>
    <row r="170" spans="1:8">
      <c r="A170" t="s">
        <v>488</v>
      </c>
      <c r="B170" t="s">
        <v>489</v>
      </c>
      <c r="C170">
        <v>20</v>
      </c>
      <c r="D170" s="72">
        <v>889.21500000000003</v>
      </c>
      <c r="E170" s="73">
        <v>3.95E-2</v>
      </c>
      <c r="F170" s="19">
        <v>1.4650000000000001</v>
      </c>
      <c r="G170" s="19">
        <v>24.395</v>
      </c>
      <c r="H170" t="s">
        <v>13</v>
      </c>
    </row>
    <row r="171" spans="1:8">
      <c r="A171" t="s">
        <v>713</v>
      </c>
      <c r="B171" t="s">
        <v>714</v>
      </c>
      <c r="C171">
        <v>24</v>
      </c>
      <c r="D171" s="72">
        <v>762.41669999999999</v>
      </c>
      <c r="E171" s="73">
        <v>0.21210000000000001</v>
      </c>
      <c r="F171" s="19">
        <v>1.98</v>
      </c>
      <c r="G171" s="19">
        <v>88.2</v>
      </c>
      <c r="H171" t="s">
        <v>13</v>
      </c>
    </row>
    <row r="172" spans="1:8">
      <c r="A172" t="s">
        <v>715</v>
      </c>
      <c r="B172" t="s">
        <v>716</v>
      </c>
      <c r="C172">
        <v>26</v>
      </c>
      <c r="D172" s="72">
        <v>874.81150000000002</v>
      </c>
      <c r="E172" s="73">
        <v>0.14580000000000001</v>
      </c>
      <c r="F172" s="19">
        <v>0.83540000000000003</v>
      </c>
      <c r="G172" s="19">
        <v>9.2653999999999996</v>
      </c>
      <c r="H172" t="s">
        <v>13</v>
      </c>
    </row>
    <row r="173" spans="1:8">
      <c r="A173" t="s">
        <v>232</v>
      </c>
      <c r="B173" t="s">
        <v>233</v>
      </c>
      <c r="C173">
        <v>19</v>
      </c>
      <c r="D173" s="72">
        <v>928.69470000000001</v>
      </c>
      <c r="E173" s="73">
        <v>3.6299999999999999E-2</v>
      </c>
      <c r="F173" s="19">
        <v>1.7684</v>
      </c>
      <c r="G173" s="19">
        <v>27.878900000000002</v>
      </c>
      <c r="H173" t="s">
        <v>13</v>
      </c>
    </row>
    <row r="174" spans="1:8">
      <c r="A174" t="s">
        <v>491</v>
      </c>
      <c r="B174" t="s">
        <v>492</v>
      </c>
      <c r="C174">
        <v>14</v>
      </c>
      <c r="D174" s="72">
        <v>788.61429999999996</v>
      </c>
      <c r="E174" s="73">
        <v>0.1229</v>
      </c>
      <c r="F174" s="19">
        <v>3.2643</v>
      </c>
      <c r="G174" s="19">
        <v>23.314299999999999</v>
      </c>
      <c r="H174" t="s">
        <v>13</v>
      </c>
    </row>
    <row r="175" spans="1:8">
      <c r="A175" t="s">
        <v>717</v>
      </c>
      <c r="B175" t="s">
        <v>718</v>
      </c>
      <c r="C175">
        <v>11</v>
      </c>
      <c r="D175" s="72">
        <v>977.09090000000003</v>
      </c>
      <c r="E175" s="73">
        <v>7.1800000000000003E-2</v>
      </c>
      <c r="F175" s="19">
        <v>4.5499999999999999E-2</v>
      </c>
      <c r="G175" s="19">
        <v>101.6545</v>
      </c>
      <c r="H175" t="s">
        <v>13</v>
      </c>
    </row>
    <row r="176" spans="1:8">
      <c r="A176" t="s">
        <v>362</v>
      </c>
      <c r="B176" t="s">
        <v>363</v>
      </c>
      <c r="C176">
        <v>30</v>
      </c>
      <c r="D176" s="72">
        <v>976.7867</v>
      </c>
      <c r="E176" s="73">
        <v>6.3E-3</v>
      </c>
      <c r="F176" s="19">
        <v>0.86529999999999996</v>
      </c>
      <c r="G176" s="19">
        <v>11.0167</v>
      </c>
      <c r="H176" t="s">
        <v>13</v>
      </c>
    </row>
    <row r="177" spans="1:8">
      <c r="A177" t="s">
        <v>494</v>
      </c>
      <c r="B177" t="s">
        <v>495</v>
      </c>
      <c r="C177">
        <v>27</v>
      </c>
      <c r="D177" s="72">
        <v>945.94809999999995</v>
      </c>
      <c r="E177" s="73">
        <v>8.3000000000000004E-2</v>
      </c>
      <c r="F177" s="19">
        <v>3.823</v>
      </c>
      <c r="G177" s="19">
        <v>14.5519</v>
      </c>
      <c r="H177" t="s">
        <v>13</v>
      </c>
    </row>
    <row r="178" spans="1:8">
      <c r="A178" t="s">
        <v>81</v>
      </c>
      <c r="B178" t="s">
        <v>82</v>
      </c>
      <c r="C178">
        <v>20</v>
      </c>
      <c r="D178" s="72">
        <v>989.86500000000001</v>
      </c>
      <c r="E178" s="73">
        <v>0.48349999999999999</v>
      </c>
      <c r="F178" s="19">
        <v>4.8879999999999999</v>
      </c>
      <c r="G178" s="19">
        <v>364.33499999999998</v>
      </c>
      <c r="H178" t="s">
        <v>13</v>
      </c>
    </row>
    <row r="179" spans="1:8">
      <c r="A179" t="s">
        <v>719</v>
      </c>
      <c r="B179" t="s">
        <v>720</v>
      </c>
      <c r="C179">
        <v>15</v>
      </c>
      <c r="D179" s="72">
        <v>985.82669999999996</v>
      </c>
      <c r="E179" s="73">
        <v>6.13E-2</v>
      </c>
      <c r="F179" s="19">
        <v>1.1359999999999999</v>
      </c>
      <c r="G179" s="19">
        <v>32.966700000000003</v>
      </c>
      <c r="H179" t="s">
        <v>13</v>
      </c>
    </row>
    <row r="180" spans="1:8">
      <c r="A180" t="s">
        <v>721</v>
      </c>
      <c r="B180" t="s">
        <v>722</v>
      </c>
      <c r="C180">
        <v>15</v>
      </c>
      <c r="D180" s="72">
        <v>864.98</v>
      </c>
      <c r="E180" s="73">
        <v>0.13600000000000001</v>
      </c>
      <c r="F180" s="19">
        <v>0.48399999999999999</v>
      </c>
      <c r="G180" s="19">
        <v>233.42</v>
      </c>
      <c r="H180" t="s">
        <v>13</v>
      </c>
    </row>
    <row r="181" spans="1:8">
      <c r="A181" t="s">
        <v>723</v>
      </c>
      <c r="B181" t="s">
        <v>724</v>
      </c>
      <c r="C181">
        <v>25</v>
      </c>
      <c r="D181" s="72">
        <v>981.08</v>
      </c>
      <c r="E181" s="73">
        <v>0.10920000000000001</v>
      </c>
      <c r="F181" s="19">
        <v>2.3967999999999998</v>
      </c>
      <c r="G181" s="19">
        <v>16.295999999999999</v>
      </c>
      <c r="H181" t="s">
        <v>13</v>
      </c>
    </row>
    <row r="182" spans="1:8">
      <c r="A182" t="s">
        <v>235</v>
      </c>
      <c r="B182" t="s">
        <v>236</v>
      </c>
      <c r="C182">
        <v>20</v>
      </c>
      <c r="D182" s="72">
        <v>797.04499999999996</v>
      </c>
      <c r="E182" s="73">
        <v>0.13300000000000001</v>
      </c>
      <c r="F182" s="19">
        <v>4.21</v>
      </c>
      <c r="G182" s="19">
        <v>2830.42</v>
      </c>
      <c r="H182" t="s">
        <v>13</v>
      </c>
    </row>
    <row r="183" spans="1:8">
      <c r="A183" t="s">
        <v>365</v>
      </c>
      <c r="B183" t="s">
        <v>366</v>
      </c>
      <c r="C183">
        <v>17</v>
      </c>
      <c r="D183" s="72">
        <v>765.57650000000001</v>
      </c>
      <c r="E183" s="73">
        <v>0.2041</v>
      </c>
      <c r="F183" s="19">
        <v>2.1059000000000001</v>
      </c>
      <c r="G183" s="19">
        <v>99.235299999999995</v>
      </c>
      <c r="H183" t="s">
        <v>13</v>
      </c>
    </row>
    <row r="184" spans="1:8">
      <c r="A184" t="s">
        <v>725</v>
      </c>
      <c r="B184" t="s">
        <v>726</v>
      </c>
      <c r="C184">
        <v>15</v>
      </c>
      <c r="D184" s="72">
        <v>924.80669999999998</v>
      </c>
      <c r="E184" s="73">
        <v>0.12</v>
      </c>
      <c r="F184" s="19">
        <v>0.85599999999999998</v>
      </c>
      <c r="G184" s="19">
        <v>10.44</v>
      </c>
      <c r="H184" t="s">
        <v>13</v>
      </c>
    </row>
    <row r="185" spans="1:8">
      <c r="A185" t="s">
        <v>27</v>
      </c>
      <c r="B185" t="s">
        <v>28</v>
      </c>
      <c r="C185">
        <v>32</v>
      </c>
      <c r="D185" s="72">
        <v>978.15</v>
      </c>
      <c r="E185" s="73">
        <v>0.1119</v>
      </c>
      <c r="F185" s="19">
        <v>2.2780999999999998</v>
      </c>
      <c r="G185" s="19">
        <v>19.959399999999999</v>
      </c>
      <c r="H185" t="s">
        <v>13</v>
      </c>
    </row>
    <row r="186" spans="1:8">
      <c r="A186" t="s">
        <v>727</v>
      </c>
      <c r="B186" t="s">
        <v>728</v>
      </c>
      <c r="C186">
        <v>15</v>
      </c>
      <c r="D186" s="72">
        <v>924.56</v>
      </c>
      <c r="E186" s="73">
        <v>0.12870000000000001</v>
      </c>
      <c r="F186" s="19">
        <v>6.1493000000000002</v>
      </c>
      <c r="G186" s="19">
        <v>677.55330000000004</v>
      </c>
      <c r="H186" t="s">
        <v>13</v>
      </c>
    </row>
    <row r="187" spans="1:8">
      <c r="A187" t="s">
        <v>729</v>
      </c>
      <c r="B187" t="s">
        <v>730</v>
      </c>
      <c r="C187">
        <v>16</v>
      </c>
      <c r="D187" s="72">
        <v>817.15</v>
      </c>
      <c r="E187" s="73">
        <v>0.17499999999999999</v>
      </c>
      <c r="F187" s="19">
        <v>2.0625</v>
      </c>
      <c r="G187" s="19">
        <v>57.2</v>
      </c>
      <c r="H187" t="s">
        <v>13</v>
      </c>
    </row>
    <row r="188" spans="1:8">
      <c r="A188" t="s">
        <v>51</v>
      </c>
      <c r="B188" t="s">
        <v>52</v>
      </c>
      <c r="C188">
        <v>21</v>
      </c>
      <c r="D188" s="72">
        <v>682.24289999999996</v>
      </c>
      <c r="E188" s="73">
        <v>0.1067</v>
      </c>
      <c r="F188" s="19">
        <v>3.1667000000000001</v>
      </c>
      <c r="G188" s="19">
        <v>1844.7</v>
      </c>
      <c r="H188" t="s">
        <v>14</v>
      </c>
    </row>
    <row r="189" spans="1:8">
      <c r="A189" t="s">
        <v>731</v>
      </c>
      <c r="B189" t="s">
        <v>732</v>
      </c>
      <c r="C189">
        <v>17</v>
      </c>
      <c r="D189" s="72">
        <v>770.84119999999996</v>
      </c>
      <c r="E189" s="73">
        <v>0.15759999999999999</v>
      </c>
      <c r="F189" s="19">
        <v>1.6765000000000001</v>
      </c>
      <c r="G189" s="19">
        <v>19.976500000000001</v>
      </c>
      <c r="H189" t="s">
        <v>13</v>
      </c>
    </row>
    <row r="190" spans="1:8">
      <c r="A190" t="s">
        <v>733</v>
      </c>
      <c r="B190" t="s">
        <v>734</v>
      </c>
      <c r="C190">
        <v>19</v>
      </c>
      <c r="D190" s="72">
        <v>700.90530000000001</v>
      </c>
      <c r="E190" s="73">
        <v>0.1489</v>
      </c>
      <c r="F190" s="19">
        <v>2.5263</v>
      </c>
      <c r="G190" s="19">
        <v>22.421099999999999</v>
      </c>
      <c r="H190" t="s">
        <v>13</v>
      </c>
    </row>
    <row r="191" spans="1:8">
      <c r="A191" t="s">
        <v>735</v>
      </c>
      <c r="B191" t="s">
        <v>736</v>
      </c>
      <c r="C191">
        <v>9</v>
      </c>
      <c r="D191" s="72">
        <v>972.13329999999996</v>
      </c>
      <c r="E191" s="73">
        <v>4.4400000000000002E-2</v>
      </c>
      <c r="F191" s="19">
        <v>1.1000000000000001</v>
      </c>
      <c r="G191" s="19">
        <v>17.6889</v>
      </c>
      <c r="H191" t="s">
        <v>13</v>
      </c>
    </row>
    <row r="192" spans="1:8">
      <c r="A192" t="s">
        <v>30</v>
      </c>
      <c r="B192" t="s">
        <v>31</v>
      </c>
      <c r="C192">
        <v>25</v>
      </c>
      <c r="D192" s="72">
        <v>802.23599999999999</v>
      </c>
      <c r="E192" s="73">
        <v>7.9600000000000004E-2</v>
      </c>
      <c r="F192" s="19">
        <v>1.4159999999999999</v>
      </c>
      <c r="G192" s="19">
        <v>160.10400000000001</v>
      </c>
      <c r="H192" t="s">
        <v>13</v>
      </c>
    </row>
    <row r="193" spans="1:8">
      <c r="A193" t="s">
        <v>368</v>
      </c>
      <c r="B193" t="s">
        <v>369</v>
      </c>
      <c r="C193">
        <v>19</v>
      </c>
      <c r="D193" s="72">
        <v>988.33159999999998</v>
      </c>
      <c r="E193" s="73">
        <v>8.6800000000000002E-2</v>
      </c>
      <c r="F193" s="19">
        <v>7.0537000000000001</v>
      </c>
      <c r="G193" s="19">
        <v>5010.7052999999996</v>
      </c>
      <c r="H193" t="s">
        <v>13</v>
      </c>
    </row>
    <row r="194" spans="1:8">
      <c r="A194" t="s">
        <v>737</v>
      </c>
      <c r="B194" t="s">
        <v>738</v>
      </c>
      <c r="C194">
        <v>18</v>
      </c>
      <c r="D194" s="72">
        <v>778.14440000000002</v>
      </c>
      <c r="E194" s="73">
        <v>4.8300000000000003E-2</v>
      </c>
      <c r="F194" s="19">
        <v>4.0355999999999996</v>
      </c>
      <c r="G194" s="19">
        <v>22.488900000000001</v>
      </c>
      <c r="H194" t="s">
        <v>13</v>
      </c>
    </row>
    <row r="195" spans="1:8">
      <c r="A195" t="s">
        <v>739</v>
      </c>
      <c r="B195" t="s">
        <v>740</v>
      </c>
      <c r="C195">
        <v>23</v>
      </c>
      <c r="D195" s="72">
        <v>940.88260000000002</v>
      </c>
      <c r="E195" s="73">
        <v>0.1152</v>
      </c>
      <c r="F195" s="19">
        <v>2.2652000000000001</v>
      </c>
      <c r="G195" s="19">
        <v>3270.0695999999998</v>
      </c>
      <c r="H195" t="s">
        <v>13</v>
      </c>
    </row>
    <row r="196" spans="1:8">
      <c r="A196" t="s">
        <v>157</v>
      </c>
      <c r="B196" t="s">
        <v>158</v>
      </c>
      <c r="C196">
        <v>23</v>
      </c>
      <c r="D196" s="72">
        <v>975.53480000000002</v>
      </c>
      <c r="E196" s="73">
        <v>4.0899999999999999E-2</v>
      </c>
      <c r="F196" s="19">
        <v>1.2704</v>
      </c>
      <c r="G196" s="19">
        <v>12.034800000000001</v>
      </c>
      <c r="H196" t="s">
        <v>13</v>
      </c>
    </row>
    <row r="197" spans="1:8">
      <c r="A197" t="s">
        <v>741</v>
      </c>
      <c r="B197" t="s">
        <v>742</v>
      </c>
      <c r="C197">
        <v>19</v>
      </c>
      <c r="D197" s="72">
        <v>979.07370000000003</v>
      </c>
      <c r="E197" s="73">
        <v>8.6800000000000002E-2</v>
      </c>
      <c r="F197" s="19">
        <v>2.4579</v>
      </c>
      <c r="G197" s="19">
        <v>14.294700000000001</v>
      </c>
      <c r="H197" t="s">
        <v>13</v>
      </c>
    </row>
    <row r="198" spans="1:8">
      <c r="A198" t="s">
        <v>160</v>
      </c>
      <c r="B198" t="s">
        <v>161</v>
      </c>
      <c r="C198">
        <v>25</v>
      </c>
      <c r="D198" s="72">
        <v>591.548</v>
      </c>
      <c r="E198" s="73">
        <v>0.21160000000000001</v>
      </c>
      <c r="F198" s="19">
        <v>4.9063999999999997</v>
      </c>
      <c r="G198" s="19">
        <v>5460.6</v>
      </c>
      <c r="H198" t="s">
        <v>14</v>
      </c>
    </row>
    <row r="199" spans="1:8">
      <c r="A199" t="s">
        <v>743</v>
      </c>
      <c r="B199" t="s">
        <v>744</v>
      </c>
      <c r="C199">
        <v>21</v>
      </c>
      <c r="D199" s="72">
        <v>975.93330000000003</v>
      </c>
      <c r="E199" s="73">
        <v>9.1399999999999995E-2</v>
      </c>
      <c r="F199" s="19">
        <v>1.7</v>
      </c>
      <c r="G199" s="19">
        <v>15.4381</v>
      </c>
      <c r="H199" t="s">
        <v>13</v>
      </c>
    </row>
    <row r="200" spans="1:8">
      <c r="A200" t="s">
        <v>745</v>
      </c>
      <c r="B200" t="s">
        <v>746</v>
      </c>
      <c r="C200">
        <v>28</v>
      </c>
      <c r="D200" s="72">
        <v>854.16070000000002</v>
      </c>
      <c r="E200" s="73">
        <v>0.1293</v>
      </c>
      <c r="F200" s="19">
        <v>3.2221000000000002</v>
      </c>
      <c r="G200" s="19">
        <v>2670.2536</v>
      </c>
      <c r="H200" t="s">
        <v>13</v>
      </c>
    </row>
    <row r="201" spans="1:8">
      <c r="A201" t="s">
        <v>747</v>
      </c>
      <c r="B201" t="s">
        <v>748</v>
      </c>
      <c r="C201">
        <v>25</v>
      </c>
      <c r="D201" s="72">
        <v>941.56799999999998</v>
      </c>
      <c r="E201" s="73">
        <v>7.1199999999999999E-2</v>
      </c>
      <c r="F201" s="19">
        <v>2.1240000000000001</v>
      </c>
      <c r="G201" s="19">
        <v>17.044</v>
      </c>
      <c r="H201" t="s">
        <v>13</v>
      </c>
    </row>
    <row r="202" spans="1:8">
      <c r="A202" t="s">
        <v>539</v>
      </c>
      <c r="B202" t="s">
        <v>540</v>
      </c>
      <c r="C202">
        <v>14</v>
      </c>
      <c r="D202" s="72">
        <v>533.97140000000002</v>
      </c>
      <c r="E202" s="73">
        <v>0.13</v>
      </c>
      <c r="F202" s="19">
        <v>5.1670999999999996</v>
      </c>
      <c r="G202" s="19">
        <v>129.57140000000001</v>
      </c>
      <c r="H202" t="s">
        <v>14</v>
      </c>
    </row>
    <row r="203" spans="1:8">
      <c r="A203" t="s">
        <v>569</v>
      </c>
      <c r="B203" t="s">
        <v>570</v>
      </c>
      <c r="C203">
        <v>9</v>
      </c>
      <c r="D203" s="72">
        <v>976.17780000000005</v>
      </c>
      <c r="E203" s="73">
        <v>0.1011</v>
      </c>
      <c r="F203" s="19">
        <v>0.93330000000000002</v>
      </c>
      <c r="G203" s="19">
        <v>28.2333</v>
      </c>
      <c r="H203" t="s">
        <v>13</v>
      </c>
    </row>
    <row r="204" spans="1:8">
      <c r="A204" t="s">
        <v>497</v>
      </c>
      <c r="B204" t="s">
        <v>498</v>
      </c>
      <c r="C204">
        <v>23</v>
      </c>
      <c r="D204" s="72">
        <v>902.94349999999997</v>
      </c>
      <c r="E204" s="73">
        <v>0.51300000000000001</v>
      </c>
      <c r="F204" s="19">
        <v>2.6042999999999998</v>
      </c>
      <c r="G204" s="19">
        <v>12.9352</v>
      </c>
      <c r="H204" t="s">
        <v>13</v>
      </c>
    </row>
    <row r="205" spans="1:8">
      <c r="A205" t="s">
        <v>238</v>
      </c>
      <c r="B205" t="s">
        <v>239</v>
      </c>
      <c r="C205">
        <v>13</v>
      </c>
      <c r="D205" s="72">
        <v>714.06920000000002</v>
      </c>
      <c r="E205" s="73">
        <v>0.1169</v>
      </c>
      <c r="F205" s="19">
        <v>2.2599999999999998</v>
      </c>
      <c r="G205" s="19">
        <v>14.307700000000001</v>
      </c>
      <c r="H205" t="s">
        <v>13</v>
      </c>
    </row>
    <row r="206" spans="1:8">
      <c r="A206" t="s">
        <v>749</v>
      </c>
      <c r="B206" t="s">
        <v>750</v>
      </c>
      <c r="C206">
        <v>18</v>
      </c>
      <c r="D206" s="72">
        <v>876.17780000000005</v>
      </c>
      <c r="E206" s="73">
        <v>0.47499999999999998</v>
      </c>
      <c r="F206" s="19">
        <v>3.3689</v>
      </c>
      <c r="G206" s="19">
        <v>16.866700000000002</v>
      </c>
      <c r="H206" t="s">
        <v>13</v>
      </c>
    </row>
    <row r="207" spans="1:8">
      <c r="A207" t="s">
        <v>751</v>
      </c>
      <c r="B207" t="s">
        <v>752</v>
      </c>
      <c r="C207">
        <v>18</v>
      </c>
      <c r="D207" s="72">
        <v>684.92780000000005</v>
      </c>
      <c r="E207" s="73">
        <v>0.40720000000000001</v>
      </c>
      <c r="F207" s="19">
        <v>5.3567</v>
      </c>
      <c r="G207" s="19">
        <v>528.7944</v>
      </c>
      <c r="H207" t="s">
        <v>14</v>
      </c>
    </row>
    <row r="208" spans="1:8">
      <c r="A208" t="s">
        <v>500</v>
      </c>
      <c r="B208" t="s">
        <v>501</v>
      </c>
      <c r="C208">
        <v>18</v>
      </c>
      <c r="D208" s="72">
        <v>886.28330000000005</v>
      </c>
      <c r="E208" s="73">
        <v>0.22889999999999999</v>
      </c>
      <c r="F208" s="19">
        <v>1.0166999999999999</v>
      </c>
      <c r="G208" s="19">
        <v>13.75</v>
      </c>
      <c r="H208" t="s">
        <v>13</v>
      </c>
    </row>
    <row r="209" spans="1:8">
      <c r="A209" t="s">
        <v>753</v>
      </c>
      <c r="B209" t="s">
        <v>754</v>
      </c>
      <c r="C209">
        <v>16</v>
      </c>
      <c r="D209" s="72">
        <v>874.83119999999997</v>
      </c>
      <c r="E209" s="73">
        <v>0.115</v>
      </c>
      <c r="F209" s="19">
        <v>0.44379999999999997</v>
      </c>
      <c r="G209" s="19">
        <v>15.5</v>
      </c>
      <c r="H209" t="s">
        <v>13</v>
      </c>
    </row>
    <row r="210" spans="1:8">
      <c r="A210" t="s">
        <v>755</v>
      </c>
      <c r="B210" t="s">
        <v>756</v>
      </c>
      <c r="C210">
        <v>17</v>
      </c>
      <c r="D210" s="72">
        <v>975.28819999999996</v>
      </c>
      <c r="E210" s="73">
        <v>0.20349999999999999</v>
      </c>
      <c r="F210" s="19">
        <v>0.59409999999999996</v>
      </c>
      <c r="G210" s="19">
        <v>205.47059999999999</v>
      </c>
      <c r="H210" t="s">
        <v>13</v>
      </c>
    </row>
    <row r="211" spans="1:8">
      <c r="A211" t="s">
        <v>757</v>
      </c>
      <c r="B211" t="s">
        <v>758</v>
      </c>
      <c r="C211">
        <v>20</v>
      </c>
      <c r="D211" s="72">
        <v>894.04499999999996</v>
      </c>
      <c r="E211" s="73">
        <v>8.4000000000000005E-2</v>
      </c>
      <c r="F211" s="19">
        <v>0.97599999999999998</v>
      </c>
      <c r="G211" s="19">
        <v>32.130000000000003</v>
      </c>
      <c r="H211" t="s">
        <v>13</v>
      </c>
    </row>
    <row r="212" spans="1:8">
      <c r="A212" t="s">
        <v>112</v>
      </c>
      <c r="B212" t="s">
        <v>113</v>
      </c>
      <c r="C212">
        <v>26</v>
      </c>
      <c r="D212" s="72">
        <v>811.23080000000004</v>
      </c>
      <c r="E212" s="73">
        <v>0.14649999999999999</v>
      </c>
      <c r="F212" s="19">
        <v>1.3153999999999999</v>
      </c>
      <c r="G212" s="19">
        <v>62.038499999999999</v>
      </c>
      <c r="H212" t="s">
        <v>13</v>
      </c>
    </row>
    <row r="213" spans="1:8">
      <c r="A213" t="s">
        <v>241</v>
      </c>
      <c r="B213" t="s">
        <v>242</v>
      </c>
      <c r="C213">
        <v>16</v>
      </c>
      <c r="D213" s="72">
        <v>978.0625</v>
      </c>
      <c r="E213" s="73">
        <v>6.8099999999999994E-2</v>
      </c>
      <c r="F213" s="19">
        <v>2.0488</v>
      </c>
      <c r="G213" s="19">
        <v>13.206300000000001</v>
      </c>
      <c r="H213" t="s">
        <v>13</v>
      </c>
    </row>
    <row r="214" spans="1:8">
      <c r="A214" t="s">
        <v>759</v>
      </c>
      <c r="B214" t="s">
        <v>760</v>
      </c>
      <c r="C214">
        <v>17</v>
      </c>
      <c r="D214" s="72">
        <v>822.57060000000001</v>
      </c>
      <c r="E214" s="73">
        <v>3.4099999999999998E-2</v>
      </c>
      <c r="F214" s="19">
        <v>3.7353000000000001</v>
      </c>
      <c r="G214" s="19">
        <v>4439.7235000000001</v>
      </c>
      <c r="H214" t="s">
        <v>13</v>
      </c>
    </row>
    <row r="215" spans="1:8">
      <c r="A215" t="s">
        <v>761</v>
      </c>
      <c r="B215" t="s">
        <v>762</v>
      </c>
      <c r="C215">
        <v>15</v>
      </c>
      <c r="D215" s="72">
        <v>680.06</v>
      </c>
      <c r="E215" s="73">
        <v>0.1913</v>
      </c>
      <c r="F215" s="19">
        <v>2.2532999999999999</v>
      </c>
      <c r="G215" s="19">
        <v>86.74</v>
      </c>
      <c r="H215" t="s">
        <v>14</v>
      </c>
    </row>
    <row r="216" spans="1:8">
      <c r="A216" t="s">
        <v>371</v>
      </c>
      <c r="B216" t="s">
        <v>372</v>
      </c>
      <c r="C216">
        <v>14</v>
      </c>
      <c r="D216" s="72">
        <v>661.22140000000002</v>
      </c>
      <c r="E216" s="73">
        <v>8.7099999999999997E-2</v>
      </c>
      <c r="F216" s="19">
        <v>6.0956999999999999</v>
      </c>
      <c r="G216" s="19">
        <v>106.0286</v>
      </c>
      <c r="H216" t="s">
        <v>14</v>
      </c>
    </row>
    <row r="217" spans="1:8">
      <c r="A217" t="s">
        <v>763</v>
      </c>
      <c r="B217" t="s">
        <v>764</v>
      </c>
      <c r="C217">
        <v>17</v>
      </c>
      <c r="D217" s="72">
        <v>718.27650000000006</v>
      </c>
      <c r="E217" s="73">
        <v>0.1376</v>
      </c>
      <c r="F217" s="19">
        <v>2.6764999999999999</v>
      </c>
      <c r="G217" s="19">
        <v>65.9529</v>
      </c>
      <c r="H217" t="s">
        <v>13</v>
      </c>
    </row>
    <row r="218" spans="1:8">
      <c r="A218" t="s">
        <v>96</v>
      </c>
      <c r="B218" t="s">
        <v>97</v>
      </c>
      <c r="C218">
        <v>16</v>
      </c>
      <c r="D218" s="72">
        <v>870.27499999999998</v>
      </c>
      <c r="E218" s="73">
        <v>0.42</v>
      </c>
      <c r="F218" s="19">
        <v>2.4512</v>
      </c>
      <c r="G218" s="19">
        <v>410.1438</v>
      </c>
      <c r="H218" t="s">
        <v>13</v>
      </c>
    </row>
    <row r="219" spans="1:8">
      <c r="A219" t="s">
        <v>374</v>
      </c>
      <c r="B219" t="s">
        <v>375</v>
      </c>
      <c r="C219">
        <v>15</v>
      </c>
      <c r="D219" s="72">
        <v>918.89329999999995</v>
      </c>
      <c r="E219" s="73">
        <v>0.1193</v>
      </c>
      <c r="F219" s="19">
        <v>1.952</v>
      </c>
      <c r="G219" s="19">
        <v>2499.7732999999998</v>
      </c>
      <c r="H219" t="s">
        <v>13</v>
      </c>
    </row>
    <row r="220" spans="1:8">
      <c r="A220" t="s">
        <v>503</v>
      </c>
      <c r="B220" t="s">
        <v>504</v>
      </c>
      <c r="C220">
        <v>20</v>
      </c>
      <c r="D220" s="72">
        <v>760.49</v>
      </c>
      <c r="E220" s="73">
        <v>0.44450000000000001</v>
      </c>
      <c r="F220" s="19">
        <v>2.871</v>
      </c>
      <c r="G220" s="19">
        <v>572.58500000000004</v>
      </c>
      <c r="H220" t="s">
        <v>13</v>
      </c>
    </row>
    <row r="221" spans="1:8">
      <c r="A221" t="s">
        <v>765</v>
      </c>
      <c r="B221" t="s">
        <v>766</v>
      </c>
      <c r="C221">
        <v>23</v>
      </c>
      <c r="D221" s="72">
        <v>982.27829999999994</v>
      </c>
      <c r="E221" s="73">
        <v>4.2999999999999997E-2</v>
      </c>
      <c r="F221" s="19">
        <v>1.127</v>
      </c>
      <c r="G221" s="19">
        <v>134.4</v>
      </c>
      <c r="H221" t="s">
        <v>13</v>
      </c>
    </row>
    <row r="222" spans="1:8">
      <c r="A222" t="s">
        <v>767</v>
      </c>
      <c r="B222" t="s">
        <v>768</v>
      </c>
      <c r="C222">
        <v>15</v>
      </c>
      <c r="D222" s="72">
        <v>684.2133</v>
      </c>
      <c r="E222" s="73">
        <v>0.114</v>
      </c>
      <c r="F222" s="19">
        <v>3.0787</v>
      </c>
      <c r="G222" s="19">
        <v>160.10669999999999</v>
      </c>
      <c r="H222" t="s">
        <v>14</v>
      </c>
    </row>
    <row r="223" spans="1:8">
      <c r="A223" t="s">
        <v>769</v>
      </c>
      <c r="B223" t="s">
        <v>770</v>
      </c>
      <c r="C223">
        <v>18</v>
      </c>
      <c r="D223" s="72">
        <v>784.75</v>
      </c>
      <c r="E223" s="73">
        <v>0.2011</v>
      </c>
      <c r="F223" s="19">
        <v>2.1189</v>
      </c>
      <c r="G223" s="19">
        <v>9.9499999999999993</v>
      </c>
      <c r="H223" t="s">
        <v>13</v>
      </c>
    </row>
    <row r="224" spans="1:8">
      <c r="A224" t="s">
        <v>115</v>
      </c>
      <c r="B224" t="s">
        <v>116</v>
      </c>
      <c r="C224">
        <v>23</v>
      </c>
      <c r="D224" s="72">
        <v>938.8</v>
      </c>
      <c r="E224" s="73">
        <v>5.3499999999999999E-2</v>
      </c>
      <c r="F224" s="19">
        <v>1.2851999999999999</v>
      </c>
      <c r="G224" s="19">
        <v>33.508699999999997</v>
      </c>
      <c r="H224" t="s">
        <v>13</v>
      </c>
    </row>
    <row r="225" spans="1:8">
      <c r="A225" t="s">
        <v>560</v>
      </c>
      <c r="B225" t="s">
        <v>561</v>
      </c>
      <c r="C225">
        <v>25</v>
      </c>
      <c r="D225" s="72">
        <v>981.95600000000002</v>
      </c>
      <c r="E225" s="73">
        <v>0.1176</v>
      </c>
      <c r="F225" s="19">
        <v>2.2591999999999999</v>
      </c>
      <c r="G225" s="19">
        <v>15.327999999999999</v>
      </c>
      <c r="H225" t="s">
        <v>13</v>
      </c>
    </row>
    <row r="226" spans="1:8">
      <c r="A226" t="s">
        <v>244</v>
      </c>
      <c r="B226" t="s">
        <v>245</v>
      </c>
      <c r="C226">
        <v>24</v>
      </c>
      <c r="D226" s="72">
        <v>538.33749999999998</v>
      </c>
      <c r="E226" s="73">
        <v>7.9600000000000004E-2</v>
      </c>
      <c r="F226" s="19">
        <v>8.6207999999999991</v>
      </c>
      <c r="G226" s="19">
        <v>70.924999999999997</v>
      </c>
      <c r="H226" t="s">
        <v>14</v>
      </c>
    </row>
    <row r="227" spans="1:8">
      <c r="A227" t="s">
        <v>771</v>
      </c>
      <c r="B227" t="s">
        <v>772</v>
      </c>
      <c r="C227">
        <v>11</v>
      </c>
      <c r="D227" s="72">
        <v>990.00909999999999</v>
      </c>
      <c r="E227" s="73">
        <v>4.6399999999999997E-2</v>
      </c>
      <c r="F227" s="19">
        <v>0.70730000000000004</v>
      </c>
      <c r="G227" s="19">
        <v>11.9</v>
      </c>
      <c r="H227" t="s">
        <v>13</v>
      </c>
    </row>
    <row r="228" spans="1:8">
      <c r="A228" t="s">
        <v>163</v>
      </c>
      <c r="B228" t="s">
        <v>164</v>
      </c>
      <c r="C228">
        <v>15</v>
      </c>
      <c r="D228" s="72">
        <v>987.62</v>
      </c>
      <c r="E228" s="73">
        <v>0.1827</v>
      </c>
      <c r="F228" s="19">
        <v>1.5652999999999999</v>
      </c>
      <c r="G228" s="19">
        <v>15.72</v>
      </c>
      <c r="H228" t="s">
        <v>13</v>
      </c>
    </row>
    <row r="229" spans="1:8">
      <c r="A229" t="s">
        <v>773</v>
      </c>
      <c r="B229" t="s">
        <v>774</v>
      </c>
      <c r="C229">
        <v>25</v>
      </c>
      <c r="D229" s="72">
        <v>977.75599999999997</v>
      </c>
      <c r="E229" s="73">
        <v>0.14599999999999999</v>
      </c>
      <c r="F229" s="19">
        <v>1.4039999999999999</v>
      </c>
      <c r="G229" s="19">
        <v>15.156000000000001</v>
      </c>
      <c r="H229" t="s">
        <v>13</v>
      </c>
    </row>
    <row r="230" spans="1:8">
      <c r="A230" t="s">
        <v>775</v>
      </c>
      <c r="B230" t="s">
        <v>776</v>
      </c>
      <c r="C230">
        <v>28</v>
      </c>
      <c r="D230" s="72">
        <v>981.46069999999997</v>
      </c>
      <c r="E230" s="73">
        <v>8.6E-3</v>
      </c>
      <c r="F230" s="19">
        <v>1.5564</v>
      </c>
      <c r="G230" s="19">
        <v>10.903600000000001</v>
      </c>
      <c r="H230" t="s">
        <v>13</v>
      </c>
    </row>
    <row r="231" spans="1:8">
      <c r="A231" t="s">
        <v>247</v>
      </c>
      <c r="B231" t="s">
        <v>248</v>
      </c>
      <c r="C231">
        <v>17</v>
      </c>
      <c r="D231" s="72">
        <v>718.4</v>
      </c>
      <c r="E231" s="73">
        <v>0.37409999999999999</v>
      </c>
      <c r="F231" s="19">
        <v>3.6528999999999998</v>
      </c>
      <c r="G231" s="19">
        <v>13.882400000000001</v>
      </c>
      <c r="H231" t="s">
        <v>13</v>
      </c>
    </row>
    <row r="232" spans="1:8">
      <c r="A232" t="s">
        <v>166</v>
      </c>
      <c r="B232" t="s">
        <v>167</v>
      </c>
      <c r="C232">
        <v>24</v>
      </c>
      <c r="D232" s="72">
        <v>979.54169999999999</v>
      </c>
      <c r="E232" s="73">
        <v>0.1004</v>
      </c>
      <c r="F232" s="19">
        <v>2.6082999999999998</v>
      </c>
      <c r="G232" s="19">
        <v>15.237500000000001</v>
      </c>
      <c r="H232" t="s">
        <v>13</v>
      </c>
    </row>
    <row r="233" spans="1:8">
      <c r="A233" t="s">
        <v>100</v>
      </c>
      <c r="B233" t="s">
        <v>101</v>
      </c>
      <c r="C233">
        <v>30</v>
      </c>
      <c r="D233" s="72">
        <v>739.60329999999999</v>
      </c>
      <c r="E233" s="73">
        <v>8.0299999999999996E-2</v>
      </c>
      <c r="F233" s="19">
        <v>2.964</v>
      </c>
      <c r="G233" s="19">
        <v>2305.2166999999999</v>
      </c>
      <c r="H233" t="s">
        <v>13</v>
      </c>
    </row>
    <row r="234" spans="1:8">
      <c r="A234" t="s">
        <v>777</v>
      </c>
      <c r="B234" t="s">
        <v>778</v>
      </c>
      <c r="C234">
        <v>10</v>
      </c>
      <c r="D234" s="72">
        <v>990.34</v>
      </c>
      <c r="E234" s="73">
        <v>0</v>
      </c>
      <c r="F234" s="19">
        <v>0</v>
      </c>
      <c r="G234" s="19">
        <v>81.27</v>
      </c>
      <c r="H234" t="s">
        <v>13</v>
      </c>
    </row>
    <row r="235" spans="1:8">
      <c r="A235" t="s">
        <v>506</v>
      </c>
      <c r="B235" t="s">
        <v>507</v>
      </c>
      <c r="C235">
        <v>23</v>
      </c>
      <c r="D235" s="72">
        <v>977</v>
      </c>
      <c r="E235" s="73">
        <v>0.1004</v>
      </c>
      <c r="F235" s="19">
        <v>10.5061</v>
      </c>
      <c r="G235" s="19">
        <v>4978.0783000000001</v>
      </c>
      <c r="H235" t="s">
        <v>13</v>
      </c>
    </row>
    <row r="236" spans="1:8">
      <c r="A236" t="s">
        <v>250</v>
      </c>
      <c r="B236" t="s">
        <v>251</v>
      </c>
      <c r="C236">
        <v>24</v>
      </c>
      <c r="D236" s="72">
        <v>977.95830000000001</v>
      </c>
      <c r="E236" s="73">
        <v>0.50119999999999998</v>
      </c>
      <c r="F236" s="19">
        <v>3.9967000000000001</v>
      </c>
      <c r="G236" s="19">
        <v>1243.0582999999999</v>
      </c>
      <c r="H236" t="s">
        <v>13</v>
      </c>
    </row>
    <row r="237" spans="1:8">
      <c r="A237" t="s">
        <v>33</v>
      </c>
      <c r="B237" t="s">
        <v>34</v>
      </c>
      <c r="C237">
        <v>17</v>
      </c>
      <c r="D237" s="72">
        <v>873.22940000000006</v>
      </c>
      <c r="E237" s="73">
        <v>0.24349999999999999</v>
      </c>
      <c r="F237" s="19">
        <v>2.4893999999999998</v>
      </c>
      <c r="G237" s="19">
        <v>29.182400000000001</v>
      </c>
      <c r="H237" t="s">
        <v>13</v>
      </c>
    </row>
    <row r="238" spans="1:8">
      <c r="A238" t="s">
        <v>377</v>
      </c>
      <c r="B238" t="s">
        <v>378</v>
      </c>
      <c r="C238">
        <v>7</v>
      </c>
      <c r="D238" s="72">
        <v>969.98569999999995</v>
      </c>
      <c r="E238" s="73">
        <v>0.3614</v>
      </c>
      <c r="F238" s="19">
        <v>3.6</v>
      </c>
      <c r="G238" s="19">
        <v>40.557099999999998</v>
      </c>
      <c r="H238" t="s">
        <v>13</v>
      </c>
    </row>
    <row r="239" spans="1:8">
      <c r="A239" t="s">
        <v>380</v>
      </c>
      <c r="B239" t="s">
        <v>381</v>
      </c>
      <c r="C239">
        <v>24</v>
      </c>
      <c r="D239" s="72">
        <v>977.44169999999997</v>
      </c>
      <c r="E239" s="73">
        <v>5.1200000000000002E-2</v>
      </c>
      <c r="F239" s="19">
        <v>6.125</v>
      </c>
      <c r="G239" s="19">
        <v>20.708300000000001</v>
      </c>
      <c r="H239" t="s">
        <v>13</v>
      </c>
    </row>
    <row r="240" spans="1:8">
      <c r="A240" t="s">
        <v>509</v>
      </c>
      <c r="B240" t="s">
        <v>510</v>
      </c>
      <c r="C240">
        <v>22</v>
      </c>
      <c r="D240" s="72">
        <v>818.32270000000005</v>
      </c>
      <c r="E240" s="73">
        <v>0.14319999999999999</v>
      </c>
      <c r="F240" s="19">
        <v>1.5364</v>
      </c>
      <c r="G240" s="19">
        <v>33.527299999999997</v>
      </c>
      <c r="H240" t="s">
        <v>13</v>
      </c>
    </row>
    <row r="241" spans="1:8">
      <c r="A241" t="s">
        <v>578</v>
      </c>
      <c r="B241" t="s">
        <v>579</v>
      </c>
      <c r="C241">
        <v>24</v>
      </c>
      <c r="D241" s="72">
        <v>976.03750000000002</v>
      </c>
      <c r="E241" s="73">
        <v>4.4200000000000003E-2</v>
      </c>
      <c r="F241" s="19">
        <v>2.2583000000000002</v>
      </c>
      <c r="G241" s="19">
        <v>21.541699999999999</v>
      </c>
      <c r="H241" t="s">
        <v>13</v>
      </c>
    </row>
    <row r="242" spans="1:8">
      <c r="A242" t="s">
        <v>169</v>
      </c>
      <c r="B242" t="s">
        <v>170</v>
      </c>
      <c r="C242">
        <v>17</v>
      </c>
      <c r="D242" s="72">
        <v>931.14120000000003</v>
      </c>
      <c r="E242" s="73">
        <v>0.15939999999999999</v>
      </c>
      <c r="F242" s="19">
        <v>1.7094</v>
      </c>
      <c r="G242" s="19">
        <v>370.86470000000003</v>
      </c>
      <c r="H242" t="s">
        <v>13</v>
      </c>
    </row>
    <row r="243" spans="1:8">
      <c r="A243" t="s">
        <v>253</v>
      </c>
      <c r="B243" t="s">
        <v>254</v>
      </c>
      <c r="C243">
        <v>20</v>
      </c>
      <c r="D243" s="72">
        <v>807.57</v>
      </c>
      <c r="E243" s="73">
        <v>0.253</v>
      </c>
      <c r="F243" s="19">
        <v>3.9449999999999998</v>
      </c>
      <c r="G243" s="19">
        <v>91.385000000000005</v>
      </c>
      <c r="H243" t="s">
        <v>13</v>
      </c>
    </row>
    <row r="244" spans="1:8">
      <c r="A244" t="s">
        <v>256</v>
      </c>
      <c r="B244" t="s">
        <v>257</v>
      </c>
      <c r="C244">
        <v>21</v>
      </c>
      <c r="D244" s="72">
        <v>979.8048</v>
      </c>
      <c r="E244" s="73">
        <v>0.12570000000000001</v>
      </c>
      <c r="F244" s="19">
        <v>3.4142999999999999</v>
      </c>
      <c r="G244" s="19">
        <v>9206.3428999999996</v>
      </c>
      <c r="H244" t="s">
        <v>13</v>
      </c>
    </row>
    <row r="245" spans="1:8">
      <c r="A245" t="s">
        <v>383</v>
      </c>
      <c r="B245" t="s">
        <v>384</v>
      </c>
      <c r="C245">
        <v>26</v>
      </c>
      <c r="D245" s="72">
        <v>977.83849999999995</v>
      </c>
      <c r="E245" s="73">
        <v>5.6500000000000002E-2</v>
      </c>
      <c r="F245" s="19">
        <v>2.4045999999999998</v>
      </c>
      <c r="G245" s="19">
        <v>13.796200000000001</v>
      </c>
      <c r="H245" t="s">
        <v>13</v>
      </c>
    </row>
    <row r="246" spans="1:8">
      <c r="A246" t="s">
        <v>512</v>
      </c>
      <c r="B246" t="s">
        <v>513</v>
      </c>
      <c r="C246">
        <v>20</v>
      </c>
      <c r="D246" s="72">
        <v>978.73</v>
      </c>
      <c r="E246" s="73">
        <v>6.1499999999999999E-2</v>
      </c>
      <c r="F246" s="19">
        <v>1.625</v>
      </c>
      <c r="G246" s="19">
        <v>16.605</v>
      </c>
      <c r="H246" t="s">
        <v>13</v>
      </c>
    </row>
    <row r="247" spans="1:8">
      <c r="A247" t="s">
        <v>779</v>
      </c>
      <c r="B247" t="s">
        <v>780</v>
      </c>
      <c r="C247">
        <v>21</v>
      </c>
      <c r="D247" s="72">
        <v>895.38570000000004</v>
      </c>
      <c r="E247" s="73">
        <v>0.1348</v>
      </c>
      <c r="F247" s="19">
        <v>3.3475999999999999</v>
      </c>
      <c r="G247" s="19">
        <v>27.452400000000001</v>
      </c>
      <c r="H247" t="s">
        <v>13</v>
      </c>
    </row>
    <row r="248" spans="1:8">
      <c r="A248" t="s">
        <v>781</v>
      </c>
      <c r="B248" t="s">
        <v>782</v>
      </c>
      <c r="C248">
        <v>34</v>
      </c>
      <c r="D248" s="72">
        <v>948.76760000000002</v>
      </c>
      <c r="E248" s="73">
        <v>0.18559999999999999</v>
      </c>
      <c r="F248" s="19">
        <v>3.3471000000000002</v>
      </c>
      <c r="G248" s="19">
        <v>34.15</v>
      </c>
      <c r="H248" t="s">
        <v>13</v>
      </c>
    </row>
    <row r="249" spans="1:8">
      <c r="A249" t="s">
        <v>783</v>
      </c>
      <c r="B249" t="s">
        <v>784</v>
      </c>
      <c r="C249">
        <v>19</v>
      </c>
      <c r="D249" s="72">
        <v>789.01580000000001</v>
      </c>
      <c r="E249" s="73">
        <v>3.1099999999999999E-2</v>
      </c>
      <c r="F249" s="19">
        <v>2.3262999999999998</v>
      </c>
      <c r="G249" s="19">
        <v>13.978899999999999</v>
      </c>
      <c r="H249" t="s">
        <v>13</v>
      </c>
    </row>
    <row r="250" spans="1:8">
      <c r="A250" t="s">
        <v>78</v>
      </c>
      <c r="B250" t="s">
        <v>79</v>
      </c>
      <c r="C250">
        <v>19</v>
      </c>
      <c r="D250" s="72">
        <v>791.3</v>
      </c>
      <c r="E250" s="73">
        <v>0.18679999999999999</v>
      </c>
      <c r="F250" s="19">
        <v>2.7084000000000001</v>
      </c>
      <c r="G250" s="19">
        <v>1967.7946999999999</v>
      </c>
      <c r="H250" t="s">
        <v>13</v>
      </c>
    </row>
    <row r="251" spans="1:8">
      <c r="A251" t="s">
        <v>566</v>
      </c>
      <c r="B251" t="s">
        <v>567</v>
      </c>
      <c r="C251">
        <v>55</v>
      </c>
      <c r="D251" s="72">
        <v>982.43449999999996</v>
      </c>
      <c r="E251" s="73">
        <v>4.6899999999999997E-2</v>
      </c>
      <c r="F251" s="19">
        <v>10.053800000000001</v>
      </c>
      <c r="G251" s="19">
        <v>252.82550000000001</v>
      </c>
      <c r="H251" t="s">
        <v>13</v>
      </c>
    </row>
    <row r="252" spans="1:8">
      <c r="A252" t="s">
        <v>785</v>
      </c>
      <c r="B252" t="s">
        <v>786</v>
      </c>
      <c r="C252">
        <v>24</v>
      </c>
      <c r="D252" s="72">
        <v>535.13329999999996</v>
      </c>
      <c r="E252" s="73">
        <v>0.1062</v>
      </c>
      <c r="F252" s="19">
        <v>4.2549999999999999</v>
      </c>
      <c r="G252" s="19">
        <v>113.3125</v>
      </c>
      <c r="H252" t="s">
        <v>14</v>
      </c>
    </row>
    <row r="253" spans="1:8">
      <c r="A253" t="s">
        <v>259</v>
      </c>
      <c r="B253" t="s">
        <v>260</v>
      </c>
      <c r="C253">
        <v>9</v>
      </c>
      <c r="D253" s="72">
        <v>881.38890000000004</v>
      </c>
      <c r="E253" s="73">
        <v>0.39889999999999998</v>
      </c>
      <c r="F253" s="19">
        <v>11.2178</v>
      </c>
      <c r="G253" s="19">
        <v>497.32220000000001</v>
      </c>
      <c r="H253" t="s">
        <v>13</v>
      </c>
    </row>
    <row r="254" spans="1:8">
      <c r="A254" t="s">
        <v>515</v>
      </c>
      <c r="B254" t="s">
        <v>516</v>
      </c>
      <c r="C254">
        <v>11</v>
      </c>
      <c r="D254" s="72">
        <v>734.28179999999998</v>
      </c>
      <c r="E254" s="73">
        <v>0.19639999999999999</v>
      </c>
      <c r="F254" s="19">
        <v>2.2164000000000001</v>
      </c>
      <c r="G254" s="19">
        <v>110.5</v>
      </c>
      <c r="H254" t="s">
        <v>13</v>
      </c>
    </row>
    <row r="255" spans="1:8">
      <c r="A255" t="s">
        <v>36</v>
      </c>
      <c r="B255" t="s">
        <v>37</v>
      </c>
      <c r="C255">
        <v>11</v>
      </c>
      <c r="D255" s="72">
        <v>978.12729999999999</v>
      </c>
      <c r="E255" s="73">
        <v>0.03</v>
      </c>
      <c r="F255" s="19">
        <v>3.1181999999999999</v>
      </c>
      <c r="G255" s="19">
        <v>10</v>
      </c>
      <c r="H255" t="s">
        <v>13</v>
      </c>
    </row>
    <row r="256" spans="1:8">
      <c r="A256" t="s">
        <v>172</v>
      </c>
      <c r="B256" t="s">
        <v>173</v>
      </c>
      <c r="C256">
        <v>21</v>
      </c>
      <c r="D256" s="72">
        <v>931.7</v>
      </c>
      <c r="E256" s="73">
        <v>5.1400000000000001E-2</v>
      </c>
      <c r="F256" s="19">
        <v>1.9</v>
      </c>
      <c r="G256" s="19">
        <v>15.7476</v>
      </c>
      <c r="H256" t="s">
        <v>13</v>
      </c>
    </row>
    <row r="257" spans="1:8">
      <c r="A257" t="s">
        <v>262</v>
      </c>
      <c r="B257" t="s">
        <v>263</v>
      </c>
      <c r="C257">
        <v>28</v>
      </c>
      <c r="D257" s="72">
        <v>853.28570000000002</v>
      </c>
      <c r="E257" s="73">
        <v>0.185</v>
      </c>
      <c r="F257" s="19">
        <v>0.71789999999999998</v>
      </c>
      <c r="G257" s="19">
        <v>52.95</v>
      </c>
      <c r="H257" t="s">
        <v>13</v>
      </c>
    </row>
    <row r="258" spans="1:8">
      <c r="A258" t="s">
        <v>175</v>
      </c>
      <c r="B258" t="s">
        <v>176</v>
      </c>
      <c r="C258">
        <v>16</v>
      </c>
      <c r="D258" s="72">
        <v>871.24369999999999</v>
      </c>
      <c r="E258" s="73">
        <v>0.1981</v>
      </c>
      <c r="F258" s="19">
        <v>1.3362000000000001</v>
      </c>
      <c r="G258" s="19">
        <v>61.906199999999998</v>
      </c>
      <c r="H258" t="s">
        <v>13</v>
      </c>
    </row>
    <row r="259" spans="1:8">
      <c r="A259" t="s">
        <v>787</v>
      </c>
      <c r="B259" t="s">
        <v>788</v>
      </c>
      <c r="C259">
        <v>6</v>
      </c>
      <c r="D259" s="72">
        <v>979.25</v>
      </c>
      <c r="E259" s="73">
        <v>0.28670000000000001</v>
      </c>
      <c r="F259" s="19">
        <v>3.3666999999999998</v>
      </c>
      <c r="G259" s="19">
        <v>7038.2</v>
      </c>
      <c r="H259" t="s">
        <v>13</v>
      </c>
    </row>
    <row r="260" spans="1:8">
      <c r="A260" t="s">
        <v>118</v>
      </c>
      <c r="B260" t="s">
        <v>119</v>
      </c>
      <c r="C260">
        <v>65</v>
      </c>
      <c r="D260" s="72">
        <v>933.82460000000003</v>
      </c>
      <c r="E260" s="73">
        <v>0.2135</v>
      </c>
      <c r="F260" s="19">
        <v>2.1111</v>
      </c>
      <c r="G260" s="19">
        <v>135.38310000000001</v>
      </c>
      <c r="H260" t="s">
        <v>13</v>
      </c>
    </row>
    <row r="261" spans="1:8">
      <c r="A261" t="s">
        <v>789</v>
      </c>
      <c r="B261" t="s">
        <v>790</v>
      </c>
      <c r="C261">
        <v>42</v>
      </c>
      <c r="D261" s="72">
        <v>968.29520000000002</v>
      </c>
      <c r="E261" s="73">
        <v>6.2600000000000003E-2</v>
      </c>
      <c r="F261" s="19">
        <v>2.8237999999999999</v>
      </c>
      <c r="G261" s="19">
        <v>15.5571</v>
      </c>
      <c r="H261" t="s">
        <v>13</v>
      </c>
    </row>
    <row r="262" spans="1:8">
      <c r="A262" t="s">
        <v>791</v>
      </c>
      <c r="B262" t="s">
        <v>792</v>
      </c>
      <c r="C262">
        <v>14</v>
      </c>
      <c r="D262" s="72">
        <v>915.80709999999999</v>
      </c>
      <c r="E262" s="73">
        <v>0.29289999999999999</v>
      </c>
      <c r="F262" s="19">
        <v>8.1071000000000009</v>
      </c>
      <c r="G262" s="19">
        <v>4350.3786</v>
      </c>
      <c r="H262" t="s">
        <v>13</v>
      </c>
    </row>
    <row r="263" spans="1:8">
      <c r="A263" t="s">
        <v>127</v>
      </c>
      <c r="B263" t="s">
        <v>128</v>
      </c>
      <c r="C263">
        <v>39</v>
      </c>
      <c r="D263" s="72">
        <v>865.07690000000002</v>
      </c>
      <c r="E263" s="73">
        <v>0.12509999999999999</v>
      </c>
      <c r="F263" s="19">
        <v>1.9528000000000001</v>
      </c>
      <c r="G263" s="19">
        <v>29.4436</v>
      </c>
      <c r="H263" t="s">
        <v>13</v>
      </c>
    </row>
    <row r="264" spans="1:8">
      <c r="A264" t="s">
        <v>54</v>
      </c>
      <c r="B264" t="s">
        <v>55</v>
      </c>
      <c r="C264">
        <v>21</v>
      </c>
      <c r="D264" s="72">
        <v>890.90949999999998</v>
      </c>
      <c r="E264" s="73">
        <v>0.42099999999999999</v>
      </c>
      <c r="F264" s="19">
        <v>9.7895000000000003</v>
      </c>
      <c r="G264" s="19">
        <v>4712.4286000000002</v>
      </c>
      <c r="H264" t="s">
        <v>13</v>
      </c>
    </row>
    <row r="265" spans="1:8">
      <c r="A265" t="s">
        <v>793</v>
      </c>
      <c r="B265" t="s">
        <v>794</v>
      </c>
      <c r="C265">
        <v>20</v>
      </c>
      <c r="D265" s="72">
        <v>884.91</v>
      </c>
      <c r="E265" s="73">
        <v>0.1235</v>
      </c>
      <c r="F265" s="19">
        <v>2.9550000000000001</v>
      </c>
      <c r="G265" s="19">
        <v>171.18</v>
      </c>
      <c r="H265" t="s">
        <v>13</v>
      </c>
    </row>
    <row r="266" spans="1:8">
      <c r="A266" t="s">
        <v>57</v>
      </c>
      <c r="B266" t="s">
        <v>58</v>
      </c>
      <c r="C266">
        <v>23</v>
      </c>
      <c r="D266" s="72">
        <v>789.45219999999995</v>
      </c>
      <c r="E266" s="73">
        <v>0.34610000000000002</v>
      </c>
      <c r="F266" s="19">
        <v>4.4504000000000001</v>
      </c>
      <c r="G266" s="19">
        <v>79.504300000000001</v>
      </c>
      <c r="H266" t="s">
        <v>13</v>
      </c>
    </row>
    <row r="267" spans="1:8">
      <c r="A267" t="s">
        <v>178</v>
      </c>
      <c r="B267" t="s">
        <v>179</v>
      </c>
      <c r="C267">
        <v>15</v>
      </c>
      <c r="D267" s="72">
        <v>739.88670000000002</v>
      </c>
      <c r="E267" s="73">
        <v>0.1487</v>
      </c>
      <c r="F267" s="19">
        <v>2.2320000000000002</v>
      </c>
      <c r="G267" s="19">
        <v>2520.1799999999998</v>
      </c>
      <c r="H267" t="s">
        <v>13</v>
      </c>
    </row>
    <row r="268" spans="1:8">
      <c r="A268" t="s">
        <v>795</v>
      </c>
      <c r="B268" t="s">
        <v>796</v>
      </c>
      <c r="C268">
        <v>13</v>
      </c>
      <c r="D268" s="72">
        <v>974.5</v>
      </c>
      <c r="E268" s="73">
        <v>0.1492</v>
      </c>
      <c r="F268" s="19">
        <v>6.8615000000000004</v>
      </c>
      <c r="G268" s="19">
        <v>70446.638500000001</v>
      </c>
      <c r="H268" t="s">
        <v>13</v>
      </c>
    </row>
    <row r="269" spans="1:8">
      <c r="A269" t="s">
        <v>797</v>
      </c>
      <c r="B269" t="s">
        <v>798</v>
      </c>
      <c r="C269">
        <v>15</v>
      </c>
      <c r="D269" s="72">
        <v>798.15329999999994</v>
      </c>
      <c r="E269" s="73">
        <v>9.7299999999999998E-2</v>
      </c>
      <c r="F269" s="19">
        <v>6.76</v>
      </c>
      <c r="G269" s="19">
        <v>378.86669999999998</v>
      </c>
      <c r="H269" t="s">
        <v>13</v>
      </c>
    </row>
    <row r="270" spans="1:8">
      <c r="A270" t="s">
        <v>799</v>
      </c>
      <c r="B270" t="s">
        <v>800</v>
      </c>
      <c r="C270">
        <v>13</v>
      </c>
      <c r="D270" s="72">
        <v>843.8</v>
      </c>
      <c r="E270" s="73">
        <v>4.7699999999999999E-2</v>
      </c>
      <c r="F270" s="19">
        <v>1.1000000000000001</v>
      </c>
      <c r="G270" s="19">
        <v>12.3</v>
      </c>
      <c r="H270" t="s">
        <v>13</v>
      </c>
    </row>
    <row r="271" spans="1:8">
      <c r="A271" t="s">
        <v>801</v>
      </c>
      <c r="B271" t="s">
        <v>802</v>
      </c>
      <c r="C271">
        <v>8</v>
      </c>
      <c r="D271" s="72">
        <v>866.5625</v>
      </c>
      <c r="E271" s="73">
        <v>4.6199999999999998E-2</v>
      </c>
      <c r="F271" s="19">
        <v>5.4625000000000004</v>
      </c>
      <c r="G271" s="19">
        <v>3603.85</v>
      </c>
      <c r="H271" t="s">
        <v>13</v>
      </c>
    </row>
    <row r="272" spans="1:8">
      <c r="A272" t="s">
        <v>803</v>
      </c>
      <c r="B272" t="s">
        <v>804</v>
      </c>
      <c r="C272">
        <v>22</v>
      </c>
      <c r="D272" s="72">
        <v>777.56820000000005</v>
      </c>
      <c r="E272" s="73">
        <v>0.1336</v>
      </c>
      <c r="F272" s="19">
        <v>4.1872999999999996</v>
      </c>
      <c r="G272" s="19">
        <v>32.386400000000002</v>
      </c>
      <c r="H272" t="s">
        <v>13</v>
      </c>
    </row>
    <row r="273" spans="1:8">
      <c r="A273" t="s">
        <v>805</v>
      </c>
      <c r="B273" t="s">
        <v>806</v>
      </c>
      <c r="C273">
        <v>31</v>
      </c>
      <c r="D273" s="72">
        <v>974.78060000000005</v>
      </c>
      <c r="E273" s="73">
        <v>9.2299999999999993E-2</v>
      </c>
      <c r="F273" s="19">
        <v>3.1335000000000002</v>
      </c>
      <c r="G273" s="19">
        <v>111.4742</v>
      </c>
      <c r="H273" t="s">
        <v>13</v>
      </c>
    </row>
    <row r="274" spans="1:8">
      <c r="A274" t="s">
        <v>60</v>
      </c>
      <c r="B274" t="s">
        <v>61</v>
      </c>
      <c r="C274">
        <v>24</v>
      </c>
      <c r="D274" s="72">
        <v>683.56669999999997</v>
      </c>
      <c r="E274" s="73">
        <v>6.0400000000000002E-2</v>
      </c>
      <c r="F274" s="19">
        <v>2.5983000000000001</v>
      </c>
      <c r="G274" s="19">
        <v>54.445799999999998</v>
      </c>
      <c r="H274" t="s">
        <v>14</v>
      </c>
    </row>
    <row r="275" spans="1:8">
      <c r="A275" t="s">
        <v>807</v>
      </c>
      <c r="B275" t="s">
        <v>808</v>
      </c>
      <c r="C275">
        <v>17</v>
      </c>
      <c r="D275" s="72">
        <v>978.20590000000004</v>
      </c>
      <c r="E275" s="73">
        <v>0.18590000000000001</v>
      </c>
      <c r="F275" s="19">
        <v>3.7940999999999998</v>
      </c>
      <c r="G275" s="19">
        <v>25.017600000000002</v>
      </c>
      <c r="H275" t="s">
        <v>13</v>
      </c>
    </row>
    <row r="276" spans="1:8">
      <c r="A276" t="s">
        <v>63</v>
      </c>
      <c r="B276" t="s">
        <v>64</v>
      </c>
      <c r="C276">
        <v>18</v>
      </c>
      <c r="D276" s="72">
        <v>828.14440000000002</v>
      </c>
      <c r="E276" s="73">
        <v>0.13500000000000001</v>
      </c>
      <c r="F276" s="19">
        <v>1.7356</v>
      </c>
      <c r="G276" s="19">
        <v>21.5778</v>
      </c>
      <c r="H276" t="s">
        <v>13</v>
      </c>
    </row>
    <row r="277" spans="1:8">
      <c r="A277" t="s">
        <v>66</v>
      </c>
      <c r="B277" t="s">
        <v>67</v>
      </c>
      <c r="C277">
        <v>23</v>
      </c>
      <c r="D277" s="72">
        <v>862.8</v>
      </c>
      <c r="E277" s="73">
        <v>0.17169999999999999</v>
      </c>
      <c r="F277" s="19">
        <v>3.2383000000000002</v>
      </c>
      <c r="G277" s="19">
        <v>32.347799999999999</v>
      </c>
      <c r="H277" t="s">
        <v>13</v>
      </c>
    </row>
    <row r="278" spans="1:8">
      <c r="A278" t="s">
        <v>386</v>
      </c>
      <c r="B278" t="s">
        <v>387</v>
      </c>
      <c r="C278">
        <v>17</v>
      </c>
      <c r="D278" s="72">
        <v>974.37649999999996</v>
      </c>
      <c r="E278" s="73">
        <v>2.29E-2</v>
      </c>
      <c r="F278" s="19">
        <v>1.5824</v>
      </c>
      <c r="G278" s="19">
        <v>17.235299999999999</v>
      </c>
      <c r="H278" t="s">
        <v>13</v>
      </c>
    </row>
    <row r="279" spans="1:8">
      <c r="A279" t="s">
        <v>809</v>
      </c>
      <c r="B279" t="s">
        <v>810</v>
      </c>
      <c r="C279">
        <v>9</v>
      </c>
      <c r="D279" s="72">
        <v>679.25559999999996</v>
      </c>
      <c r="E279" s="73">
        <v>7.3300000000000004E-2</v>
      </c>
      <c r="F279" s="19">
        <v>1.0667</v>
      </c>
      <c r="G279" s="19">
        <v>10.6778</v>
      </c>
      <c r="H279" t="s">
        <v>14</v>
      </c>
    </row>
    <row r="280" spans="1:8">
      <c r="A280" t="s">
        <v>181</v>
      </c>
      <c r="B280" t="s">
        <v>182</v>
      </c>
      <c r="C280">
        <v>17</v>
      </c>
      <c r="D280" s="72">
        <v>971.83529999999996</v>
      </c>
      <c r="E280" s="73">
        <v>1.24E-2</v>
      </c>
      <c r="F280" s="19">
        <v>1.4529000000000001</v>
      </c>
      <c r="G280" s="19">
        <v>11.4529</v>
      </c>
      <c r="H280" t="s">
        <v>13</v>
      </c>
    </row>
    <row r="281" spans="1:8">
      <c r="A281" t="s">
        <v>39</v>
      </c>
      <c r="B281" t="s">
        <v>40</v>
      </c>
      <c r="C281">
        <v>22</v>
      </c>
      <c r="D281" s="72">
        <v>857.25450000000001</v>
      </c>
      <c r="E281" s="73">
        <v>4.9500000000000002E-2</v>
      </c>
      <c r="F281" s="19">
        <v>2.1682000000000001</v>
      </c>
      <c r="G281" s="19">
        <v>3408.6727000000001</v>
      </c>
      <c r="H281" t="s">
        <v>13</v>
      </c>
    </row>
    <row r="282" spans="1:8">
      <c r="A282" t="s">
        <v>265</v>
      </c>
      <c r="B282" t="s">
        <v>266</v>
      </c>
      <c r="C282">
        <v>16</v>
      </c>
      <c r="D282" s="72">
        <v>977.98130000000003</v>
      </c>
      <c r="E282" s="73">
        <v>9.9400000000000002E-2</v>
      </c>
      <c r="F282" s="19">
        <v>1.7050000000000001</v>
      </c>
      <c r="G282" s="19">
        <v>12.456300000000001</v>
      </c>
      <c r="H282" t="s">
        <v>13</v>
      </c>
    </row>
    <row r="283" spans="1:8">
      <c r="A283" t="s">
        <v>184</v>
      </c>
      <c r="B283" t="s">
        <v>185</v>
      </c>
      <c r="C283">
        <v>21</v>
      </c>
      <c r="D283" s="72">
        <v>974.96190000000001</v>
      </c>
      <c r="E283" s="73">
        <v>0.1719</v>
      </c>
      <c r="F283" s="19">
        <v>1.7504999999999999</v>
      </c>
      <c r="G283" s="19">
        <v>18.261900000000001</v>
      </c>
      <c r="H283" t="s">
        <v>13</v>
      </c>
    </row>
    <row r="284" spans="1:8">
      <c r="A284" t="s">
        <v>811</v>
      </c>
      <c r="B284" t="s">
        <v>812</v>
      </c>
      <c r="C284">
        <v>30</v>
      </c>
      <c r="D284" s="72">
        <v>656.89329999999995</v>
      </c>
      <c r="E284" s="73">
        <v>0.1583</v>
      </c>
      <c r="F284" s="19">
        <v>3.49</v>
      </c>
      <c r="G284" s="19">
        <v>95.63</v>
      </c>
      <c r="H284" t="s">
        <v>14</v>
      </c>
    </row>
    <row r="285" spans="1:8">
      <c r="A285" t="s">
        <v>187</v>
      </c>
      <c r="B285" t="s">
        <v>188</v>
      </c>
      <c r="C285">
        <v>27</v>
      </c>
      <c r="D285" s="72">
        <v>582.58150000000001</v>
      </c>
      <c r="E285" s="73">
        <v>0.24740000000000001</v>
      </c>
      <c r="F285" s="19">
        <v>1.7111000000000001</v>
      </c>
      <c r="G285" s="19">
        <v>403.85930000000002</v>
      </c>
      <c r="H285" t="s">
        <v>14</v>
      </c>
    </row>
    <row r="286" spans="1:8">
      <c r="A286" t="s">
        <v>813</v>
      </c>
      <c r="B286" t="s">
        <v>814</v>
      </c>
      <c r="C286">
        <v>15</v>
      </c>
      <c r="D286" s="72">
        <v>980.15329999999994</v>
      </c>
      <c r="E286" s="73">
        <v>3.7999999999999999E-2</v>
      </c>
      <c r="F286" s="19">
        <v>1.5572999999999999</v>
      </c>
      <c r="G286" s="19">
        <v>21.546700000000001</v>
      </c>
      <c r="H286" t="s">
        <v>13</v>
      </c>
    </row>
    <row r="287" spans="1:8">
      <c r="A287" t="s">
        <v>518</v>
      </c>
      <c r="B287" t="s">
        <v>519</v>
      </c>
      <c r="C287">
        <v>21</v>
      </c>
      <c r="D287" s="72">
        <v>977.70479999999998</v>
      </c>
      <c r="E287" s="73">
        <v>0.10100000000000001</v>
      </c>
      <c r="F287" s="19">
        <v>2.4857</v>
      </c>
      <c r="G287" s="19">
        <v>16.928599999999999</v>
      </c>
      <c r="H287" t="s">
        <v>13</v>
      </c>
    </row>
    <row r="288" spans="1:8">
      <c r="A288" t="s">
        <v>87</v>
      </c>
      <c r="B288" t="s">
        <v>88</v>
      </c>
      <c r="C288">
        <v>19</v>
      </c>
      <c r="D288" s="72">
        <v>985.15260000000001</v>
      </c>
      <c r="E288" s="73">
        <v>0.87109999999999999</v>
      </c>
      <c r="F288" s="19">
        <v>10.647399999999999</v>
      </c>
      <c r="G288" s="19">
        <v>26648.468400000002</v>
      </c>
      <c r="H288" t="s">
        <v>13</v>
      </c>
    </row>
    <row r="289" spans="1:8">
      <c r="A289" t="s">
        <v>190</v>
      </c>
      <c r="B289" t="s">
        <v>191</v>
      </c>
      <c r="C289">
        <v>15</v>
      </c>
      <c r="D289" s="72">
        <v>915.19330000000002</v>
      </c>
      <c r="E289" s="73">
        <v>0.1187</v>
      </c>
      <c r="F289" s="19">
        <v>0.75070000000000003</v>
      </c>
      <c r="G289" s="19">
        <v>2503.3533000000002</v>
      </c>
      <c r="H289" t="s">
        <v>13</v>
      </c>
    </row>
    <row r="290" spans="1:8">
      <c r="A290" t="s">
        <v>42</v>
      </c>
      <c r="B290" t="s">
        <v>43</v>
      </c>
      <c r="C290">
        <v>27</v>
      </c>
      <c r="D290" s="72">
        <v>911.74069999999995</v>
      </c>
      <c r="E290" s="73">
        <v>0.25409999999999999</v>
      </c>
      <c r="F290" s="19">
        <v>10.7822</v>
      </c>
      <c r="G290" s="19">
        <v>75.625900000000001</v>
      </c>
      <c r="H290" t="s">
        <v>13</v>
      </c>
    </row>
    <row r="291" spans="1:8">
      <c r="A291" t="s">
        <v>84</v>
      </c>
      <c r="B291" t="s">
        <v>85</v>
      </c>
      <c r="C291">
        <v>46</v>
      </c>
      <c r="D291" s="72">
        <v>976.87170000000003</v>
      </c>
      <c r="E291" s="73">
        <v>0.52500000000000002</v>
      </c>
      <c r="F291" s="19">
        <v>3.0804</v>
      </c>
      <c r="G291" s="19">
        <v>59.039099999999998</v>
      </c>
      <c r="H291" t="s">
        <v>13</v>
      </c>
    </row>
    <row r="292" spans="1:8">
      <c r="A292" t="s">
        <v>69</v>
      </c>
      <c r="B292" t="s">
        <v>70</v>
      </c>
      <c r="C292">
        <v>23</v>
      </c>
      <c r="D292" s="72">
        <v>974.44780000000003</v>
      </c>
      <c r="E292" s="73">
        <v>7.6999999999999999E-2</v>
      </c>
      <c r="F292" s="19">
        <v>4.3060999999999998</v>
      </c>
      <c r="G292" s="19">
        <v>3248.7651999999998</v>
      </c>
      <c r="H292" t="s">
        <v>13</v>
      </c>
    </row>
    <row r="293" spans="1:8">
      <c r="A293" t="s">
        <v>389</v>
      </c>
      <c r="B293" t="s">
        <v>390</v>
      </c>
      <c r="C293">
        <v>28</v>
      </c>
      <c r="D293" s="72">
        <v>975.85</v>
      </c>
      <c r="E293" s="73">
        <v>9.64E-2</v>
      </c>
      <c r="F293" s="19">
        <v>1.3157000000000001</v>
      </c>
      <c r="G293" s="19">
        <v>14.2607</v>
      </c>
      <c r="H293" t="s">
        <v>13</v>
      </c>
    </row>
    <row r="294" spans="1:8">
      <c r="A294" t="s">
        <v>521</v>
      </c>
      <c r="B294" t="s">
        <v>522</v>
      </c>
      <c r="C294">
        <v>17</v>
      </c>
      <c r="D294" s="72">
        <v>977.12350000000004</v>
      </c>
      <c r="E294" s="73">
        <v>0.1053</v>
      </c>
      <c r="F294" s="19">
        <v>3.3117999999999999</v>
      </c>
      <c r="G294" s="19">
        <v>2239.2764999999999</v>
      </c>
      <c r="H294" t="s">
        <v>13</v>
      </c>
    </row>
    <row r="295" spans="1:8">
      <c r="A295" t="s">
        <v>268</v>
      </c>
      <c r="B295" t="s">
        <v>269</v>
      </c>
      <c r="C295">
        <v>10</v>
      </c>
      <c r="D295" s="72">
        <v>711.74</v>
      </c>
      <c r="E295" s="73">
        <v>0.129</v>
      </c>
      <c r="F295" s="19">
        <v>3.048</v>
      </c>
      <c r="G295" s="19">
        <v>377.3</v>
      </c>
      <c r="H295" t="s">
        <v>13</v>
      </c>
    </row>
    <row r="296" spans="1:8">
      <c r="A296" t="s">
        <v>815</v>
      </c>
      <c r="B296" t="s">
        <v>816</v>
      </c>
      <c r="C296">
        <v>17</v>
      </c>
      <c r="D296" s="72">
        <v>975.14120000000003</v>
      </c>
      <c r="E296" s="73">
        <v>0.1288</v>
      </c>
      <c r="F296" s="19">
        <v>2.2528999999999999</v>
      </c>
      <c r="G296" s="19">
        <v>18.7059</v>
      </c>
      <c r="H296" t="s">
        <v>13</v>
      </c>
    </row>
    <row r="297" spans="1:8">
      <c r="A297" t="s">
        <v>72</v>
      </c>
      <c r="B297" t="s">
        <v>73</v>
      </c>
      <c r="C297">
        <v>26</v>
      </c>
      <c r="D297" s="72">
        <v>972.8</v>
      </c>
      <c r="E297" s="73">
        <v>0.20619999999999999</v>
      </c>
      <c r="F297" s="19">
        <v>3.9984999999999999</v>
      </c>
      <c r="G297" s="19">
        <v>29.269200000000001</v>
      </c>
      <c r="H297" t="s">
        <v>13</v>
      </c>
    </row>
    <row r="298" spans="1:8">
      <c r="A298" t="s">
        <v>392</v>
      </c>
      <c r="B298" t="s">
        <v>393</v>
      </c>
      <c r="C298">
        <v>20</v>
      </c>
      <c r="D298" s="72">
        <v>844.14499999999998</v>
      </c>
      <c r="E298" s="73">
        <v>8.4000000000000005E-2</v>
      </c>
      <c r="F298" s="19">
        <v>1.355</v>
      </c>
      <c r="G298" s="19">
        <v>13.78</v>
      </c>
      <c r="H298" t="s">
        <v>13</v>
      </c>
    </row>
    <row r="299" spans="1:8">
      <c r="A299" t="s">
        <v>817</v>
      </c>
      <c r="B299" t="s">
        <v>818</v>
      </c>
      <c r="C299">
        <v>24</v>
      </c>
      <c r="D299" s="72">
        <v>905.89580000000001</v>
      </c>
      <c r="E299" s="73">
        <v>5.5399999999999998E-2</v>
      </c>
      <c r="F299" s="19">
        <v>2.2250000000000001</v>
      </c>
      <c r="G299" s="19">
        <v>27.104199999999999</v>
      </c>
      <c r="H299" t="s">
        <v>13</v>
      </c>
    </row>
    <row r="300" spans="1:8">
      <c r="A300" t="s">
        <v>819</v>
      </c>
      <c r="B300" t="s">
        <v>820</v>
      </c>
      <c r="C300">
        <v>26</v>
      </c>
      <c r="D300" s="72">
        <v>984.86540000000002</v>
      </c>
      <c r="E300" s="73">
        <v>0.14729999999999999</v>
      </c>
      <c r="F300" s="19">
        <v>2.4885000000000002</v>
      </c>
      <c r="G300" s="19">
        <v>21.826899999999998</v>
      </c>
      <c r="H300" t="s">
        <v>13</v>
      </c>
    </row>
    <row r="301" spans="1:8">
      <c r="A301" t="s">
        <v>821</v>
      </c>
      <c r="B301" t="s">
        <v>822</v>
      </c>
      <c r="C301">
        <v>12</v>
      </c>
      <c r="D301" s="72">
        <v>755.84169999999995</v>
      </c>
      <c r="E301" s="73">
        <v>5.1700000000000003E-2</v>
      </c>
      <c r="F301" s="19">
        <v>1.3916999999999999</v>
      </c>
      <c r="G301" s="19">
        <v>29.7</v>
      </c>
      <c r="H301" t="s">
        <v>13</v>
      </c>
    </row>
    <row r="302" spans="1:8">
      <c r="A302" t="s">
        <v>823</v>
      </c>
      <c r="B302" t="s">
        <v>824</v>
      </c>
      <c r="C302">
        <v>34</v>
      </c>
      <c r="D302" s="72">
        <v>948.4529</v>
      </c>
      <c r="E302" s="73">
        <v>0.7974</v>
      </c>
      <c r="F302" s="19">
        <v>3.3359000000000001</v>
      </c>
      <c r="G302" s="19">
        <v>100.7941</v>
      </c>
      <c r="H302" t="s">
        <v>13</v>
      </c>
    </row>
    <row r="303" spans="1:8">
      <c r="A303" t="s">
        <v>825</v>
      </c>
      <c r="B303" t="s">
        <v>826</v>
      </c>
      <c r="C303">
        <v>54</v>
      </c>
      <c r="D303" s="72">
        <v>988.61670000000004</v>
      </c>
      <c r="E303" s="73">
        <v>0.2422</v>
      </c>
      <c r="F303" s="19">
        <v>2.3184999999999998</v>
      </c>
      <c r="G303" s="19">
        <v>42.877800000000001</v>
      </c>
      <c r="H303" t="s">
        <v>13</v>
      </c>
    </row>
    <row r="304" spans="1:8">
      <c r="A304" t="s">
        <v>827</v>
      </c>
      <c r="B304" t="s">
        <v>828</v>
      </c>
      <c r="C304">
        <v>24</v>
      </c>
      <c r="D304" s="72">
        <v>945.41250000000002</v>
      </c>
      <c r="E304" s="73">
        <v>0.1825</v>
      </c>
      <c r="F304" s="19">
        <v>1.5417000000000001</v>
      </c>
      <c r="G304" s="19">
        <v>22.074999999999999</v>
      </c>
      <c r="H304" t="s">
        <v>13</v>
      </c>
    </row>
    <row r="305" spans="1:8">
      <c r="A305" t="s">
        <v>829</v>
      </c>
      <c r="B305" t="s">
        <v>830</v>
      </c>
      <c r="C305">
        <v>22</v>
      </c>
      <c r="D305" s="72">
        <v>942.8818</v>
      </c>
      <c r="E305" s="73">
        <v>0.15859999999999999</v>
      </c>
      <c r="F305" s="19">
        <v>5.3590999999999998</v>
      </c>
      <c r="G305" s="19">
        <v>17.2364</v>
      </c>
      <c r="H305" t="s">
        <v>13</v>
      </c>
    </row>
    <row r="306" spans="1:8">
      <c r="A306" t="s">
        <v>831</v>
      </c>
      <c r="B306" t="s">
        <v>832</v>
      </c>
      <c r="C306">
        <v>23</v>
      </c>
      <c r="D306" s="72">
        <v>709.1087</v>
      </c>
      <c r="E306" s="73">
        <v>0.41349999999999998</v>
      </c>
      <c r="F306" s="19">
        <v>9.8042999999999996</v>
      </c>
      <c r="G306" s="19">
        <v>5143.1522000000004</v>
      </c>
      <c r="H306" t="s">
        <v>13</v>
      </c>
    </row>
    <row r="307" spans="1:8">
      <c r="A307" t="s">
        <v>524</v>
      </c>
      <c r="B307" t="s">
        <v>525</v>
      </c>
      <c r="C307">
        <v>8</v>
      </c>
      <c r="D307" s="72">
        <v>750.78750000000002</v>
      </c>
      <c r="E307" s="73">
        <v>0.21</v>
      </c>
      <c r="F307" s="19">
        <v>4.3125</v>
      </c>
      <c r="G307" s="19">
        <v>4624.2124999999996</v>
      </c>
      <c r="H307" t="s">
        <v>13</v>
      </c>
    </row>
    <row r="308" spans="1:8">
      <c r="A308" t="s">
        <v>45</v>
      </c>
      <c r="B308" t="s">
        <v>46</v>
      </c>
      <c r="C308">
        <v>32</v>
      </c>
      <c r="D308" s="72">
        <v>977.04690000000005</v>
      </c>
      <c r="E308" s="73">
        <v>2.5000000000000001E-2</v>
      </c>
      <c r="F308" s="19">
        <v>1.8419000000000001</v>
      </c>
      <c r="G308" s="19">
        <v>12.206300000000001</v>
      </c>
      <c r="H308" t="s">
        <v>13</v>
      </c>
    </row>
    <row r="309" spans="1:8">
      <c r="A309" t="s">
        <v>193</v>
      </c>
      <c r="B309" t="s">
        <v>194</v>
      </c>
      <c r="C309">
        <v>20</v>
      </c>
      <c r="D309" s="72">
        <v>890.66</v>
      </c>
      <c r="E309" s="73">
        <v>5.5500000000000001E-2</v>
      </c>
      <c r="F309" s="19">
        <v>3.145</v>
      </c>
      <c r="G309" s="19">
        <v>38.18</v>
      </c>
      <c r="H309" t="s">
        <v>13</v>
      </c>
    </row>
    <row r="310" spans="1:8">
      <c r="A310" t="s">
        <v>196</v>
      </c>
      <c r="B310" t="s">
        <v>197</v>
      </c>
      <c r="C310">
        <v>13</v>
      </c>
      <c r="D310" s="72">
        <v>908.21540000000005</v>
      </c>
      <c r="E310" s="73">
        <v>0.14080000000000001</v>
      </c>
      <c r="F310" s="19">
        <v>1.5077</v>
      </c>
      <c r="G310" s="19">
        <v>54.561500000000002</v>
      </c>
      <c r="H310" t="s">
        <v>13</v>
      </c>
    </row>
    <row r="311" spans="1:8">
      <c r="A311" t="s">
        <v>527</v>
      </c>
      <c r="B311" t="s">
        <v>528</v>
      </c>
      <c r="C311">
        <v>23</v>
      </c>
      <c r="D311" s="72">
        <v>944.34349999999995</v>
      </c>
      <c r="E311" s="73">
        <v>0.42130000000000001</v>
      </c>
      <c r="F311" s="19">
        <v>4.9825999999999997</v>
      </c>
      <c r="G311" s="19">
        <v>47.165199999999999</v>
      </c>
      <c r="H311" t="s">
        <v>13</v>
      </c>
    </row>
    <row r="312" spans="1:8">
      <c r="A312" t="s">
        <v>75</v>
      </c>
      <c r="B312" t="s">
        <v>76</v>
      </c>
      <c r="C312">
        <v>35</v>
      </c>
      <c r="D312" s="72">
        <v>982.2</v>
      </c>
      <c r="E312" s="73">
        <v>0.16689999999999999</v>
      </c>
      <c r="F312" s="19">
        <v>3.6810999999999998</v>
      </c>
      <c r="G312" s="19">
        <v>25.148599999999998</v>
      </c>
      <c r="H312" t="s">
        <v>13</v>
      </c>
    </row>
    <row r="313" spans="1:8">
      <c r="A313" t="s">
        <v>833</v>
      </c>
      <c r="B313" t="s">
        <v>834</v>
      </c>
      <c r="C313">
        <v>19</v>
      </c>
      <c r="D313" s="72">
        <v>886.54740000000004</v>
      </c>
      <c r="E313" s="73">
        <v>7.0000000000000007E-2</v>
      </c>
      <c r="F313" s="19">
        <v>2.5421</v>
      </c>
      <c r="G313" s="19">
        <v>13.5921</v>
      </c>
      <c r="H313" t="s">
        <v>13</v>
      </c>
    </row>
    <row r="314" spans="1:8">
      <c r="A314" t="s">
        <v>835</v>
      </c>
      <c r="B314" t="s">
        <v>836</v>
      </c>
      <c r="C314">
        <v>12</v>
      </c>
      <c r="D314" s="72">
        <v>903.17499999999995</v>
      </c>
      <c r="E314" s="73">
        <v>0.10829999999999999</v>
      </c>
      <c r="F314" s="19">
        <v>1.4233</v>
      </c>
      <c r="G314" s="19">
        <v>22.2333</v>
      </c>
      <c r="H314" t="s">
        <v>13</v>
      </c>
    </row>
    <row r="315" spans="1:8">
      <c r="A315" t="s">
        <v>837</v>
      </c>
      <c r="B315" t="s">
        <v>838</v>
      </c>
      <c r="C315">
        <v>16</v>
      </c>
      <c r="D315" s="72">
        <v>867.5</v>
      </c>
      <c r="E315" s="73">
        <v>1.9400000000000001E-2</v>
      </c>
      <c r="F315" s="19">
        <v>0.1837</v>
      </c>
      <c r="G315" s="19">
        <v>115.1</v>
      </c>
      <c r="H315" t="s">
        <v>13</v>
      </c>
    </row>
    <row r="316" spans="1:8">
      <c r="A316" t="s">
        <v>530</v>
      </c>
      <c r="B316" t="s">
        <v>531</v>
      </c>
      <c r="C316">
        <v>21</v>
      </c>
      <c r="D316" s="72">
        <v>851.94759999999997</v>
      </c>
      <c r="E316" s="73">
        <v>0.15329999999999999</v>
      </c>
      <c r="F316" s="19">
        <v>1.5743</v>
      </c>
      <c r="G316" s="19">
        <v>1869.9857</v>
      </c>
      <c r="H316" t="s">
        <v>13</v>
      </c>
    </row>
  </sheetData>
  <autoFilter ref="A1:H316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F706"/>
  <sheetViews>
    <sheetView topLeftCell="A285" workbookViewId="0">
      <selection activeCell="B289" sqref="B289"/>
    </sheetView>
  </sheetViews>
  <sheetFormatPr defaultRowHeight="16.5"/>
  <cols>
    <col min="1" max="1" width="14.25" style="4" bestFit="1" customWidth="1"/>
    <col min="2" max="2" width="35.875" style="4" bestFit="1" customWidth="1"/>
    <col min="3" max="4" width="12.5" style="4" bestFit="1" customWidth="1"/>
    <col min="5" max="5" width="7.875" style="4" bestFit="1" customWidth="1"/>
    <col min="6" max="6" width="8.5" style="4" bestFit="1" customWidth="1"/>
    <col min="7" max="7" width="6" style="4" bestFit="1" customWidth="1"/>
    <col min="8" max="8" width="9" style="4" customWidth="1"/>
    <col min="9" max="16384" width="9" style="4"/>
  </cols>
  <sheetData>
    <row r="1" spans="1:6">
      <c r="A1" s="141" t="s">
        <v>0</v>
      </c>
      <c r="B1" s="141" t="s">
        <v>1</v>
      </c>
      <c r="C1" s="141" t="s">
        <v>839</v>
      </c>
      <c r="D1" s="141" t="s">
        <v>840</v>
      </c>
      <c r="E1" s="141" t="s">
        <v>841</v>
      </c>
      <c r="F1" s="139"/>
    </row>
    <row r="2" spans="1:6">
      <c r="A2" s="142" t="s">
        <v>395</v>
      </c>
      <c r="B2" s="59" t="s">
        <v>396</v>
      </c>
      <c r="C2" s="138">
        <v>2736</v>
      </c>
      <c r="D2" s="138">
        <v>8084.18</v>
      </c>
      <c r="E2" s="45">
        <v>4.03</v>
      </c>
      <c r="F2" s="140" t="s">
        <v>842</v>
      </c>
    </row>
    <row r="3" spans="1:6">
      <c r="A3" s="142" t="s">
        <v>587</v>
      </c>
      <c r="B3" s="59" t="s">
        <v>588</v>
      </c>
      <c r="C3" s="138">
        <v>994.88</v>
      </c>
      <c r="D3" s="138">
        <v>981.23</v>
      </c>
      <c r="E3" s="45">
        <v>1.68</v>
      </c>
      <c r="F3" s="140" t="s">
        <v>843</v>
      </c>
    </row>
    <row r="4" spans="1:6">
      <c r="A4" s="142" t="s">
        <v>591</v>
      </c>
      <c r="B4" s="137" t="s">
        <v>592</v>
      </c>
      <c r="C4" s="138">
        <v>2533.1</v>
      </c>
      <c r="D4" s="138">
        <v>2458.4</v>
      </c>
      <c r="E4" s="45">
        <v>6.09</v>
      </c>
      <c r="F4" s="140" t="s">
        <v>842</v>
      </c>
    </row>
    <row r="5" spans="1:6">
      <c r="A5" s="142" t="s">
        <v>398</v>
      </c>
      <c r="B5" s="59" t="s">
        <v>399</v>
      </c>
      <c r="C5" s="138">
        <v>2724.55</v>
      </c>
      <c r="D5" s="138">
        <v>2720.89</v>
      </c>
      <c r="E5" s="45">
        <v>4.2300000000000004</v>
      </c>
      <c r="F5" s="140" t="s">
        <v>842</v>
      </c>
    </row>
    <row r="6" spans="1:6">
      <c r="A6" s="142" t="s">
        <v>286</v>
      </c>
      <c r="B6" s="59" t="s">
        <v>287</v>
      </c>
      <c r="C6" s="138">
        <v>976.35</v>
      </c>
      <c r="D6" s="138">
        <v>951.28</v>
      </c>
      <c r="E6" s="45">
        <v>2.81</v>
      </c>
      <c r="F6" s="140" t="s">
        <v>843</v>
      </c>
    </row>
    <row r="7" spans="1:6">
      <c r="A7" s="142" t="s">
        <v>593</v>
      </c>
      <c r="B7" s="59" t="s">
        <v>594</v>
      </c>
      <c r="C7" s="138">
        <v>982.96</v>
      </c>
      <c r="D7" s="138">
        <v>978.24</v>
      </c>
      <c r="E7" s="45">
        <v>1.96</v>
      </c>
      <c r="F7" s="140" t="s">
        <v>843</v>
      </c>
    </row>
    <row r="8" spans="1:6">
      <c r="A8" s="142" t="s">
        <v>401</v>
      </c>
      <c r="B8" s="137" t="s">
        <v>402</v>
      </c>
      <c r="C8" s="138">
        <v>832.42</v>
      </c>
      <c r="D8" s="138">
        <v>872.66</v>
      </c>
      <c r="E8" s="45">
        <v>6.31</v>
      </c>
      <c r="F8" s="140" t="s">
        <v>843</v>
      </c>
    </row>
    <row r="9" spans="1:6">
      <c r="A9" s="142" t="s">
        <v>595</v>
      </c>
      <c r="B9" s="137" t="s">
        <v>596</v>
      </c>
      <c r="C9" s="45">
        <v>2083.6</v>
      </c>
      <c r="D9" s="45">
        <v>2300.8000000000002</v>
      </c>
      <c r="E9" s="45">
        <v>4.9000000000000004</v>
      </c>
      <c r="F9" s="140" t="s">
        <v>842</v>
      </c>
    </row>
    <row r="10" spans="1:6">
      <c r="A10" s="142" t="s">
        <v>597</v>
      </c>
      <c r="B10" s="59" t="s">
        <v>598</v>
      </c>
      <c r="C10" s="138">
        <v>964.87</v>
      </c>
      <c r="D10" s="138">
        <v>926.01</v>
      </c>
      <c r="E10" s="45">
        <v>6.31</v>
      </c>
      <c r="F10" s="140" t="s">
        <v>843</v>
      </c>
    </row>
    <row r="11" spans="1:6">
      <c r="A11" s="142" t="s">
        <v>133</v>
      </c>
      <c r="B11" s="59" t="s">
        <v>134</v>
      </c>
      <c r="C11" s="138">
        <v>982.75</v>
      </c>
      <c r="D11" s="138">
        <v>839.14</v>
      </c>
      <c r="E11" s="45">
        <v>6.09</v>
      </c>
      <c r="F11" s="140" t="s">
        <v>843</v>
      </c>
    </row>
    <row r="12" spans="1:6">
      <c r="A12" s="142" t="s">
        <v>289</v>
      </c>
      <c r="B12" s="59" t="s">
        <v>290</v>
      </c>
      <c r="C12" s="138">
        <v>993.48</v>
      </c>
      <c r="D12" s="138">
        <v>973.4</v>
      </c>
      <c r="E12" s="45">
        <v>2.69</v>
      </c>
      <c r="F12" s="140" t="s">
        <v>843</v>
      </c>
    </row>
    <row r="13" spans="1:6">
      <c r="A13" s="142" t="s">
        <v>404</v>
      </c>
      <c r="B13" s="59" t="s">
        <v>405</v>
      </c>
      <c r="C13" s="138">
        <v>2551.15</v>
      </c>
      <c r="D13" s="138">
        <v>2656.19</v>
      </c>
      <c r="E13" s="45">
        <v>3.99</v>
      </c>
      <c r="F13" s="140" t="s">
        <v>842</v>
      </c>
    </row>
    <row r="14" spans="1:6">
      <c r="A14" s="142" t="s">
        <v>599</v>
      </c>
      <c r="B14" s="59" t="s">
        <v>600</v>
      </c>
      <c r="C14" s="138">
        <v>978.33</v>
      </c>
      <c r="D14" s="138">
        <v>947.33</v>
      </c>
      <c r="E14" s="45">
        <v>2.75</v>
      </c>
      <c r="F14" s="140" t="s">
        <v>843</v>
      </c>
    </row>
    <row r="15" spans="1:6">
      <c r="A15" s="142" t="s">
        <v>142</v>
      </c>
      <c r="B15" s="137" t="s">
        <v>143</v>
      </c>
      <c r="C15" s="138">
        <v>935.26</v>
      </c>
      <c r="D15" s="138">
        <v>970.76</v>
      </c>
      <c r="E15" s="45">
        <v>7.28</v>
      </c>
      <c r="F15" s="140" t="s">
        <v>843</v>
      </c>
    </row>
    <row r="16" spans="1:6">
      <c r="A16" s="142" t="s">
        <v>601</v>
      </c>
      <c r="B16" s="137" t="s">
        <v>602</v>
      </c>
      <c r="C16" s="138">
        <v>2335.9</v>
      </c>
      <c r="D16" s="138">
        <v>2368</v>
      </c>
      <c r="E16" s="45">
        <v>3.63</v>
      </c>
      <c r="F16" s="140" t="s">
        <v>842</v>
      </c>
    </row>
    <row r="17" spans="1:6">
      <c r="A17" s="142" t="s">
        <v>603</v>
      </c>
      <c r="B17" s="137" t="s">
        <v>604</v>
      </c>
      <c r="C17" s="138">
        <v>2466.4</v>
      </c>
      <c r="D17" s="138">
        <v>2322.3000000000002</v>
      </c>
      <c r="E17" s="45">
        <v>4.4800000000000004</v>
      </c>
      <c r="F17" s="140" t="s">
        <v>842</v>
      </c>
    </row>
    <row r="18" spans="1:6">
      <c r="A18" s="142" t="s">
        <v>605</v>
      </c>
      <c r="B18" s="137" t="s">
        <v>606</v>
      </c>
      <c r="C18" s="138">
        <v>2497.1999999999998</v>
      </c>
      <c r="D18" s="138">
        <v>2460.1</v>
      </c>
      <c r="E18" s="45">
        <v>3.93</v>
      </c>
      <c r="F18" s="140" t="s">
        <v>842</v>
      </c>
    </row>
    <row r="19" spans="1:6">
      <c r="A19" s="142" t="s">
        <v>607</v>
      </c>
      <c r="B19" s="137" t="s">
        <v>608</v>
      </c>
      <c r="C19" s="138">
        <v>2159.1</v>
      </c>
      <c r="D19" s="138">
        <v>2493.5</v>
      </c>
      <c r="E19" s="45">
        <v>4.45</v>
      </c>
      <c r="F19" s="140" t="s">
        <v>842</v>
      </c>
    </row>
    <row r="20" spans="1:6">
      <c r="A20" s="142" t="s">
        <v>609</v>
      </c>
      <c r="B20" s="59" t="s">
        <v>610</v>
      </c>
      <c r="C20" s="138">
        <v>977.2</v>
      </c>
      <c r="D20" s="138">
        <v>965.66</v>
      </c>
      <c r="E20" s="45">
        <v>2.14</v>
      </c>
      <c r="F20" s="140" t="s">
        <v>843</v>
      </c>
    </row>
    <row r="21" spans="1:6">
      <c r="A21" s="142" t="s">
        <v>410</v>
      </c>
      <c r="B21" s="59" t="s">
        <v>411</v>
      </c>
      <c r="C21" s="138">
        <v>976.73</v>
      </c>
      <c r="D21" s="138">
        <v>977.49</v>
      </c>
      <c r="E21" s="45">
        <v>2.1800000000000002</v>
      </c>
      <c r="F21" s="140" t="s">
        <v>843</v>
      </c>
    </row>
    <row r="22" spans="1:6">
      <c r="A22" s="142" t="s">
        <v>292</v>
      </c>
      <c r="B22" s="137" t="s">
        <v>293</v>
      </c>
      <c r="C22" s="138">
        <v>2703.77</v>
      </c>
      <c r="D22" s="138">
        <v>2672.48</v>
      </c>
      <c r="E22" s="45">
        <v>3.7</v>
      </c>
      <c r="F22" s="140" t="s">
        <v>842</v>
      </c>
    </row>
    <row r="23" spans="1:6">
      <c r="A23" s="142" t="s">
        <v>611</v>
      </c>
      <c r="B23" s="59" t="s">
        <v>612</v>
      </c>
      <c r="C23" s="138">
        <v>2721.44</v>
      </c>
      <c r="D23" s="138">
        <v>2709.77</v>
      </c>
      <c r="E23" s="45">
        <v>3.65</v>
      </c>
      <c r="F23" s="140" t="s">
        <v>842</v>
      </c>
    </row>
    <row r="24" spans="1:6">
      <c r="A24" s="142" t="s">
        <v>280</v>
      </c>
      <c r="B24" s="59" t="s">
        <v>281</v>
      </c>
      <c r="C24" s="138">
        <v>739.84</v>
      </c>
      <c r="D24" s="138">
        <v>969.14</v>
      </c>
      <c r="E24" s="45">
        <v>1.94</v>
      </c>
      <c r="F24" s="140" t="s">
        <v>843</v>
      </c>
    </row>
    <row r="25" spans="1:6">
      <c r="A25" s="142" t="s">
        <v>613</v>
      </c>
      <c r="B25" s="59" t="s">
        <v>614</v>
      </c>
      <c r="C25" s="138">
        <v>2674.06</v>
      </c>
      <c r="D25" s="138">
        <v>2674.67</v>
      </c>
      <c r="E25" s="45">
        <v>4.32</v>
      </c>
      <c r="F25" s="140" t="s">
        <v>842</v>
      </c>
    </row>
    <row r="26" spans="1:6">
      <c r="A26" s="142" t="s">
        <v>15</v>
      </c>
      <c r="B26" s="137" t="s">
        <v>16</v>
      </c>
      <c r="C26" s="138">
        <v>986.24</v>
      </c>
      <c r="D26" s="138">
        <v>871.53</v>
      </c>
      <c r="E26" s="45">
        <v>6.35</v>
      </c>
      <c r="F26" s="140" t="s">
        <v>843</v>
      </c>
    </row>
    <row r="27" spans="1:6">
      <c r="A27" s="142" t="s">
        <v>18</v>
      </c>
      <c r="B27" s="59" t="s">
        <v>19</v>
      </c>
      <c r="C27" s="138">
        <v>2729.25</v>
      </c>
      <c r="D27" s="138">
        <v>2700.67</v>
      </c>
      <c r="E27" s="45">
        <v>5.79</v>
      </c>
      <c r="F27" s="140" t="s">
        <v>842</v>
      </c>
    </row>
    <row r="28" spans="1:6">
      <c r="A28" s="142" t="s">
        <v>295</v>
      </c>
      <c r="B28" s="137" t="s">
        <v>296</v>
      </c>
      <c r="C28" s="138">
        <v>2728.36</v>
      </c>
      <c r="D28" s="138">
        <v>2709.02</v>
      </c>
      <c r="E28" s="45">
        <v>4.0599999999999996</v>
      </c>
      <c r="F28" s="140" t="s">
        <v>842</v>
      </c>
    </row>
    <row r="29" spans="1:6">
      <c r="A29" s="142" t="s">
        <v>413</v>
      </c>
      <c r="B29" s="59" t="s">
        <v>414</v>
      </c>
      <c r="C29" s="138">
        <v>2732.35</v>
      </c>
      <c r="D29" s="138">
        <v>2705.67</v>
      </c>
      <c r="E29" s="45">
        <v>5.81</v>
      </c>
      <c r="F29" s="140" t="s">
        <v>842</v>
      </c>
    </row>
    <row r="30" spans="1:6">
      <c r="A30" s="142" t="s">
        <v>416</v>
      </c>
      <c r="B30" s="59" t="s">
        <v>417</v>
      </c>
      <c r="C30" s="138">
        <v>2712.3</v>
      </c>
      <c r="D30" s="138">
        <v>7575.92</v>
      </c>
      <c r="E30" s="45">
        <v>3.86</v>
      </c>
      <c r="F30" s="140" t="s">
        <v>842</v>
      </c>
    </row>
    <row r="31" spans="1:6">
      <c r="A31" s="142" t="s">
        <v>106</v>
      </c>
      <c r="B31" s="137" t="s">
        <v>107</v>
      </c>
      <c r="C31" s="138">
        <v>2709.03</v>
      </c>
      <c r="D31" s="138">
        <v>2648.26</v>
      </c>
      <c r="E31" s="45">
        <v>4.55</v>
      </c>
      <c r="F31" s="140" t="s">
        <v>842</v>
      </c>
    </row>
    <row r="32" spans="1:6">
      <c r="A32" s="142" t="s">
        <v>302</v>
      </c>
      <c r="B32" s="59" t="s">
        <v>303</v>
      </c>
      <c r="C32" s="138">
        <v>3060.68</v>
      </c>
      <c r="D32" s="138">
        <v>2500.02</v>
      </c>
      <c r="E32" s="45">
        <v>5.88</v>
      </c>
      <c r="F32" s="140" t="s">
        <v>842</v>
      </c>
    </row>
    <row r="33" spans="1:6">
      <c r="A33" s="142" t="s">
        <v>419</v>
      </c>
      <c r="B33" s="59" t="s">
        <v>420</v>
      </c>
      <c r="C33" s="138">
        <v>982.15</v>
      </c>
      <c r="D33" s="138">
        <v>983.77</v>
      </c>
      <c r="E33" s="45">
        <v>2.4300000000000002</v>
      </c>
      <c r="F33" s="140" t="s">
        <v>843</v>
      </c>
    </row>
    <row r="34" spans="1:6">
      <c r="A34" s="142" t="s">
        <v>103</v>
      </c>
      <c r="B34" s="137" t="s">
        <v>104</v>
      </c>
      <c r="C34" s="138">
        <v>2708</v>
      </c>
      <c r="D34" s="138">
        <v>5141.3100000000004</v>
      </c>
      <c r="E34" s="45">
        <v>5.55</v>
      </c>
      <c r="F34" s="140" t="s">
        <v>842</v>
      </c>
    </row>
    <row r="35" spans="1:6">
      <c r="A35" s="142" t="s">
        <v>305</v>
      </c>
      <c r="B35" s="59" t="s">
        <v>306</v>
      </c>
      <c r="C35" s="138">
        <v>2714.57</v>
      </c>
      <c r="D35" s="138">
        <v>2668.09</v>
      </c>
      <c r="E35" s="45">
        <v>4.2</v>
      </c>
      <c r="F35" s="140" t="s">
        <v>842</v>
      </c>
    </row>
    <row r="36" spans="1:6">
      <c r="A36" s="142" t="s">
        <v>422</v>
      </c>
      <c r="B36" s="137" t="s">
        <v>423</v>
      </c>
      <c r="C36" s="138">
        <v>2712.12</v>
      </c>
      <c r="D36" s="138">
        <v>2707.71</v>
      </c>
      <c r="E36" s="45">
        <v>5.83</v>
      </c>
      <c r="F36" s="140" t="s">
        <v>842</v>
      </c>
    </row>
    <row r="37" spans="1:6">
      <c r="A37" s="142" t="s">
        <v>121</v>
      </c>
      <c r="B37" s="59" t="s">
        <v>122</v>
      </c>
      <c r="C37" s="138">
        <v>978.81</v>
      </c>
      <c r="D37" s="138">
        <v>945.61</v>
      </c>
      <c r="E37" s="45">
        <v>2.63</v>
      </c>
      <c r="F37" s="140" t="s">
        <v>843</v>
      </c>
    </row>
    <row r="38" spans="1:6">
      <c r="A38" s="142" t="s">
        <v>308</v>
      </c>
      <c r="B38" s="137" t="s">
        <v>309</v>
      </c>
      <c r="C38" s="138">
        <v>968.41</v>
      </c>
      <c r="D38" s="138">
        <v>844.98</v>
      </c>
      <c r="E38" s="45">
        <v>4.7</v>
      </c>
      <c r="F38" s="140" t="s">
        <v>843</v>
      </c>
    </row>
    <row r="39" spans="1:6">
      <c r="A39" s="142" t="s">
        <v>311</v>
      </c>
      <c r="B39" s="137" t="s">
        <v>312</v>
      </c>
      <c r="C39" s="138">
        <v>5480.38</v>
      </c>
      <c r="D39" s="138">
        <v>2708.9</v>
      </c>
      <c r="E39" s="45">
        <v>3.73</v>
      </c>
      <c r="F39" s="140" t="s">
        <v>842</v>
      </c>
    </row>
    <row r="40" spans="1:6">
      <c r="A40" s="142" t="s">
        <v>425</v>
      </c>
      <c r="B40" s="137" t="s">
        <v>426</v>
      </c>
      <c r="C40" s="138">
        <v>2678.78</v>
      </c>
      <c r="D40" s="138">
        <v>2447.4699999999998</v>
      </c>
      <c r="E40" s="45">
        <v>5.26</v>
      </c>
      <c r="F40" s="140" t="s">
        <v>842</v>
      </c>
    </row>
    <row r="41" spans="1:6">
      <c r="A41" s="142" t="s">
        <v>93</v>
      </c>
      <c r="B41" s="59" t="s">
        <v>94</v>
      </c>
      <c r="C41" s="138">
        <v>2709.96</v>
      </c>
      <c r="D41" s="138">
        <v>2648.39</v>
      </c>
      <c r="E41" s="45">
        <v>4.04</v>
      </c>
      <c r="F41" s="140" t="s">
        <v>842</v>
      </c>
    </row>
    <row r="42" spans="1:6">
      <c r="A42" s="142" t="s">
        <v>621</v>
      </c>
      <c r="B42" s="59" t="s">
        <v>622</v>
      </c>
      <c r="C42" s="138">
        <v>2593.9499999999998</v>
      </c>
      <c r="D42" s="138">
        <v>2673.49</v>
      </c>
      <c r="E42" s="45">
        <v>6.01</v>
      </c>
      <c r="F42" s="140" t="s">
        <v>842</v>
      </c>
    </row>
    <row r="43" spans="1:6">
      <c r="A43" s="142" t="s">
        <v>428</v>
      </c>
      <c r="B43" s="59" t="s">
        <v>429</v>
      </c>
      <c r="C43" s="138">
        <v>2726.93</v>
      </c>
      <c r="D43" s="138">
        <v>2716.58</v>
      </c>
      <c r="E43" s="45">
        <v>3.73</v>
      </c>
      <c r="F43" s="140" t="s">
        <v>842</v>
      </c>
    </row>
    <row r="44" spans="1:6">
      <c r="A44" s="142" t="s">
        <v>314</v>
      </c>
      <c r="B44" s="137" t="s">
        <v>315</v>
      </c>
      <c r="C44" s="138">
        <v>2733.24</v>
      </c>
      <c r="D44" s="138">
        <v>2714.05</v>
      </c>
      <c r="E44" s="45">
        <v>4.24</v>
      </c>
      <c r="F44" s="140" t="s">
        <v>842</v>
      </c>
    </row>
    <row r="45" spans="1:6">
      <c r="A45" s="142" t="s">
        <v>431</v>
      </c>
      <c r="B45" s="137" t="s">
        <v>432</v>
      </c>
      <c r="C45" s="138">
        <v>2743.97</v>
      </c>
      <c r="D45" s="138">
        <v>2746.32</v>
      </c>
      <c r="E45" s="45">
        <v>3.96</v>
      </c>
      <c r="F45" s="140" t="s">
        <v>842</v>
      </c>
    </row>
    <row r="46" spans="1:6">
      <c r="A46" s="142" t="s">
        <v>199</v>
      </c>
      <c r="B46" s="59" t="s">
        <v>200</v>
      </c>
      <c r="C46" s="138">
        <v>719.77</v>
      </c>
      <c r="D46" s="138">
        <v>983.75</v>
      </c>
      <c r="E46" s="45">
        <v>2.67</v>
      </c>
      <c r="F46" s="140" t="s">
        <v>843</v>
      </c>
    </row>
    <row r="47" spans="1:6">
      <c r="A47" s="142" t="s">
        <v>148</v>
      </c>
      <c r="B47" s="59" t="s">
        <v>149</v>
      </c>
      <c r="C47" s="138">
        <v>973.91</v>
      </c>
      <c r="D47" s="138">
        <v>979.86</v>
      </c>
      <c r="E47" s="45">
        <v>2.5499999999999998</v>
      </c>
      <c r="F47" s="140" t="s">
        <v>843</v>
      </c>
    </row>
    <row r="48" spans="1:6">
      <c r="A48" s="142" t="s">
        <v>623</v>
      </c>
      <c r="B48" s="59" t="s">
        <v>624</v>
      </c>
      <c r="C48" s="138">
        <v>985.57</v>
      </c>
      <c r="D48" s="138">
        <v>983.2</v>
      </c>
      <c r="E48" s="45">
        <v>2.0499999999999998</v>
      </c>
      <c r="F48" s="140" t="s">
        <v>843</v>
      </c>
    </row>
    <row r="49" spans="1:6">
      <c r="A49" s="142" t="s">
        <v>274</v>
      </c>
      <c r="B49" s="59" t="s">
        <v>275</v>
      </c>
      <c r="C49" s="138">
        <v>858.4</v>
      </c>
      <c r="D49" s="138">
        <v>972.4</v>
      </c>
      <c r="E49" s="45">
        <v>6.71</v>
      </c>
      <c r="F49" s="140" t="s">
        <v>843</v>
      </c>
    </row>
    <row r="50" spans="1:6">
      <c r="A50" s="142" t="s">
        <v>277</v>
      </c>
      <c r="B50" s="137" t="s">
        <v>278</v>
      </c>
      <c r="C50" s="138">
        <v>879.88</v>
      </c>
      <c r="D50" s="138">
        <v>850.93</v>
      </c>
      <c r="E50" s="45">
        <v>4.88</v>
      </c>
      <c r="F50" s="140" t="s">
        <v>843</v>
      </c>
    </row>
    <row r="51" spans="1:6">
      <c r="A51" s="142" t="s">
        <v>317</v>
      </c>
      <c r="B51" s="59" t="s">
        <v>318</v>
      </c>
      <c r="C51" s="138">
        <v>980.9</v>
      </c>
      <c r="D51" s="138">
        <v>828.54</v>
      </c>
      <c r="E51" s="45">
        <v>7.41</v>
      </c>
      <c r="F51" s="140" t="s">
        <v>843</v>
      </c>
    </row>
    <row r="52" spans="1:6">
      <c r="A52" s="142" t="s">
        <v>627</v>
      </c>
      <c r="B52" s="59" t="s">
        <v>628</v>
      </c>
      <c r="C52" s="138">
        <v>973.93</v>
      </c>
      <c r="D52" s="138">
        <v>976.06</v>
      </c>
      <c r="E52" s="45">
        <v>2.2599999999999998</v>
      </c>
      <c r="F52" s="140" t="s">
        <v>843</v>
      </c>
    </row>
    <row r="53" spans="1:6">
      <c r="A53" s="142" t="s">
        <v>631</v>
      </c>
      <c r="B53" s="137" t="s">
        <v>632</v>
      </c>
      <c r="C53" s="138">
        <v>840.54</v>
      </c>
      <c r="D53" s="138">
        <v>840.19</v>
      </c>
      <c r="E53" s="45">
        <v>6.74</v>
      </c>
      <c r="F53" s="140" t="s">
        <v>843</v>
      </c>
    </row>
    <row r="54" spans="1:6">
      <c r="A54" s="142" t="s">
        <v>434</v>
      </c>
      <c r="B54" s="59" t="s">
        <v>435</v>
      </c>
      <c r="C54" s="138">
        <v>2737.11</v>
      </c>
      <c r="D54" s="138">
        <v>2690.02</v>
      </c>
      <c r="E54" s="45">
        <v>5.29</v>
      </c>
      <c r="F54" s="140" t="s">
        <v>842</v>
      </c>
    </row>
    <row r="55" spans="1:6">
      <c r="A55" s="142" t="s">
        <v>151</v>
      </c>
      <c r="B55" s="59" t="s">
        <v>152</v>
      </c>
      <c r="C55" s="138">
        <v>960.11</v>
      </c>
      <c r="D55" s="138">
        <v>750.75</v>
      </c>
      <c r="E55" s="45">
        <v>6.02</v>
      </c>
      <c r="F55" s="140" t="s">
        <v>843</v>
      </c>
    </row>
    <row r="56" spans="1:6">
      <c r="A56" s="142" t="s">
        <v>633</v>
      </c>
      <c r="B56" s="59" t="s">
        <v>634</v>
      </c>
      <c r="C56" s="138">
        <v>863.05</v>
      </c>
      <c r="D56" s="138">
        <v>720.77</v>
      </c>
      <c r="E56" s="45">
        <v>7.52</v>
      </c>
      <c r="F56" s="140" t="s">
        <v>843</v>
      </c>
    </row>
    <row r="57" spans="1:6">
      <c r="A57" s="142" t="s">
        <v>635</v>
      </c>
      <c r="B57" s="59" t="s">
        <v>636</v>
      </c>
      <c r="C57" s="138">
        <v>957.37</v>
      </c>
      <c r="D57" s="138">
        <v>849.4</v>
      </c>
      <c r="E57" s="45">
        <v>6.29</v>
      </c>
      <c r="F57" s="140" t="s">
        <v>843</v>
      </c>
    </row>
    <row r="58" spans="1:6">
      <c r="A58" s="142" t="s">
        <v>551</v>
      </c>
      <c r="B58" s="59" t="s">
        <v>552</v>
      </c>
      <c r="C58" s="138">
        <v>980.08</v>
      </c>
      <c r="D58" s="138">
        <v>977.27</v>
      </c>
      <c r="E58" s="45">
        <v>6.68</v>
      </c>
      <c r="F58" s="140" t="s">
        <v>843</v>
      </c>
    </row>
    <row r="59" spans="1:6">
      <c r="A59" s="142" t="s">
        <v>320</v>
      </c>
      <c r="B59" s="59" t="s">
        <v>321</v>
      </c>
      <c r="C59" s="138">
        <v>1001.48</v>
      </c>
      <c r="D59" s="138">
        <v>874.6</v>
      </c>
      <c r="E59" s="45">
        <v>6.56</v>
      </c>
      <c r="F59" s="140" t="s">
        <v>843</v>
      </c>
    </row>
    <row r="60" spans="1:6">
      <c r="A60" s="142" t="s">
        <v>557</v>
      </c>
      <c r="B60" s="137" t="s">
        <v>558</v>
      </c>
      <c r="C60" s="138">
        <v>4978.4799999999996</v>
      </c>
      <c r="D60" s="138">
        <v>4986.92</v>
      </c>
      <c r="E60" s="45">
        <v>5.42</v>
      </c>
      <c r="F60" s="140" t="s">
        <v>844</v>
      </c>
    </row>
    <row r="61" spans="1:6">
      <c r="A61" s="142" t="s">
        <v>130</v>
      </c>
      <c r="B61" s="59" t="s">
        <v>131</v>
      </c>
      <c r="C61" s="138">
        <v>2714.95</v>
      </c>
      <c r="D61" s="138">
        <v>8106.03</v>
      </c>
      <c r="E61" s="45">
        <v>4.26</v>
      </c>
      <c r="F61" s="140" t="s">
        <v>842</v>
      </c>
    </row>
    <row r="62" spans="1:6">
      <c r="A62" s="142" t="s">
        <v>548</v>
      </c>
      <c r="B62" s="59" t="s">
        <v>549</v>
      </c>
      <c r="C62" s="138">
        <v>2726.45</v>
      </c>
      <c r="D62" s="138">
        <v>2708.07</v>
      </c>
      <c r="E62" s="45">
        <v>4.24</v>
      </c>
      <c r="F62" s="140" t="s">
        <v>842</v>
      </c>
    </row>
    <row r="63" spans="1:6">
      <c r="A63" s="142" t="s">
        <v>542</v>
      </c>
      <c r="B63" s="59" t="s">
        <v>543</v>
      </c>
      <c r="C63" s="138">
        <v>5418.9</v>
      </c>
      <c r="D63" s="138">
        <v>5304.6</v>
      </c>
      <c r="E63" s="45">
        <v>4.17</v>
      </c>
      <c r="F63" s="140" t="s">
        <v>844</v>
      </c>
    </row>
    <row r="64" spans="1:6">
      <c r="A64" s="142" t="s">
        <v>208</v>
      </c>
      <c r="B64" s="59" t="s">
        <v>209</v>
      </c>
      <c r="C64" s="138">
        <v>970.31</v>
      </c>
      <c r="D64" s="138">
        <v>968.52</v>
      </c>
      <c r="E64" s="45">
        <v>2.71</v>
      </c>
      <c r="F64" s="140" t="s">
        <v>843</v>
      </c>
    </row>
    <row r="65" spans="1:6">
      <c r="A65" s="142" t="s">
        <v>211</v>
      </c>
      <c r="B65" s="59" t="s">
        <v>212</v>
      </c>
      <c r="C65" s="138">
        <v>975.19</v>
      </c>
      <c r="D65" s="138">
        <v>968.84</v>
      </c>
      <c r="E65" s="45">
        <v>2.0099999999999998</v>
      </c>
      <c r="F65" s="140" t="s">
        <v>843</v>
      </c>
    </row>
    <row r="66" spans="1:6">
      <c r="A66" s="142" t="s">
        <v>48</v>
      </c>
      <c r="B66" s="137" t="s">
        <v>49</v>
      </c>
      <c r="C66" s="138">
        <v>2694.4</v>
      </c>
      <c r="D66" s="138">
        <v>7965.3</v>
      </c>
      <c r="E66" s="45">
        <v>4.71</v>
      </c>
      <c r="F66" s="140" t="s">
        <v>842</v>
      </c>
    </row>
    <row r="67" spans="1:6">
      <c r="A67" s="142" t="s">
        <v>643</v>
      </c>
      <c r="B67" s="59" t="s">
        <v>644</v>
      </c>
      <c r="C67" s="138">
        <v>851.6</v>
      </c>
      <c r="D67" s="138">
        <v>795.49</v>
      </c>
      <c r="E67" s="45">
        <v>5.66</v>
      </c>
      <c r="F67" s="140" t="s">
        <v>843</v>
      </c>
    </row>
    <row r="68" spans="1:6">
      <c r="A68" s="142" t="s">
        <v>214</v>
      </c>
      <c r="B68" s="59" t="s">
        <v>215</v>
      </c>
      <c r="C68" s="138">
        <v>961.79</v>
      </c>
      <c r="D68" s="138">
        <v>715.76</v>
      </c>
      <c r="E68" s="45">
        <v>6.35</v>
      </c>
      <c r="F68" s="140" t="s">
        <v>843</v>
      </c>
    </row>
    <row r="69" spans="1:6">
      <c r="A69" s="142" t="s">
        <v>645</v>
      </c>
      <c r="B69" s="59" t="s">
        <v>646</v>
      </c>
      <c r="C69" s="138">
        <v>968.21</v>
      </c>
      <c r="D69" s="138">
        <v>974.76</v>
      </c>
      <c r="E69" s="45">
        <v>2.65</v>
      </c>
      <c r="F69" s="140" t="s">
        <v>843</v>
      </c>
    </row>
    <row r="70" spans="1:6">
      <c r="A70" s="142" t="s">
        <v>647</v>
      </c>
      <c r="B70" s="59" t="s">
        <v>648</v>
      </c>
      <c r="C70" s="138">
        <v>927.45</v>
      </c>
      <c r="D70" s="138">
        <v>975.07</v>
      </c>
      <c r="E70" s="45">
        <v>7.17</v>
      </c>
      <c r="F70" s="140" t="s">
        <v>843</v>
      </c>
    </row>
    <row r="71" spans="1:6">
      <c r="A71" s="142" t="s">
        <v>323</v>
      </c>
      <c r="B71" s="59" t="s">
        <v>324</v>
      </c>
      <c r="C71" s="138">
        <v>2707.82</v>
      </c>
      <c r="D71" s="138">
        <v>2706.71</v>
      </c>
      <c r="E71" s="45">
        <v>4.55</v>
      </c>
      <c r="F71" s="140" t="s">
        <v>842</v>
      </c>
    </row>
    <row r="72" spans="1:6">
      <c r="A72" s="142" t="s">
        <v>326</v>
      </c>
      <c r="B72" s="59" t="s">
        <v>327</v>
      </c>
      <c r="C72" s="138">
        <v>2716.33</v>
      </c>
      <c r="D72" s="138">
        <v>2659.05</v>
      </c>
      <c r="E72" s="45">
        <v>5.37</v>
      </c>
      <c r="F72" s="140" t="s">
        <v>842</v>
      </c>
    </row>
    <row r="73" spans="1:6">
      <c r="A73" s="142" t="s">
        <v>575</v>
      </c>
      <c r="B73" s="59" t="s">
        <v>576</v>
      </c>
      <c r="C73" s="138">
        <v>949.04</v>
      </c>
      <c r="D73" s="138">
        <v>965.51</v>
      </c>
      <c r="E73" s="45">
        <v>2.2599999999999998</v>
      </c>
      <c r="F73" s="140" t="s">
        <v>843</v>
      </c>
    </row>
    <row r="74" spans="1:6">
      <c r="A74" s="142" t="s">
        <v>651</v>
      </c>
      <c r="B74" s="59" t="s">
        <v>652</v>
      </c>
      <c r="C74" s="138">
        <v>981.95</v>
      </c>
      <c r="D74" s="138">
        <v>938.42</v>
      </c>
      <c r="E74" s="45">
        <v>2.46</v>
      </c>
      <c r="F74" s="140" t="s">
        <v>843</v>
      </c>
    </row>
    <row r="75" spans="1:6">
      <c r="A75" s="142" t="s">
        <v>21</v>
      </c>
      <c r="B75" s="59" t="s">
        <v>22</v>
      </c>
      <c r="C75" s="138">
        <v>2711.4</v>
      </c>
      <c r="D75" s="138">
        <v>2699.41</v>
      </c>
      <c r="E75" s="45">
        <v>6.78</v>
      </c>
      <c r="F75" s="140" t="s">
        <v>842</v>
      </c>
    </row>
    <row r="76" spans="1:6">
      <c r="A76" s="142" t="s">
        <v>329</v>
      </c>
      <c r="B76" s="137" t="s">
        <v>330</v>
      </c>
      <c r="C76" s="138">
        <v>2725.66</v>
      </c>
      <c r="D76" s="138">
        <v>2696.96</v>
      </c>
      <c r="E76" s="45">
        <v>5.01</v>
      </c>
      <c r="F76" s="140" t="s">
        <v>842</v>
      </c>
    </row>
    <row r="77" spans="1:6">
      <c r="A77" s="142" t="s">
        <v>440</v>
      </c>
      <c r="B77" s="137" t="s">
        <v>441</v>
      </c>
      <c r="C77" s="138">
        <v>3112.16</v>
      </c>
      <c r="D77" s="138">
        <v>2709.07</v>
      </c>
      <c r="E77" s="45">
        <v>4.8</v>
      </c>
      <c r="F77" s="140" t="s">
        <v>842</v>
      </c>
    </row>
    <row r="78" spans="1:6">
      <c r="A78" s="142" t="s">
        <v>90</v>
      </c>
      <c r="B78" s="137" t="s">
        <v>91</v>
      </c>
      <c r="C78" s="138">
        <v>2718.59</v>
      </c>
      <c r="D78" s="138">
        <v>2693.68</v>
      </c>
      <c r="E78" s="45">
        <v>3.7</v>
      </c>
      <c r="F78" s="140" t="s">
        <v>842</v>
      </c>
    </row>
    <row r="79" spans="1:6">
      <c r="A79" s="142" t="s">
        <v>332</v>
      </c>
      <c r="B79" s="137" t="s">
        <v>333</v>
      </c>
      <c r="C79" s="138">
        <v>2716.93</v>
      </c>
      <c r="D79" s="138">
        <v>2698.04</v>
      </c>
      <c r="E79" s="45">
        <v>5.79</v>
      </c>
      <c r="F79" s="140" t="s">
        <v>842</v>
      </c>
    </row>
    <row r="80" spans="1:6">
      <c r="A80" s="142" t="s">
        <v>443</v>
      </c>
      <c r="B80" s="137" t="s">
        <v>444</v>
      </c>
      <c r="C80" s="138">
        <v>2711.33</v>
      </c>
      <c r="D80" s="138">
        <v>2701.81</v>
      </c>
      <c r="E80" s="45">
        <v>6.4</v>
      </c>
      <c r="F80" s="140" t="s">
        <v>842</v>
      </c>
    </row>
    <row r="81" spans="1:6">
      <c r="A81" s="142" t="s">
        <v>653</v>
      </c>
      <c r="B81" s="137" t="s">
        <v>654</v>
      </c>
      <c r="C81" s="138">
        <v>722.07</v>
      </c>
      <c r="D81" s="138">
        <v>711.6</v>
      </c>
      <c r="E81" s="45">
        <v>6.05</v>
      </c>
      <c r="F81" s="140" t="s">
        <v>843</v>
      </c>
    </row>
    <row r="82" spans="1:6">
      <c r="A82" s="142" t="s">
        <v>24</v>
      </c>
      <c r="B82" s="137" t="s">
        <v>25</v>
      </c>
      <c r="C82" s="138">
        <v>2565.67</v>
      </c>
      <c r="D82" s="138">
        <v>2696.89</v>
      </c>
      <c r="E82" s="45">
        <v>3.88</v>
      </c>
      <c r="F82" s="140" t="s">
        <v>842</v>
      </c>
    </row>
    <row r="83" spans="1:6">
      <c r="A83" s="142" t="s">
        <v>335</v>
      </c>
      <c r="B83" s="59" t="s">
        <v>336</v>
      </c>
      <c r="C83" s="138">
        <v>969.31</v>
      </c>
      <c r="D83" s="138">
        <v>980.62</v>
      </c>
      <c r="E83" s="45">
        <v>2.46</v>
      </c>
      <c r="F83" s="140" t="s">
        <v>843</v>
      </c>
    </row>
    <row r="84" spans="1:6">
      <c r="A84" s="142" t="s">
        <v>655</v>
      </c>
      <c r="B84" s="137" t="s">
        <v>656</v>
      </c>
      <c r="C84" s="138">
        <v>968.47</v>
      </c>
      <c r="D84" s="138">
        <v>915.35</v>
      </c>
      <c r="E84" s="45">
        <v>6.2</v>
      </c>
      <c r="F84" s="140" t="s">
        <v>843</v>
      </c>
    </row>
    <row r="85" spans="1:6">
      <c r="A85" s="142" t="s">
        <v>659</v>
      </c>
      <c r="B85" s="59" t="s">
        <v>660</v>
      </c>
      <c r="C85" s="138">
        <v>2616.7800000000002</v>
      </c>
      <c r="D85" s="138">
        <v>2703.01</v>
      </c>
      <c r="E85" s="45">
        <v>5.54</v>
      </c>
      <c r="F85" s="140" t="s">
        <v>842</v>
      </c>
    </row>
    <row r="86" spans="1:6">
      <c r="A86" s="142" t="s">
        <v>661</v>
      </c>
      <c r="B86" s="59" t="s">
        <v>662</v>
      </c>
      <c r="C86" s="138">
        <v>932.64</v>
      </c>
      <c r="D86" s="138">
        <v>969.49</v>
      </c>
      <c r="E86" s="45">
        <v>2.21</v>
      </c>
      <c r="F86" s="140" t="s">
        <v>843</v>
      </c>
    </row>
    <row r="87" spans="1:6">
      <c r="A87" s="142" t="s">
        <v>665</v>
      </c>
      <c r="B87" s="137" t="s">
        <v>666</v>
      </c>
      <c r="C87" s="138">
        <v>940.36</v>
      </c>
      <c r="D87" s="138">
        <v>967.04</v>
      </c>
      <c r="E87" s="45">
        <v>2.4700000000000002</v>
      </c>
      <c r="F87" s="140" t="s">
        <v>843</v>
      </c>
    </row>
    <row r="88" spans="1:6">
      <c r="A88" s="142" t="s">
        <v>217</v>
      </c>
      <c r="B88" s="137" t="s">
        <v>218</v>
      </c>
      <c r="C88" s="138">
        <v>2732.81</v>
      </c>
      <c r="D88" s="138">
        <v>2680.65</v>
      </c>
      <c r="E88" s="45">
        <v>4.76</v>
      </c>
      <c r="F88" s="140" t="s">
        <v>842</v>
      </c>
    </row>
    <row r="89" spans="1:6">
      <c r="A89" s="142" t="s">
        <v>338</v>
      </c>
      <c r="B89" s="137" t="s">
        <v>339</v>
      </c>
      <c r="C89" s="138">
        <v>2732.79</v>
      </c>
      <c r="D89" s="138">
        <v>2615.8000000000002</v>
      </c>
      <c r="E89" s="45">
        <v>4.2</v>
      </c>
      <c r="F89" s="140" t="s">
        <v>842</v>
      </c>
    </row>
    <row r="90" spans="1:6">
      <c r="A90" s="142" t="s">
        <v>446</v>
      </c>
      <c r="B90" s="59" t="s">
        <v>447</v>
      </c>
      <c r="C90" s="138">
        <v>2904.56</v>
      </c>
      <c r="D90" s="138">
        <v>2688.73</v>
      </c>
      <c r="E90" s="45">
        <v>3.51</v>
      </c>
      <c r="F90" s="140" t="s">
        <v>842</v>
      </c>
    </row>
    <row r="91" spans="1:6">
      <c r="A91" s="142" t="s">
        <v>341</v>
      </c>
      <c r="B91" s="59" t="s">
        <v>342</v>
      </c>
      <c r="C91" s="138">
        <v>990.48</v>
      </c>
      <c r="D91" s="138">
        <v>960.14</v>
      </c>
      <c r="E91" s="45">
        <v>1.89</v>
      </c>
      <c r="F91" s="140" t="s">
        <v>843</v>
      </c>
    </row>
    <row r="92" spans="1:6">
      <c r="A92" s="142" t="s">
        <v>669</v>
      </c>
      <c r="B92" s="137" t="s">
        <v>670</v>
      </c>
      <c r="C92" s="138">
        <v>953.59</v>
      </c>
      <c r="D92" s="138">
        <v>979.16</v>
      </c>
      <c r="E92" s="45">
        <v>2.04</v>
      </c>
      <c r="F92" s="140" t="s">
        <v>843</v>
      </c>
    </row>
    <row r="93" spans="1:6">
      <c r="A93" s="142" t="s">
        <v>109</v>
      </c>
      <c r="B93" s="59" t="s">
        <v>110</v>
      </c>
      <c r="C93" s="138">
        <v>2704.2</v>
      </c>
      <c r="D93" s="138">
        <v>2433.69</v>
      </c>
      <c r="E93" s="45">
        <v>4.03</v>
      </c>
      <c r="F93" s="140" t="s">
        <v>842</v>
      </c>
    </row>
    <row r="94" spans="1:6">
      <c r="A94" s="142" t="s">
        <v>449</v>
      </c>
      <c r="B94" s="137" t="s">
        <v>450</v>
      </c>
      <c r="C94" s="138">
        <v>2589.79</v>
      </c>
      <c r="D94" s="138">
        <v>2707.9</v>
      </c>
      <c r="E94" s="45">
        <v>4.0199999999999996</v>
      </c>
      <c r="F94" s="140" t="s">
        <v>842</v>
      </c>
    </row>
    <row r="95" spans="1:6">
      <c r="A95" s="142" t="s">
        <v>452</v>
      </c>
      <c r="B95" s="59" t="s">
        <v>453</v>
      </c>
      <c r="C95" s="138">
        <v>2722.74</v>
      </c>
      <c r="D95" s="138">
        <v>7992.71</v>
      </c>
      <c r="E95" s="45">
        <v>4.55</v>
      </c>
      <c r="F95" s="140" t="s">
        <v>842</v>
      </c>
    </row>
    <row r="96" spans="1:6">
      <c r="A96" s="142" t="s">
        <v>455</v>
      </c>
      <c r="B96" s="137" t="s">
        <v>456</v>
      </c>
      <c r="C96" s="138">
        <v>2724.76</v>
      </c>
      <c r="D96" s="138">
        <v>8094.8</v>
      </c>
      <c r="E96" s="45">
        <v>5.6</v>
      </c>
      <c r="F96" s="140" t="s">
        <v>842</v>
      </c>
    </row>
    <row r="97" spans="1:6">
      <c r="A97" s="142" t="s">
        <v>344</v>
      </c>
      <c r="B97" s="137" t="s">
        <v>345</v>
      </c>
      <c r="C97" s="138">
        <v>2707.93</v>
      </c>
      <c r="D97" s="138">
        <v>2673.59</v>
      </c>
      <c r="E97" s="45">
        <v>5.17</v>
      </c>
      <c r="F97" s="140" t="s">
        <v>842</v>
      </c>
    </row>
    <row r="98" spans="1:6">
      <c r="A98" s="142" t="s">
        <v>154</v>
      </c>
      <c r="B98" s="59" t="s">
        <v>155</v>
      </c>
      <c r="C98" s="138">
        <v>974.75</v>
      </c>
      <c r="D98" s="138">
        <v>967.34</v>
      </c>
      <c r="E98" s="45">
        <v>2.88</v>
      </c>
      <c r="F98" s="140" t="s">
        <v>843</v>
      </c>
    </row>
    <row r="99" spans="1:6">
      <c r="A99" s="142" t="s">
        <v>675</v>
      </c>
      <c r="B99" s="59" t="s">
        <v>676</v>
      </c>
      <c r="C99" s="138">
        <v>2704.86</v>
      </c>
      <c r="D99" s="138">
        <v>2673.75</v>
      </c>
      <c r="E99" s="45">
        <v>5.77</v>
      </c>
      <c r="F99" s="140" t="s">
        <v>843</v>
      </c>
    </row>
    <row r="100" spans="1:6">
      <c r="A100" s="142" t="s">
        <v>677</v>
      </c>
      <c r="B100" s="59" t="s">
        <v>678</v>
      </c>
      <c r="C100" s="138">
        <v>975.2</v>
      </c>
      <c r="D100" s="138">
        <v>981.28</v>
      </c>
      <c r="E100" s="45">
        <v>2.4700000000000002</v>
      </c>
      <c r="F100" s="140" t="s">
        <v>843</v>
      </c>
    </row>
    <row r="101" spans="1:6">
      <c r="A101" s="142" t="s">
        <v>223</v>
      </c>
      <c r="B101" s="59" t="s">
        <v>224</v>
      </c>
      <c r="C101" s="138">
        <v>939.94</v>
      </c>
      <c r="D101" s="138">
        <v>735.34</v>
      </c>
      <c r="E101" s="45">
        <v>4.93</v>
      </c>
      <c r="F101" s="140" t="s">
        <v>843</v>
      </c>
    </row>
    <row r="102" spans="1:6">
      <c r="A102" s="142" t="s">
        <v>124</v>
      </c>
      <c r="B102" s="137" t="s">
        <v>125</v>
      </c>
      <c r="C102" s="138">
        <v>2725.56</v>
      </c>
      <c r="D102" s="138">
        <v>2640.46</v>
      </c>
      <c r="E102" s="45">
        <v>4.58</v>
      </c>
      <c r="F102" s="140" t="s">
        <v>842</v>
      </c>
    </row>
    <row r="103" spans="1:6">
      <c r="A103" s="142" t="s">
        <v>572</v>
      </c>
      <c r="B103" s="59" t="s">
        <v>573</v>
      </c>
      <c r="C103" s="138">
        <v>2722.69</v>
      </c>
      <c r="D103" s="138">
        <v>2695.36</v>
      </c>
      <c r="E103" s="45">
        <v>4.67</v>
      </c>
      <c r="F103" s="140" t="s">
        <v>842</v>
      </c>
    </row>
    <row r="104" spans="1:6">
      <c r="A104" s="142" t="s">
        <v>533</v>
      </c>
      <c r="B104" s="59" t="s">
        <v>534</v>
      </c>
      <c r="C104" s="138">
        <v>2727.75</v>
      </c>
      <c r="D104" s="138">
        <v>2617.89</v>
      </c>
      <c r="E104" s="45">
        <v>5.73</v>
      </c>
      <c r="F104" s="140" t="s">
        <v>842</v>
      </c>
    </row>
    <row r="105" spans="1:6">
      <c r="A105" s="142" t="s">
        <v>536</v>
      </c>
      <c r="B105" s="59" t="s">
        <v>537</v>
      </c>
      <c r="C105" s="138">
        <v>2711.21</v>
      </c>
      <c r="D105" s="138">
        <v>2678.48</v>
      </c>
      <c r="E105" s="45">
        <v>5.41</v>
      </c>
      <c r="F105" s="140" t="s">
        <v>842</v>
      </c>
    </row>
    <row r="106" spans="1:6">
      <c r="A106" s="142" t="s">
        <v>350</v>
      </c>
      <c r="B106" s="137" t="s">
        <v>351</v>
      </c>
      <c r="C106" s="138">
        <v>936.71</v>
      </c>
      <c r="D106" s="138">
        <v>919.91</v>
      </c>
      <c r="E106" s="45">
        <v>5.45</v>
      </c>
      <c r="F106" s="140" t="s">
        <v>843</v>
      </c>
    </row>
    <row r="107" spans="1:6">
      <c r="A107" s="142" t="s">
        <v>458</v>
      </c>
      <c r="B107" s="137" t="s">
        <v>459</v>
      </c>
      <c r="C107" s="138">
        <v>2727.49</v>
      </c>
      <c r="D107" s="138">
        <v>2688.1</v>
      </c>
      <c r="E107" s="45">
        <v>4.51</v>
      </c>
      <c r="F107" s="140" t="s">
        <v>842</v>
      </c>
    </row>
    <row r="108" spans="1:6">
      <c r="A108" s="142" t="s">
        <v>353</v>
      </c>
      <c r="B108" s="137" t="s">
        <v>354</v>
      </c>
      <c r="C108" s="138">
        <v>2741.6</v>
      </c>
      <c r="D108" s="138">
        <v>2710.78</v>
      </c>
      <c r="E108" s="45">
        <v>3.88</v>
      </c>
      <c r="F108" s="140" t="s">
        <v>842</v>
      </c>
    </row>
    <row r="109" spans="1:6">
      <c r="A109" s="142" t="s">
        <v>683</v>
      </c>
      <c r="B109" s="59" t="s">
        <v>684</v>
      </c>
      <c r="C109" s="138">
        <v>979.71</v>
      </c>
      <c r="D109" s="138">
        <v>805.01</v>
      </c>
      <c r="E109" s="45">
        <v>5.89</v>
      </c>
      <c r="F109" s="140" t="s">
        <v>843</v>
      </c>
    </row>
    <row r="110" spans="1:6">
      <c r="A110" s="142" t="s">
        <v>687</v>
      </c>
      <c r="B110" s="59" t="s">
        <v>688</v>
      </c>
      <c r="C110" s="138">
        <v>900.25</v>
      </c>
      <c r="D110" s="138">
        <v>906.04</v>
      </c>
      <c r="E110" s="45">
        <v>2.44</v>
      </c>
      <c r="F110" s="140" t="s">
        <v>843</v>
      </c>
    </row>
    <row r="111" spans="1:6">
      <c r="A111" s="142" t="s">
        <v>689</v>
      </c>
      <c r="B111" s="59" t="s">
        <v>690</v>
      </c>
      <c r="C111" s="138">
        <v>904.16</v>
      </c>
      <c r="D111" s="138">
        <v>973.19</v>
      </c>
      <c r="E111" s="45">
        <v>5.6</v>
      </c>
      <c r="F111" s="140" t="s">
        <v>843</v>
      </c>
    </row>
    <row r="112" spans="1:6">
      <c r="A112" s="142" t="s">
        <v>356</v>
      </c>
      <c r="B112" s="59" t="s">
        <v>357</v>
      </c>
      <c r="C112" s="138">
        <v>707.37</v>
      </c>
      <c r="D112" s="138">
        <v>973.81</v>
      </c>
      <c r="E112" s="45">
        <v>2.5</v>
      </c>
      <c r="F112" s="140" t="s">
        <v>843</v>
      </c>
    </row>
    <row r="113" spans="1:6">
      <c r="A113" s="142" t="s">
        <v>461</v>
      </c>
      <c r="B113" s="137" t="s">
        <v>462</v>
      </c>
      <c r="C113" s="138">
        <v>2753.5</v>
      </c>
      <c r="D113" s="138">
        <v>2713.45</v>
      </c>
      <c r="E113" s="45">
        <v>5.79</v>
      </c>
      <c r="F113" s="140" t="s">
        <v>842</v>
      </c>
    </row>
    <row r="114" spans="1:6">
      <c r="A114" s="142" t="s">
        <v>464</v>
      </c>
      <c r="B114" s="137" t="s">
        <v>465</v>
      </c>
      <c r="C114" s="138">
        <v>2743.89</v>
      </c>
      <c r="D114" s="138">
        <v>2697.83</v>
      </c>
      <c r="E114" s="45">
        <v>0</v>
      </c>
      <c r="F114" s="140" t="s">
        <v>842</v>
      </c>
    </row>
    <row r="115" spans="1:6">
      <c r="A115" s="142" t="s">
        <v>467</v>
      </c>
      <c r="B115" s="59" t="s">
        <v>468</v>
      </c>
      <c r="C115" s="138">
        <v>2706.08</v>
      </c>
      <c r="D115" s="138">
        <v>2670.42</v>
      </c>
      <c r="E115" s="45">
        <v>5.08</v>
      </c>
      <c r="F115" s="140" t="s">
        <v>842</v>
      </c>
    </row>
    <row r="116" spans="1:6">
      <c r="A116" s="142" t="s">
        <v>545</v>
      </c>
      <c r="B116" s="59" t="s">
        <v>546</v>
      </c>
      <c r="C116" s="138">
        <v>2708.66</v>
      </c>
      <c r="D116" s="138">
        <v>2692.91</v>
      </c>
      <c r="E116" s="45">
        <v>4.1900000000000004</v>
      </c>
      <c r="F116" s="140" t="s">
        <v>842</v>
      </c>
    </row>
    <row r="117" spans="1:6">
      <c r="A117" s="142" t="s">
        <v>470</v>
      </c>
      <c r="B117" s="59" t="s">
        <v>471</v>
      </c>
      <c r="C117" s="138">
        <v>2686.79</v>
      </c>
      <c r="D117" s="138">
        <v>7994.42</v>
      </c>
      <c r="E117" s="45">
        <v>4.17</v>
      </c>
      <c r="F117" s="140" t="s">
        <v>842</v>
      </c>
    </row>
    <row r="118" spans="1:6">
      <c r="A118" s="142" t="s">
        <v>554</v>
      </c>
      <c r="B118" s="59" t="s">
        <v>555</v>
      </c>
      <c r="C118" s="138">
        <v>1009.26</v>
      </c>
      <c r="D118" s="138">
        <v>979.85</v>
      </c>
      <c r="E118" s="45">
        <v>1.96</v>
      </c>
      <c r="F118" s="140" t="s">
        <v>843</v>
      </c>
    </row>
    <row r="119" spans="1:6">
      <c r="A119" s="142" t="s">
        <v>693</v>
      </c>
      <c r="B119" s="59" t="s">
        <v>694</v>
      </c>
      <c r="C119" s="138">
        <v>5439.42</v>
      </c>
      <c r="D119" s="138">
        <v>5346.2</v>
      </c>
      <c r="E119" s="45">
        <v>3.49</v>
      </c>
      <c r="F119" s="140" t="s">
        <v>844</v>
      </c>
    </row>
    <row r="120" spans="1:6">
      <c r="A120" s="142" t="s">
        <v>271</v>
      </c>
      <c r="B120" s="137" t="s">
        <v>272</v>
      </c>
      <c r="C120" s="138">
        <v>2705.78</v>
      </c>
      <c r="D120" s="138">
        <v>7731.65</v>
      </c>
      <c r="E120" s="45">
        <v>5.13</v>
      </c>
      <c r="F120" s="140" t="s">
        <v>842</v>
      </c>
    </row>
    <row r="121" spans="1:6">
      <c r="A121" s="142" t="s">
        <v>697</v>
      </c>
      <c r="B121" s="59" t="s">
        <v>698</v>
      </c>
      <c r="C121" s="138">
        <v>784.41</v>
      </c>
      <c r="D121" s="138">
        <v>955.73</v>
      </c>
      <c r="E121" s="45">
        <v>2.3199999999999998</v>
      </c>
      <c r="F121" s="140" t="s">
        <v>843</v>
      </c>
    </row>
    <row r="122" spans="1:6">
      <c r="A122" s="142" t="s">
        <v>473</v>
      </c>
      <c r="B122" s="137" t="s">
        <v>474</v>
      </c>
      <c r="C122" s="138">
        <v>2732.58</v>
      </c>
      <c r="D122" s="138">
        <v>2697.89</v>
      </c>
      <c r="E122" s="45">
        <v>3.73</v>
      </c>
      <c r="F122" s="140" t="s">
        <v>842</v>
      </c>
    </row>
    <row r="123" spans="1:6">
      <c r="A123" s="142" t="s">
        <v>476</v>
      </c>
      <c r="B123" s="137" t="s">
        <v>477</v>
      </c>
      <c r="C123" s="138">
        <v>2732.57</v>
      </c>
      <c r="D123" s="138">
        <v>2710.98</v>
      </c>
      <c r="E123" s="45">
        <v>3.73</v>
      </c>
      <c r="F123" s="140" t="s">
        <v>842</v>
      </c>
    </row>
    <row r="124" spans="1:6">
      <c r="A124" s="142" t="s">
        <v>699</v>
      </c>
      <c r="B124" s="59" t="s">
        <v>700</v>
      </c>
      <c r="C124" s="138">
        <v>955.2</v>
      </c>
      <c r="D124" s="138">
        <v>912.16</v>
      </c>
      <c r="E124" s="45">
        <v>5.92</v>
      </c>
      <c r="F124" s="140" t="s">
        <v>843</v>
      </c>
    </row>
    <row r="125" spans="1:6">
      <c r="A125" s="142" t="s">
        <v>701</v>
      </c>
      <c r="B125" s="59" t="s">
        <v>702</v>
      </c>
      <c r="C125" s="138">
        <v>981.79</v>
      </c>
      <c r="D125" s="138">
        <v>818.34</v>
      </c>
      <c r="E125" s="45">
        <v>6.58</v>
      </c>
      <c r="F125" s="140" t="s">
        <v>843</v>
      </c>
    </row>
    <row r="126" spans="1:6">
      <c r="A126" s="142" t="s">
        <v>479</v>
      </c>
      <c r="B126" s="137" t="s">
        <v>480</v>
      </c>
      <c r="C126" s="138">
        <v>2729.22</v>
      </c>
      <c r="D126" s="138">
        <v>2657.45</v>
      </c>
      <c r="E126" s="45">
        <v>3.88</v>
      </c>
      <c r="F126" s="140" t="s">
        <v>842</v>
      </c>
    </row>
    <row r="127" spans="1:6">
      <c r="A127" s="142" t="s">
        <v>563</v>
      </c>
      <c r="B127" s="137" t="s">
        <v>564</v>
      </c>
      <c r="C127" s="138">
        <v>4976.3900000000003</v>
      </c>
      <c r="D127" s="138">
        <v>4971.08</v>
      </c>
      <c r="E127" s="45">
        <v>4.76</v>
      </c>
      <c r="F127" s="140" t="s">
        <v>844</v>
      </c>
    </row>
    <row r="128" spans="1:6">
      <c r="A128" s="142" t="s">
        <v>226</v>
      </c>
      <c r="B128" s="137" t="s">
        <v>227</v>
      </c>
      <c r="C128" s="138">
        <v>879.15</v>
      </c>
      <c r="D128" s="138">
        <v>860.68</v>
      </c>
      <c r="E128" s="45">
        <v>6.21</v>
      </c>
      <c r="F128" s="140" t="s">
        <v>843</v>
      </c>
    </row>
    <row r="129" spans="1:6">
      <c r="A129" s="142" t="s">
        <v>482</v>
      </c>
      <c r="B129" s="137" t="s">
        <v>483</v>
      </c>
      <c r="C129" s="138">
        <v>969.82</v>
      </c>
      <c r="D129" s="138">
        <v>962.92</v>
      </c>
      <c r="E129" s="45">
        <v>5.67</v>
      </c>
      <c r="F129" s="140" t="s">
        <v>843</v>
      </c>
    </row>
    <row r="130" spans="1:6">
      <c r="A130" s="142" t="s">
        <v>711</v>
      </c>
      <c r="B130" s="59" t="s">
        <v>712</v>
      </c>
      <c r="C130" s="138">
        <v>978.27</v>
      </c>
      <c r="D130" s="138">
        <v>758.65</v>
      </c>
      <c r="E130" s="45">
        <v>6.3</v>
      </c>
      <c r="F130" s="140" t="s">
        <v>843</v>
      </c>
    </row>
    <row r="131" spans="1:6">
      <c r="A131" s="142" t="s">
        <v>485</v>
      </c>
      <c r="B131" s="59" t="s">
        <v>486</v>
      </c>
      <c r="C131" s="138">
        <v>2729.66</v>
      </c>
      <c r="D131" s="138">
        <v>2689.08</v>
      </c>
      <c r="E131" s="45">
        <v>6.31</v>
      </c>
      <c r="F131" s="140" t="s">
        <v>842</v>
      </c>
    </row>
    <row r="132" spans="1:6">
      <c r="A132" s="142" t="s">
        <v>488</v>
      </c>
      <c r="B132" s="59" t="s">
        <v>489</v>
      </c>
      <c r="C132" s="138">
        <v>947.11</v>
      </c>
      <c r="D132" s="138">
        <v>809.45</v>
      </c>
      <c r="E132" s="45">
        <v>4.95</v>
      </c>
      <c r="F132" s="140" t="s">
        <v>843</v>
      </c>
    </row>
    <row r="133" spans="1:6">
      <c r="A133" s="142" t="s">
        <v>491</v>
      </c>
      <c r="B133" s="59" t="s">
        <v>492</v>
      </c>
      <c r="C133" s="138">
        <v>967.79</v>
      </c>
      <c r="D133" s="138">
        <v>974.44</v>
      </c>
      <c r="E133" s="45">
        <v>2.14</v>
      </c>
      <c r="F133" s="140" t="s">
        <v>843</v>
      </c>
    </row>
    <row r="134" spans="1:6">
      <c r="A134" s="142" t="s">
        <v>717</v>
      </c>
      <c r="B134" s="59" t="s">
        <v>718</v>
      </c>
      <c r="C134" s="138">
        <v>988.9</v>
      </c>
      <c r="D134" s="138">
        <v>833.41</v>
      </c>
      <c r="E134" s="45">
        <v>5.2</v>
      </c>
      <c r="F134" s="140" t="s">
        <v>843</v>
      </c>
    </row>
    <row r="135" spans="1:6">
      <c r="A135" s="142" t="s">
        <v>362</v>
      </c>
      <c r="B135" s="137" t="s">
        <v>363</v>
      </c>
      <c r="C135" s="138">
        <v>2663.43</v>
      </c>
      <c r="D135" s="138">
        <v>8081.95</v>
      </c>
      <c r="E135" s="45">
        <v>4.5999999999999996</v>
      </c>
      <c r="F135" s="140" t="s">
        <v>842</v>
      </c>
    </row>
    <row r="136" spans="1:6">
      <c r="A136" s="142" t="s">
        <v>494</v>
      </c>
      <c r="B136" s="137" t="s">
        <v>495</v>
      </c>
      <c r="C136" s="138">
        <v>2089.3000000000002</v>
      </c>
      <c r="D136" s="138">
        <v>7713.54</v>
      </c>
      <c r="E136" s="45">
        <v>3.53</v>
      </c>
      <c r="F136" s="140" t="s">
        <v>842</v>
      </c>
    </row>
    <row r="137" spans="1:6">
      <c r="A137" s="142" t="s">
        <v>81</v>
      </c>
      <c r="B137" s="59" t="s">
        <v>82</v>
      </c>
      <c r="C137" s="138">
        <v>886.19</v>
      </c>
      <c r="D137" s="138">
        <v>950.14</v>
      </c>
      <c r="E137" s="45">
        <v>1.79</v>
      </c>
      <c r="F137" s="140" t="s">
        <v>843</v>
      </c>
    </row>
    <row r="138" spans="1:6">
      <c r="A138" s="142" t="s">
        <v>719</v>
      </c>
      <c r="B138" s="59" t="s">
        <v>720</v>
      </c>
      <c r="C138" s="138">
        <v>956.21</v>
      </c>
      <c r="D138" s="138">
        <v>974.07</v>
      </c>
      <c r="E138" s="45">
        <v>2.1800000000000002</v>
      </c>
      <c r="F138" s="140" t="s">
        <v>843</v>
      </c>
    </row>
    <row r="139" spans="1:6">
      <c r="A139" s="142" t="s">
        <v>723</v>
      </c>
      <c r="B139" s="137" t="s">
        <v>724</v>
      </c>
      <c r="C139" s="138">
        <v>4980.2299999999996</v>
      </c>
      <c r="D139" s="138">
        <v>4980</v>
      </c>
      <c r="E139" s="45">
        <v>4.9400000000000004</v>
      </c>
      <c r="F139" s="140" t="s">
        <v>844</v>
      </c>
    </row>
    <row r="140" spans="1:6">
      <c r="A140" s="142" t="s">
        <v>235</v>
      </c>
      <c r="B140" s="59" t="s">
        <v>236</v>
      </c>
      <c r="C140" s="138">
        <v>980.2</v>
      </c>
      <c r="D140" s="138">
        <v>977.05</v>
      </c>
      <c r="E140" s="45">
        <v>2.64</v>
      </c>
      <c r="F140" s="140" t="s">
        <v>843</v>
      </c>
    </row>
    <row r="141" spans="1:6">
      <c r="A141" s="142" t="s">
        <v>365</v>
      </c>
      <c r="B141" s="59" t="s">
        <v>366</v>
      </c>
      <c r="C141" s="138">
        <v>976.1</v>
      </c>
      <c r="D141" s="138">
        <v>975.21</v>
      </c>
      <c r="E141" s="45">
        <v>6.29</v>
      </c>
      <c r="F141" s="140" t="s">
        <v>843</v>
      </c>
    </row>
    <row r="142" spans="1:6">
      <c r="A142" s="142" t="s">
        <v>27</v>
      </c>
      <c r="B142" s="137" t="s">
        <v>28</v>
      </c>
      <c r="C142" s="138">
        <v>2707.3</v>
      </c>
      <c r="D142" s="138">
        <v>7767.35</v>
      </c>
      <c r="E142" s="45">
        <v>4</v>
      </c>
      <c r="F142" s="140" t="s">
        <v>842</v>
      </c>
    </row>
    <row r="143" spans="1:6">
      <c r="A143" s="142" t="s">
        <v>727</v>
      </c>
      <c r="B143" s="59" t="s">
        <v>728</v>
      </c>
      <c r="C143" s="138">
        <v>760.34</v>
      </c>
      <c r="D143" s="138">
        <v>952.03</v>
      </c>
      <c r="E143" s="45">
        <v>1.7</v>
      </c>
      <c r="F143" s="140" t="s">
        <v>843</v>
      </c>
    </row>
    <row r="144" spans="1:6">
      <c r="A144" s="142" t="s">
        <v>51</v>
      </c>
      <c r="B144" s="59" t="s">
        <v>52</v>
      </c>
      <c r="C144" s="138">
        <v>997.2</v>
      </c>
      <c r="D144" s="138">
        <v>746.5</v>
      </c>
      <c r="E144" s="45">
        <v>6.23</v>
      </c>
      <c r="F144" s="140" t="s">
        <v>843</v>
      </c>
    </row>
    <row r="145" spans="1:6">
      <c r="A145" s="142" t="s">
        <v>731</v>
      </c>
      <c r="B145" s="59" t="s">
        <v>732</v>
      </c>
      <c r="C145" s="138">
        <v>954.52</v>
      </c>
      <c r="D145" s="138">
        <v>976.02</v>
      </c>
      <c r="E145" s="45">
        <v>2.48</v>
      </c>
      <c r="F145" s="140" t="s">
        <v>843</v>
      </c>
    </row>
    <row r="146" spans="1:6">
      <c r="A146" s="142" t="s">
        <v>733</v>
      </c>
      <c r="B146" s="59" t="s">
        <v>734</v>
      </c>
      <c r="C146" s="138">
        <v>824.47</v>
      </c>
      <c r="D146" s="138">
        <v>963.26</v>
      </c>
      <c r="E146" s="45">
        <v>1.71</v>
      </c>
      <c r="F146" s="140" t="s">
        <v>843</v>
      </c>
    </row>
    <row r="147" spans="1:6">
      <c r="A147" s="142" t="s">
        <v>735</v>
      </c>
      <c r="B147" s="59" t="s">
        <v>736</v>
      </c>
      <c r="C147" s="138">
        <v>865.96</v>
      </c>
      <c r="D147" s="138">
        <v>803.79</v>
      </c>
      <c r="E147" s="45">
        <v>6.59</v>
      </c>
      <c r="F147" s="140" t="s">
        <v>843</v>
      </c>
    </row>
    <row r="148" spans="1:6">
      <c r="A148" s="142" t="s">
        <v>30</v>
      </c>
      <c r="B148" s="137" t="s">
        <v>31</v>
      </c>
      <c r="C148" s="138">
        <v>2709.61</v>
      </c>
      <c r="D148" s="138">
        <v>2679.23</v>
      </c>
      <c r="E148" s="45">
        <v>3.99</v>
      </c>
      <c r="F148" s="140" t="s">
        <v>842</v>
      </c>
    </row>
    <row r="149" spans="1:6">
      <c r="A149" s="142" t="s">
        <v>368</v>
      </c>
      <c r="B149" s="59" t="s">
        <v>369</v>
      </c>
      <c r="C149" s="138">
        <v>2684.11</v>
      </c>
      <c r="D149" s="138">
        <v>2681.13</v>
      </c>
      <c r="E149" s="45">
        <v>5.95</v>
      </c>
      <c r="F149" s="140" t="s">
        <v>842</v>
      </c>
    </row>
    <row r="150" spans="1:6">
      <c r="A150" s="142" t="s">
        <v>157</v>
      </c>
      <c r="B150" s="59" t="s">
        <v>158</v>
      </c>
      <c r="C150" s="138">
        <v>976.88</v>
      </c>
      <c r="D150" s="138">
        <v>919.91</v>
      </c>
      <c r="E150" s="45">
        <v>4.75</v>
      </c>
      <c r="F150" s="140" t="s">
        <v>843</v>
      </c>
    </row>
    <row r="151" spans="1:6">
      <c r="A151" s="142" t="s">
        <v>160</v>
      </c>
      <c r="B151" s="59" t="s">
        <v>161</v>
      </c>
      <c r="C151" s="138">
        <v>946.3</v>
      </c>
      <c r="D151" s="138">
        <v>975.72</v>
      </c>
      <c r="E151" s="45">
        <v>1.95</v>
      </c>
      <c r="F151" s="140" t="s">
        <v>843</v>
      </c>
    </row>
    <row r="152" spans="1:6">
      <c r="A152" s="142" t="s">
        <v>745</v>
      </c>
      <c r="B152" s="137" t="s">
        <v>746</v>
      </c>
      <c r="C152" s="138">
        <v>955.36</v>
      </c>
      <c r="D152" s="138">
        <v>929.46</v>
      </c>
      <c r="E152" s="45">
        <v>7.57</v>
      </c>
      <c r="F152" s="140" t="s">
        <v>843</v>
      </c>
    </row>
    <row r="153" spans="1:6">
      <c r="A153" s="142" t="s">
        <v>539</v>
      </c>
      <c r="B153" s="59" t="s">
        <v>540</v>
      </c>
      <c r="C153" s="138">
        <v>2717.93</v>
      </c>
      <c r="D153" s="138">
        <v>2699.71</v>
      </c>
      <c r="E153" s="45">
        <v>4.51</v>
      </c>
      <c r="F153" s="140" t="s">
        <v>842</v>
      </c>
    </row>
    <row r="154" spans="1:6">
      <c r="A154" s="142" t="s">
        <v>569</v>
      </c>
      <c r="B154" s="59" t="s">
        <v>570</v>
      </c>
      <c r="C154" s="138">
        <v>950.6</v>
      </c>
      <c r="D154" s="138">
        <v>979.46</v>
      </c>
      <c r="E154" s="45">
        <v>2.33</v>
      </c>
      <c r="F154" s="140" t="s">
        <v>843</v>
      </c>
    </row>
    <row r="155" spans="1:6">
      <c r="A155" s="142" t="s">
        <v>497</v>
      </c>
      <c r="B155" s="59" t="s">
        <v>498</v>
      </c>
      <c r="C155" s="138">
        <v>973.67</v>
      </c>
      <c r="D155" s="138">
        <v>973.69</v>
      </c>
      <c r="E155" s="45">
        <v>2.46</v>
      </c>
      <c r="F155" s="140" t="s">
        <v>843</v>
      </c>
    </row>
    <row r="156" spans="1:6">
      <c r="A156" s="142" t="s">
        <v>749</v>
      </c>
      <c r="B156" s="59" t="s">
        <v>750</v>
      </c>
      <c r="C156" s="138">
        <v>973.37</v>
      </c>
      <c r="D156" s="138">
        <v>974.64</v>
      </c>
      <c r="E156" s="45">
        <v>2.34</v>
      </c>
      <c r="F156" s="140" t="s">
        <v>843</v>
      </c>
    </row>
    <row r="157" spans="1:6">
      <c r="A157" s="142" t="s">
        <v>751</v>
      </c>
      <c r="B157" s="59" t="s">
        <v>752</v>
      </c>
      <c r="C157" s="138">
        <v>982.87</v>
      </c>
      <c r="D157" s="138">
        <v>956.13</v>
      </c>
      <c r="E157" s="45">
        <v>2.1</v>
      </c>
      <c r="F157" s="140" t="s">
        <v>843</v>
      </c>
    </row>
    <row r="158" spans="1:6">
      <c r="A158" s="142" t="s">
        <v>500</v>
      </c>
      <c r="B158" s="137" t="s">
        <v>501</v>
      </c>
      <c r="C158" s="138">
        <v>2712.67</v>
      </c>
      <c r="D158" s="138">
        <v>2672.28</v>
      </c>
      <c r="E158" s="45">
        <v>4.49</v>
      </c>
      <c r="F158" s="140" t="s">
        <v>842</v>
      </c>
    </row>
    <row r="159" spans="1:6">
      <c r="A159" s="142" t="s">
        <v>753</v>
      </c>
      <c r="B159" s="59" t="s">
        <v>754</v>
      </c>
      <c r="C159" s="138">
        <v>930.65</v>
      </c>
      <c r="D159" s="138">
        <v>978.12</v>
      </c>
      <c r="E159" s="45">
        <v>1.99</v>
      </c>
      <c r="F159" s="140" t="s">
        <v>843</v>
      </c>
    </row>
    <row r="160" spans="1:6">
      <c r="A160" s="142" t="s">
        <v>757</v>
      </c>
      <c r="B160" s="137" t="s">
        <v>758</v>
      </c>
      <c r="C160" s="138">
        <v>4965.7299999999996</v>
      </c>
      <c r="D160" s="138">
        <v>4977.6899999999996</v>
      </c>
      <c r="E160" s="45">
        <v>4.09</v>
      </c>
      <c r="F160" s="140" t="s">
        <v>844</v>
      </c>
    </row>
    <row r="161" spans="1:6">
      <c r="A161" s="142" t="s">
        <v>112</v>
      </c>
      <c r="B161" s="137" t="s">
        <v>113</v>
      </c>
      <c r="C161" s="138">
        <v>973.12</v>
      </c>
      <c r="D161" s="138">
        <v>925.55</v>
      </c>
      <c r="E161" s="45">
        <v>6.49</v>
      </c>
      <c r="F161" s="140" t="s">
        <v>843</v>
      </c>
    </row>
    <row r="162" spans="1:6">
      <c r="A162" s="142" t="s">
        <v>241</v>
      </c>
      <c r="B162" s="137" t="s">
        <v>242</v>
      </c>
      <c r="C162" s="138">
        <v>980.13</v>
      </c>
      <c r="D162" s="138">
        <v>966.25</v>
      </c>
      <c r="E162" s="45">
        <v>6.12</v>
      </c>
      <c r="F162" s="140" t="s">
        <v>843</v>
      </c>
    </row>
    <row r="163" spans="1:6">
      <c r="A163" s="142" t="s">
        <v>759</v>
      </c>
      <c r="B163" s="59" t="s">
        <v>760</v>
      </c>
      <c r="C163" s="138">
        <v>981.9</v>
      </c>
      <c r="D163" s="138">
        <v>989.19</v>
      </c>
      <c r="E163" s="45">
        <v>2.0699999999999998</v>
      </c>
      <c r="F163" s="140" t="s">
        <v>843</v>
      </c>
    </row>
    <row r="164" spans="1:6">
      <c r="A164" s="142" t="s">
        <v>371</v>
      </c>
      <c r="B164" s="59" t="s">
        <v>372</v>
      </c>
      <c r="C164" s="138">
        <v>1000.38</v>
      </c>
      <c r="D164" s="138">
        <v>997.81</v>
      </c>
      <c r="E164" s="45">
        <v>4.43</v>
      </c>
      <c r="F164" s="140" t="s">
        <v>843</v>
      </c>
    </row>
    <row r="165" spans="1:6">
      <c r="A165" s="142" t="s">
        <v>763</v>
      </c>
      <c r="B165" s="59" t="s">
        <v>764</v>
      </c>
      <c r="C165" s="138">
        <v>983.4</v>
      </c>
      <c r="D165" s="138">
        <v>978.3</v>
      </c>
      <c r="E165" s="45">
        <v>5.19</v>
      </c>
      <c r="F165" s="140" t="s">
        <v>843</v>
      </c>
    </row>
    <row r="166" spans="1:6">
      <c r="A166" s="142" t="s">
        <v>96</v>
      </c>
      <c r="B166" s="59" t="s">
        <v>97</v>
      </c>
      <c r="C166" s="138">
        <v>2710.67</v>
      </c>
      <c r="D166" s="138">
        <v>2689.5</v>
      </c>
      <c r="E166" s="45">
        <v>4.1500000000000004</v>
      </c>
      <c r="F166" s="140" t="s">
        <v>842</v>
      </c>
    </row>
    <row r="167" spans="1:6">
      <c r="A167" s="142" t="s">
        <v>374</v>
      </c>
      <c r="B167" s="137" t="s">
        <v>375</v>
      </c>
      <c r="C167" s="138">
        <v>2723.94</v>
      </c>
      <c r="D167" s="138">
        <v>2703.51</v>
      </c>
      <c r="E167" s="45">
        <v>4.33</v>
      </c>
      <c r="F167" s="140" t="s">
        <v>842</v>
      </c>
    </row>
    <row r="168" spans="1:6">
      <c r="A168" s="142" t="s">
        <v>503</v>
      </c>
      <c r="B168" s="59" t="s">
        <v>504</v>
      </c>
      <c r="C168" s="138">
        <v>2660.16</v>
      </c>
      <c r="D168" s="138">
        <v>2702.16</v>
      </c>
      <c r="E168" s="45">
        <v>3.69</v>
      </c>
      <c r="F168" s="140" t="s">
        <v>842</v>
      </c>
    </row>
    <row r="169" spans="1:6">
      <c r="A169" s="142" t="s">
        <v>765</v>
      </c>
      <c r="B169" s="59" t="s">
        <v>766</v>
      </c>
      <c r="C169" s="138">
        <v>879.68</v>
      </c>
      <c r="D169" s="138">
        <v>977.67</v>
      </c>
      <c r="E169" s="45">
        <v>3.08</v>
      </c>
      <c r="F169" s="140" t="s">
        <v>843</v>
      </c>
    </row>
    <row r="170" spans="1:6">
      <c r="A170" s="142" t="s">
        <v>767</v>
      </c>
      <c r="B170" s="137" t="s">
        <v>768</v>
      </c>
      <c r="C170" s="138">
        <v>921.65</v>
      </c>
      <c r="D170" s="138">
        <v>958.38</v>
      </c>
      <c r="E170" s="45">
        <v>5.48</v>
      </c>
      <c r="F170" s="140" t="s">
        <v>843</v>
      </c>
    </row>
    <row r="171" spans="1:6">
      <c r="A171" s="142" t="s">
        <v>115</v>
      </c>
      <c r="B171" s="59" t="s">
        <v>116</v>
      </c>
      <c r="C171" s="138">
        <v>911.18</v>
      </c>
      <c r="D171" s="138">
        <v>971.38</v>
      </c>
      <c r="E171" s="45">
        <v>2.15</v>
      </c>
      <c r="F171" s="140" t="s">
        <v>843</v>
      </c>
    </row>
    <row r="172" spans="1:6">
      <c r="A172" s="142" t="s">
        <v>560</v>
      </c>
      <c r="B172" s="59" t="s">
        <v>561</v>
      </c>
      <c r="C172" s="138">
        <v>2739.3</v>
      </c>
      <c r="D172" s="138">
        <v>2664.02</v>
      </c>
      <c r="E172" s="45">
        <v>4.38</v>
      </c>
      <c r="F172" s="140" t="s">
        <v>842</v>
      </c>
    </row>
    <row r="173" spans="1:6">
      <c r="A173" s="142" t="s">
        <v>771</v>
      </c>
      <c r="B173" s="137" t="s">
        <v>772</v>
      </c>
      <c r="C173" s="138">
        <v>934.5</v>
      </c>
      <c r="D173" s="138">
        <v>884.26</v>
      </c>
      <c r="E173" s="45">
        <v>4.68</v>
      </c>
      <c r="F173" s="140" t="s">
        <v>843</v>
      </c>
    </row>
    <row r="174" spans="1:6">
      <c r="A174" s="142" t="s">
        <v>247</v>
      </c>
      <c r="B174" s="59" t="s">
        <v>248</v>
      </c>
      <c r="C174" s="138">
        <v>846.57</v>
      </c>
      <c r="D174" s="138">
        <v>942.84</v>
      </c>
      <c r="E174" s="45">
        <v>1.85</v>
      </c>
      <c r="F174" s="140" t="s">
        <v>843</v>
      </c>
    </row>
    <row r="175" spans="1:6">
      <c r="A175" s="142" t="s">
        <v>166</v>
      </c>
      <c r="B175" s="59" t="s">
        <v>167</v>
      </c>
      <c r="C175" s="138">
        <v>967.77</v>
      </c>
      <c r="D175" s="138">
        <v>978.93</v>
      </c>
      <c r="E175" s="45">
        <v>1.81</v>
      </c>
      <c r="F175" s="140" t="s">
        <v>843</v>
      </c>
    </row>
    <row r="176" spans="1:6">
      <c r="A176" s="142" t="s">
        <v>100</v>
      </c>
      <c r="B176" s="59" t="s">
        <v>101</v>
      </c>
      <c r="C176" s="138">
        <v>2721.34</v>
      </c>
      <c r="D176" s="138">
        <v>2690.47</v>
      </c>
      <c r="E176" s="45">
        <v>6.36</v>
      </c>
      <c r="F176" s="140" t="s">
        <v>842</v>
      </c>
    </row>
    <row r="177" spans="1:6">
      <c r="A177" s="142" t="s">
        <v>506</v>
      </c>
      <c r="B177" s="59" t="s">
        <v>507</v>
      </c>
      <c r="C177" s="138">
        <v>2730.24</v>
      </c>
      <c r="D177" s="138">
        <v>2697.3</v>
      </c>
      <c r="E177" s="45">
        <v>3.62</v>
      </c>
      <c r="F177" s="140" t="s">
        <v>842</v>
      </c>
    </row>
    <row r="178" spans="1:6">
      <c r="A178" s="142" t="s">
        <v>33</v>
      </c>
      <c r="B178" s="59" t="s">
        <v>34</v>
      </c>
      <c r="C178" s="138">
        <v>1000.57</v>
      </c>
      <c r="D178" s="138">
        <v>972.34</v>
      </c>
      <c r="E178" s="45">
        <v>1.91</v>
      </c>
      <c r="F178" s="140" t="s">
        <v>843</v>
      </c>
    </row>
    <row r="179" spans="1:6">
      <c r="A179" s="142" t="s">
        <v>377</v>
      </c>
      <c r="B179" s="59" t="s">
        <v>378</v>
      </c>
      <c r="C179" s="138">
        <v>993.6</v>
      </c>
      <c r="D179" s="138">
        <v>976.93</v>
      </c>
      <c r="E179" s="45">
        <v>1.96</v>
      </c>
      <c r="F179" s="140" t="s">
        <v>843</v>
      </c>
    </row>
    <row r="180" spans="1:6">
      <c r="A180" s="142" t="s">
        <v>380</v>
      </c>
      <c r="B180" s="59" t="s">
        <v>381</v>
      </c>
      <c r="C180" s="138">
        <v>2712.98</v>
      </c>
      <c r="D180" s="138">
        <v>2699.29</v>
      </c>
      <c r="E180" s="45">
        <v>4.21</v>
      </c>
      <c r="F180" s="140" t="s">
        <v>842</v>
      </c>
    </row>
    <row r="181" spans="1:6">
      <c r="A181" s="142" t="s">
        <v>509</v>
      </c>
      <c r="B181" s="59" t="s">
        <v>510</v>
      </c>
      <c r="C181" s="138">
        <v>2815.55</v>
      </c>
      <c r="D181" s="138">
        <v>2274.0100000000002</v>
      </c>
      <c r="E181" s="45">
        <v>3.8</v>
      </c>
      <c r="F181" s="140" t="s">
        <v>842</v>
      </c>
    </row>
    <row r="182" spans="1:6">
      <c r="A182" s="142" t="s">
        <v>845</v>
      </c>
      <c r="B182" s="59" t="s">
        <v>846</v>
      </c>
      <c r="C182" s="138">
        <v>737.02</v>
      </c>
      <c r="D182" s="138">
        <v>979.01</v>
      </c>
      <c r="E182" s="45">
        <v>1.94</v>
      </c>
      <c r="F182" s="140" t="s">
        <v>843</v>
      </c>
    </row>
    <row r="183" spans="1:6">
      <c r="A183" s="142" t="s">
        <v>169</v>
      </c>
      <c r="B183" s="59" t="s">
        <v>170</v>
      </c>
      <c r="C183" s="138">
        <v>973.67</v>
      </c>
      <c r="D183" s="138">
        <v>979.27</v>
      </c>
      <c r="E183" s="45">
        <v>4.04</v>
      </c>
      <c r="F183" s="140" t="s">
        <v>843</v>
      </c>
    </row>
    <row r="184" spans="1:6">
      <c r="A184" s="142" t="s">
        <v>253</v>
      </c>
      <c r="B184" s="137" t="s">
        <v>254</v>
      </c>
      <c r="C184" s="138">
        <v>2674.02</v>
      </c>
      <c r="D184" s="138">
        <v>2692.08</v>
      </c>
      <c r="E184" s="45">
        <v>3.78</v>
      </c>
      <c r="F184" s="140" t="s">
        <v>842</v>
      </c>
    </row>
    <row r="185" spans="1:6">
      <c r="A185" s="142" t="s">
        <v>383</v>
      </c>
      <c r="B185" s="59" t="s">
        <v>384</v>
      </c>
      <c r="C185" s="138">
        <v>2705.75</v>
      </c>
      <c r="D185" s="138">
        <v>2708.05</v>
      </c>
      <c r="E185" s="45">
        <v>4.13</v>
      </c>
      <c r="F185" s="140" t="s">
        <v>842</v>
      </c>
    </row>
    <row r="186" spans="1:6">
      <c r="A186" s="142" t="s">
        <v>512</v>
      </c>
      <c r="B186" s="59" t="s">
        <v>513</v>
      </c>
      <c r="C186" s="138">
        <v>1004.81</v>
      </c>
      <c r="D186" s="138">
        <v>1159.6099999999999</v>
      </c>
      <c r="E186" s="45">
        <v>6.04</v>
      </c>
      <c r="F186" s="140" t="s">
        <v>843</v>
      </c>
    </row>
    <row r="187" spans="1:6">
      <c r="A187" s="142" t="s">
        <v>779</v>
      </c>
      <c r="B187" s="137" t="s">
        <v>780</v>
      </c>
      <c r="C187" s="138">
        <v>937.99</v>
      </c>
      <c r="D187" s="138">
        <v>940.22</v>
      </c>
      <c r="E187" s="45">
        <v>2.5</v>
      </c>
      <c r="F187" s="140" t="s">
        <v>843</v>
      </c>
    </row>
    <row r="188" spans="1:6">
      <c r="A188" s="142" t="s">
        <v>781</v>
      </c>
      <c r="B188" s="59" t="s">
        <v>782</v>
      </c>
      <c r="C188" s="138">
        <v>920.4</v>
      </c>
      <c r="D188" s="138">
        <v>976.14</v>
      </c>
      <c r="E188" s="45">
        <v>2.36</v>
      </c>
      <c r="F188" s="140" t="s">
        <v>843</v>
      </c>
    </row>
    <row r="189" spans="1:6">
      <c r="A189" s="142" t="s">
        <v>78</v>
      </c>
      <c r="B189" s="59" t="s">
        <v>79</v>
      </c>
      <c r="C189" s="138">
        <v>919.75</v>
      </c>
      <c r="D189" s="138">
        <v>955.39</v>
      </c>
      <c r="E189" s="45">
        <v>2.69</v>
      </c>
      <c r="F189" s="140" t="s">
        <v>843</v>
      </c>
    </row>
    <row r="190" spans="1:6">
      <c r="A190" s="142" t="s">
        <v>566</v>
      </c>
      <c r="B190" s="59" t="s">
        <v>567</v>
      </c>
      <c r="C190" s="138">
        <v>2722.09</v>
      </c>
      <c r="D190" s="138">
        <v>2712.51</v>
      </c>
      <c r="E190" s="45">
        <v>5.12</v>
      </c>
      <c r="F190" s="140" t="s">
        <v>842</v>
      </c>
    </row>
    <row r="191" spans="1:6">
      <c r="A191" s="142" t="s">
        <v>785</v>
      </c>
      <c r="B191" s="59" t="s">
        <v>786</v>
      </c>
      <c r="C191" s="138">
        <v>801.4</v>
      </c>
      <c r="D191" s="138">
        <v>967.73</v>
      </c>
      <c r="E191" s="45">
        <v>2.84</v>
      </c>
      <c r="F191" s="140" t="s">
        <v>843</v>
      </c>
    </row>
    <row r="192" spans="1:6">
      <c r="A192" s="142" t="s">
        <v>515</v>
      </c>
      <c r="B192" s="59" t="s">
        <v>516</v>
      </c>
      <c r="C192" s="138">
        <v>957.94</v>
      </c>
      <c r="D192" s="138">
        <v>914.63</v>
      </c>
      <c r="E192" s="45">
        <v>5.53</v>
      </c>
      <c r="F192" s="140" t="s">
        <v>843</v>
      </c>
    </row>
    <row r="193" spans="1:6">
      <c r="A193" s="142" t="s">
        <v>172</v>
      </c>
      <c r="B193" s="59" t="s">
        <v>173</v>
      </c>
      <c r="C193" s="138">
        <v>870.96</v>
      </c>
      <c r="D193" s="138">
        <v>979.11</v>
      </c>
      <c r="E193" s="45">
        <v>2.0699999999999998</v>
      </c>
      <c r="F193" s="140" t="s">
        <v>843</v>
      </c>
    </row>
    <row r="194" spans="1:6">
      <c r="A194" s="142" t="s">
        <v>175</v>
      </c>
      <c r="B194" s="59" t="s">
        <v>176</v>
      </c>
      <c r="C194" s="138">
        <v>977.69</v>
      </c>
      <c r="D194" s="138">
        <v>948.42</v>
      </c>
      <c r="E194" s="45">
        <v>2.59</v>
      </c>
      <c r="F194" s="140" t="s">
        <v>843</v>
      </c>
    </row>
    <row r="195" spans="1:6">
      <c r="A195" s="142" t="s">
        <v>787</v>
      </c>
      <c r="B195" s="59" t="s">
        <v>788</v>
      </c>
      <c r="C195" s="138">
        <v>971.29</v>
      </c>
      <c r="D195" s="138">
        <v>702.01</v>
      </c>
      <c r="E195" s="45">
        <v>6.96</v>
      </c>
      <c r="F195" s="140" t="s">
        <v>843</v>
      </c>
    </row>
    <row r="196" spans="1:6">
      <c r="A196" s="142" t="s">
        <v>118</v>
      </c>
      <c r="B196" s="59" t="s">
        <v>119</v>
      </c>
      <c r="C196" s="138">
        <v>2690.68</v>
      </c>
      <c r="D196" s="138">
        <v>2713.69</v>
      </c>
      <c r="E196" s="45">
        <v>4.21</v>
      </c>
      <c r="F196" s="140" t="s">
        <v>842</v>
      </c>
    </row>
    <row r="197" spans="1:6">
      <c r="A197" s="142" t="s">
        <v>789</v>
      </c>
      <c r="B197" s="59" t="s">
        <v>790</v>
      </c>
      <c r="C197" s="138">
        <v>963.04</v>
      </c>
      <c r="D197" s="138">
        <v>895.82</v>
      </c>
      <c r="E197" s="45">
        <v>5.41</v>
      </c>
      <c r="F197" s="140" t="s">
        <v>843</v>
      </c>
    </row>
    <row r="198" spans="1:6">
      <c r="A198" s="142" t="s">
        <v>791</v>
      </c>
      <c r="B198" s="59" t="s">
        <v>792</v>
      </c>
      <c r="C198" s="138">
        <v>971.46</v>
      </c>
      <c r="D198" s="138">
        <v>967.88</v>
      </c>
      <c r="E198" s="45">
        <v>2.02</v>
      </c>
      <c r="F198" s="140" t="s">
        <v>843</v>
      </c>
    </row>
    <row r="199" spans="1:6">
      <c r="A199" s="142" t="s">
        <v>127</v>
      </c>
      <c r="B199" s="137" t="s">
        <v>128</v>
      </c>
      <c r="C199" s="138">
        <v>912.69</v>
      </c>
      <c r="D199" s="138">
        <v>978.65</v>
      </c>
      <c r="E199" s="45">
        <v>4.75</v>
      </c>
      <c r="F199" s="140" t="s">
        <v>843</v>
      </c>
    </row>
    <row r="200" spans="1:6">
      <c r="A200" s="142" t="s">
        <v>793</v>
      </c>
      <c r="B200" s="59" t="s">
        <v>794</v>
      </c>
      <c r="C200" s="138">
        <v>898</v>
      </c>
      <c r="D200" s="138">
        <v>942.43</v>
      </c>
      <c r="E200" s="45">
        <v>2.6</v>
      </c>
      <c r="F200" s="140" t="s">
        <v>843</v>
      </c>
    </row>
    <row r="201" spans="1:6">
      <c r="A201" s="142" t="s">
        <v>57</v>
      </c>
      <c r="B201" s="137" t="s">
        <v>58</v>
      </c>
      <c r="C201" s="138">
        <v>2721.93</v>
      </c>
      <c r="D201" s="138">
        <v>7572.95</v>
      </c>
      <c r="E201" s="45">
        <v>4.03</v>
      </c>
      <c r="F201" s="140" t="s">
        <v>842</v>
      </c>
    </row>
    <row r="202" spans="1:6">
      <c r="A202" s="142" t="s">
        <v>178</v>
      </c>
      <c r="B202" s="137" t="s">
        <v>179</v>
      </c>
      <c r="C202" s="138">
        <v>971.28</v>
      </c>
      <c r="D202" s="138">
        <v>903.7</v>
      </c>
      <c r="E202" s="45">
        <v>6.25</v>
      </c>
      <c r="F202" s="140" t="s">
        <v>843</v>
      </c>
    </row>
    <row r="203" spans="1:6">
      <c r="A203" s="142" t="s">
        <v>795</v>
      </c>
      <c r="B203" s="59" t="s">
        <v>796</v>
      </c>
      <c r="C203" s="138">
        <v>977.5</v>
      </c>
      <c r="D203" s="138">
        <v>977.49</v>
      </c>
      <c r="E203" s="45">
        <v>2.59</v>
      </c>
      <c r="F203" s="140" t="s">
        <v>843</v>
      </c>
    </row>
    <row r="204" spans="1:6">
      <c r="A204" s="142" t="s">
        <v>801</v>
      </c>
      <c r="B204" s="59" t="s">
        <v>802</v>
      </c>
      <c r="C204" s="138">
        <v>744.86</v>
      </c>
      <c r="D204" s="138">
        <v>980.58</v>
      </c>
      <c r="E204" s="45">
        <v>2.66</v>
      </c>
      <c r="F204" s="140" t="s">
        <v>843</v>
      </c>
    </row>
    <row r="205" spans="1:6">
      <c r="A205" s="142" t="s">
        <v>60</v>
      </c>
      <c r="B205" s="59" t="s">
        <v>61</v>
      </c>
      <c r="C205" s="138">
        <v>884.03</v>
      </c>
      <c r="D205" s="138">
        <v>820.13</v>
      </c>
      <c r="E205" s="45">
        <v>6.41</v>
      </c>
      <c r="F205" s="140" t="s">
        <v>843</v>
      </c>
    </row>
    <row r="206" spans="1:6">
      <c r="A206" s="142" t="s">
        <v>807</v>
      </c>
      <c r="B206" s="59" t="s">
        <v>808</v>
      </c>
      <c r="C206" s="138">
        <v>963.82</v>
      </c>
      <c r="D206" s="138">
        <v>965.86</v>
      </c>
      <c r="E206" s="45">
        <v>2.12</v>
      </c>
      <c r="F206" s="140" t="s">
        <v>843</v>
      </c>
    </row>
    <row r="207" spans="1:6">
      <c r="A207" s="142" t="s">
        <v>63</v>
      </c>
      <c r="B207" s="59" t="s">
        <v>64</v>
      </c>
      <c r="C207" s="138">
        <v>981.84</v>
      </c>
      <c r="D207" s="138">
        <v>709.96</v>
      </c>
      <c r="E207" s="45">
        <v>6.52</v>
      </c>
      <c r="F207" s="140" t="s">
        <v>843</v>
      </c>
    </row>
    <row r="208" spans="1:6">
      <c r="A208" s="142" t="s">
        <v>66</v>
      </c>
      <c r="B208" s="59" t="s">
        <v>67</v>
      </c>
      <c r="C208" s="138">
        <v>802.62</v>
      </c>
      <c r="D208" s="138">
        <v>962.27</v>
      </c>
      <c r="E208" s="45">
        <v>2.4700000000000002</v>
      </c>
      <c r="F208" s="140" t="s">
        <v>843</v>
      </c>
    </row>
    <row r="209" spans="1:6">
      <c r="A209" s="142" t="s">
        <v>386</v>
      </c>
      <c r="B209" s="59" t="s">
        <v>387</v>
      </c>
      <c r="C209" s="138">
        <v>997.86</v>
      </c>
      <c r="D209" s="138">
        <v>982.1</v>
      </c>
      <c r="E209" s="45">
        <v>2.2400000000000002</v>
      </c>
      <c r="F209" s="140" t="s">
        <v>843</v>
      </c>
    </row>
    <row r="210" spans="1:6">
      <c r="A210" s="142" t="s">
        <v>39</v>
      </c>
      <c r="B210" s="59" t="s">
        <v>40</v>
      </c>
      <c r="C210" s="138">
        <v>919.98</v>
      </c>
      <c r="D210" s="138">
        <v>957.64</v>
      </c>
      <c r="E210" s="45">
        <v>7.06</v>
      </c>
      <c r="F210" s="140" t="s">
        <v>843</v>
      </c>
    </row>
    <row r="211" spans="1:6">
      <c r="A211" s="142" t="s">
        <v>265</v>
      </c>
      <c r="B211" s="137" t="s">
        <v>266</v>
      </c>
      <c r="C211" s="138">
        <v>2710.42</v>
      </c>
      <c r="D211" s="138">
        <v>2700.95</v>
      </c>
      <c r="E211" s="45">
        <v>4.08</v>
      </c>
      <c r="F211" s="140" t="s">
        <v>842</v>
      </c>
    </row>
    <row r="212" spans="1:6">
      <c r="A212" s="142" t="s">
        <v>184</v>
      </c>
      <c r="B212" s="59" t="s">
        <v>185</v>
      </c>
      <c r="C212" s="138">
        <v>932.39</v>
      </c>
      <c r="D212" s="138">
        <v>957.46</v>
      </c>
      <c r="E212" s="45">
        <v>2.99</v>
      </c>
      <c r="F212" s="140" t="s">
        <v>843</v>
      </c>
    </row>
    <row r="213" spans="1:6">
      <c r="A213" s="142" t="s">
        <v>811</v>
      </c>
      <c r="B213" s="59" t="s">
        <v>812</v>
      </c>
      <c r="C213" s="138">
        <v>922.08</v>
      </c>
      <c r="D213" s="138">
        <v>780.37</v>
      </c>
      <c r="E213" s="45">
        <v>6.83</v>
      </c>
      <c r="F213" s="140" t="s">
        <v>843</v>
      </c>
    </row>
    <row r="214" spans="1:6">
      <c r="A214" s="142" t="s">
        <v>187</v>
      </c>
      <c r="B214" s="137" t="s">
        <v>188</v>
      </c>
      <c r="C214" s="138">
        <v>841.21</v>
      </c>
      <c r="D214" s="138">
        <v>811.14</v>
      </c>
      <c r="E214" s="45">
        <v>4.9800000000000004</v>
      </c>
      <c r="F214" s="140" t="s">
        <v>843</v>
      </c>
    </row>
    <row r="215" spans="1:6">
      <c r="A215" s="142" t="s">
        <v>518</v>
      </c>
      <c r="B215" s="59" t="s">
        <v>519</v>
      </c>
      <c r="C215" s="138">
        <v>2695.08</v>
      </c>
      <c r="D215" s="138">
        <v>2676.93</v>
      </c>
      <c r="E215" s="45">
        <v>3.97</v>
      </c>
      <c r="F215" s="140" t="s">
        <v>842</v>
      </c>
    </row>
    <row r="216" spans="1:6">
      <c r="A216" s="142" t="s">
        <v>190</v>
      </c>
      <c r="B216" s="137" t="s">
        <v>191</v>
      </c>
      <c r="C216" s="138">
        <v>950.41</v>
      </c>
      <c r="D216" s="138">
        <v>906.78</v>
      </c>
      <c r="E216" s="45">
        <v>8.3000000000000007</v>
      </c>
      <c r="F216" s="140" t="s">
        <v>843</v>
      </c>
    </row>
    <row r="217" spans="1:6">
      <c r="A217" s="142" t="s">
        <v>42</v>
      </c>
      <c r="B217" s="59" t="s">
        <v>43</v>
      </c>
      <c r="C217" s="138">
        <v>2706.51</v>
      </c>
      <c r="D217" s="138">
        <v>2668.75</v>
      </c>
      <c r="E217" s="45">
        <v>4.37</v>
      </c>
      <c r="F217" s="140" t="s">
        <v>842</v>
      </c>
    </row>
    <row r="218" spans="1:6">
      <c r="A218" s="142" t="s">
        <v>84</v>
      </c>
      <c r="B218" s="59" t="s">
        <v>85</v>
      </c>
      <c r="C218" s="138">
        <v>982.74</v>
      </c>
      <c r="D218" s="138">
        <v>706.1</v>
      </c>
      <c r="E218" s="45">
        <v>6.42</v>
      </c>
      <c r="F218" s="140" t="s">
        <v>843</v>
      </c>
    </row>
    <row r="219" spans="1:6">
      <c r="A219" s="142" t="s">
        <v>69</v>
      </c>
      <c r="B219" s="59" t="s">
        <v>70</v>
      </c>
      <c r="C219" s="138">
        <v>1002.34</v>
      </c>
      <c r="D219" s="138">
        <v>831.22</v>
      </c>
      <c r="E219" s="45">
        <v>4.5199999999999996</v>
      </c>
      <c r="F219" s="140" t="s">
        <v>843</v>
      </c>
    </row>
    <row r="220" spans="1:6">
      <c r="A220" s="142" t="s">
        <v>389</v>
      </c>
      <c r="B220" s="59" t="s">
        <v>390</v>
      </c>
      <c r="C220" s="138">
        <v>2724.59</v>
      </c>
      <c r="D220" s="138">
        <v>4824.76</v>
      </c>
      <c r="E220" s="45">
        <v>4.17</v>
      </c>
      <c r="F220" s="140" t="s">
        <v>842</v>
      </c>
    </row>
    <row r="221" spans="1:6">
      <c r="A221" s="142" t="s">
        <v>521</v>
      </c>
      <c r="B221" s="59" t="s">
        <v>522</v>
      </c>
      <c r="C221" s="138">
        <v>975.96</v>
      </c>
      <c r="D221" s="138">
        <v>966.41</v>
      </c>
      <c r="E221" s="45">
        <v>1.89</v>
      </c>
      <c r="F221" s="140" t="s">
        <v>843</v>
      </c>
    </row>
    <row r="222" spans="1:6">
      <c r="A222" s="142" t="s">
        <v>268</v>
      </c>
      <c r="B222" s="59" t="s">
        <v>269</v>
      </c>
      <c r="C222" s="138">
        <v>811.52</v>
      </c>
      <c r="D222" s="138">
        <v>969.98</v>
      </c>
      <c r="E222" s="45">
        <v>2.4</v>
      </c>
      <c r="F222" s="140" t="s">
        <v>843</v>
      </c>
    </row>
    <row r="223" spans="1:6">
      <c r="A223" s="142" t="s">
        <v>815</v>
      </c>
      <c r="B223" s="59" t="s">
        <v>816</v>
      </c>
      <c r="C223" s="138">
        <v>955.84</v>
      </c>
      <c r="D223" s="138">
        <v>972.73</v>
      </c>
      <c r="E223" s="45">
        <v>1.83</v>
      </c>
      <c r="F223" s="140" t="s">
        <v>843</v>
      </c>
    </row>
    <row r="224" spans="1:6">
      <c r="A224" s="142" t="s">
        <v>72</v>
      </c>
      <c r="B224" s="59" t="s">
        <v>73</v>
      </c>
      <c r="C224" s="138">
        <v>2733.2</v>
      </c>
      <c r="D224" s="138">
        <v>2697.38</v>
      </c>
      <c r="E224" s="45">
        <v>4.0199999999999996</v>
      </c>
      <c r="F224" s="140" t="s">
        <v>842</v>
      </c>
    </row>
    <row r="225" spans="1:6">
      <c r="A225" s="142" t="s">
        <v>392</v>
      </c>
      <c r="B225" s="59" t="s">
        <v>393</v>
      </c>
      <c r="C225" s="138">
        <v>1000.01</v>
      </c>
      <c r="D225" s="138">
        <v>970.07</v>
      </c>
      <c r="E225" s="45">
        <v>2.0499999999999998</v>
      </c>
      <c r="F225" s="140" t="s">
        <v>843</v>
      </c>
    </row>
    <row r="226" spans="1:6">
      <c r="A226" s="142" t="s">
        <v>819</v>
      </c>
      <c r="B226" s="137" t="s">
        <v>820</v>
      </c>
      <c r="C226" s="138">
        <v>870.92</v>
      </c>
      <c r="D226" s="138">
        <v>811.3</v>
      </c>
      <c r="E226" s="45">
        <v>5.34</v>
      </c>
      <c r="F226" s="140" t="s">
        <v>843</v>
      </c>
    </row>
    <row r="227" spans="1:6">
      <c r="A227" s="142" t="s">
        <v>821</v>
      </c>
      <c r="B227" s="59" t="s">
        <v>822</v>
      </c>
      <c r="C227" s="138">
        <v>967.47</v>
      </c>
      <c r="D227" s="138">
        <v>721.82</v>
      </c>
      <c r="E227" s="45">
        <v>7.72</v>
      </c>
      <c r="F227" s="140" t="s">
        <v>843</v>
      </c>
    </row>
    <row r="228" spans="1:6">
      <c r="A228" s="142" t="s">
        <v>524</v>
      </c>
      <c r="B228" s="59" t="s">
        <v>525</v>
      </c>
      <c r="C228" s="138">
        <v>974.1</v>
      </c>
      <c r="D228" s="138">
        <v>977.88</v>
      </c>
      <c r="E228" s="45">
        <v>2.27</v>
      </c>
      <c r="F228" s="140" t="s">
        <v>843</v>
      </c>
    </row>
    <row r="229" spans="1:6">
      <c r="A229" s="142" t="s">
        <v>45</v>
      </c>
      <c r="B229" s="137" t="s">
        <v>46</v>
      </c>
      <c r="C229" s="138">
        <v>2670.41</v>
      </c>
      <c r="D229" s="138">
        <v>2724.18</v>
      </c>
      <c r="E229" s="45">
        <v>4.17</v>
      </c>
      <c r="F229" s="140" t="s">
        <v>842</v>
      </c>
    </row>
    <row r="230" spans="1:6">
      <c r="A230" s="142" t="s">
        <v>193</v>
      </c>
      <c r="B230" s="59" t="s">
        <v>194</v>
      </c>
      <c r="C230" s="138">
        <v>984.02</v>
      </c>
      <c r="D230" s="138">
        <v>868</v>
      </c>
      <c r="E230" s="45">
        <v>5.29</v>
      </c>
      <c r="F230" s="140" t="s">
        <v>843</v>
      </c>
    </row>
    <row r="231" spans="1:6">
      <c r="A231" s="142" t="s">
        <v>196</v>
      </c>
      <c r="B231" s="59" t="s">
        <v>197</v>
      </c>
      <c r="C231" s="138">
        <v>980.26</v>
      </c>
      <c r="D231" s="138">
        <v>916.34</v>
      </c>
      <c r="E231" s="45">
        <v>2.31</v>
      </c>
      <c r="F231" s="140" t="s">
        <v>843</v>
      </c>
    </row>
    <row r="232" spans="1:6">
      <c r="A232" s="142" t="s">
        <v>527</v>
      </c>
      <c r="B232" s="137" t="s">
        <v>528</v>
      </c>
      <c r="C232" s="138">
        <v>4967.88</v>
      </c>
      <c r="D232" s="138">
        <v>4971.59</v>
      </c>
      <c r="E232" s="45">
        <v>5.92</v>
      </c>
      <c r="F232" s="140" t="s">
        <v>844</v>
      </c>
    </row>
    <row r="233" spans="1:6">
      <c r="A233" s="142" t="s">
        <v>75</v>
      </c>
      <c r="B233" s="137" t="s">
        <v>76</v>
      </c>
      <c r="C233" s="138">
        <v>2743.51</v>
      </c>
      <c r="D233" s="138">
        <v>2707.19</v>
      </c>
      <c r="E233" s="45">
        <v>4.5999999999999996</v>
      </c>
      <c r="F233" s="140" t="s">
        <v>842</v>
      </c>
    </row>
    <row r="234" spans="1:6">
      <c r="A234" s="142" t="s">
        <v>833</v>
      </c>
      <c r="B234" s="59" t="s">
        <v>834</v>
      </c>
      <c r="C234" s="138">
        <v>732.13</v>
      </c>
      <c r="D234" s="138">
        <v>962.26</v>
      </c>
      <c r="E234" s="45">
        <v>2.14</v>
      </c>
      <c r="F234" s="140" t="s">
        <v>843</v>
      </c>
    </row>
    <row r="235" spans="1:6">
      <c r="A235" s="142" t="s">
        <v>837</v>
      </c>
      <c r="B235" s="137" t="s">
        <v>838</v>
      </c>
      <c r="C235" s="138">
        <v>945.61</v>
      </c>
      <c r="D235" s="138">
        <v>927.53</v>
      </c>
      <c r="E235" s="45">
        <v>4.9000000000000004</v>
      </c>
      <c r="F235" s="140" t="s">
        <v>843</v>
      </c>
    </row>
    <row r="236" spans="1:6">
      <c r="A236" s="142" t="s">
        <v>530</v>
      </c>
      <c r="B236" s="59" t="s">
        <v>531</v>
      </c>
      <c r="C236" s="138">
        <v>2706.2</v>
      </c>
      <c r="D236" s="138">
        <v>2693.48</v>
      </c>
      <c r="E236" s="45">
        <v>5.14</v>
      </c>
      <c r="F236" s="140" t="s">
        <v>842</v>
      </c>
    </row>
    <row r="237" spans="1:6">
      <c r="A237" s="142" t="s">
        <v>407</v>
      </c>
      <c r="B237" s="45" t="s">
        <v>408</v>
      </c>
      <c r="C237" s="138">
        <v>2595.1</v>
      </c>
      <c r="D237" s="138">
        <v>2619.3000000000002</v>
      </c>
      <c r="E237" s="45">
        <v>4.6100000000000003</v>
      </c>
      <c r="F237" s="140" t="s">
        <v>842</v>
      </c>
    </row>
    <row r="238" spans="1:6">
      <c r="A238" s="142" t="s">
        <v>615</v>
      </c>
      <c r="B238" s="45" t="s">
        <v>616</v>
      </c>
      <c r="C238" s="138">
        <v>2328.8000000000002</v>
      </c>
      <c r="D238" s="138">
        <v>2398.1999999999998</v>
      </c>
      <c r="E238" s="45">
        <v>5.5</v>
      </c>
      <c r="F238" s="140" t="s">
        <v>842</v>
      </c>
    </row>
    <row r="239" spans="1:6">
      <c r="A239" s="142" t="s">
        <v>298</v>
      </c>
      <c r="B239" s="45" t="s">
        <v>299</v>
      </c>
      <c r="C239" s="138">
        <v>2003.5</v>
      </c>
      <c r="D239" s="138">
        <v>2332.4</v>
      </c>
      <c r="E239" s="45">
        <v>4.22</v>
      </c>
      <c r="F239" s="140" t="s">
        <v>842</v>
      </c>
    </row>
    <row r="240" spans="1:6">
      <c r="A240" s="142" t="s">
        <v>145</v>
      </c>
      <c r="B240" s="45" t="s">
        <v>146</v>
      </c>
      <c r="C240" s="138">
        <v>2500.8000000000002</v>
      </c>
      <c r="D240" s="138">
        <v>2428.4</v>
      </c>
      <c r="E240" s="45">
        <v>4.1399999999999997</v>
      </c>
      <c r="F240" s="140" t="s">
        <v>842</v>
      </c>
    </row>
    <row r="241" spans="1:6">
      <c r="A241" s="142" t="s">
        <v>617</v>
      </c>
      <c r="B241" s="45" t="s">
        <v>618</v>
      </c>
      <c r="C241" s="138">
        <v>2303.6999999999998</v>
      </c>
      <c r="D241" s="138">
        <v>2035.3</v>
      </c>
      <c r="E241" s="45">
        <v>5.1100000000000003</v>
      </c>
      <c r="F241" s="140" t="s">
        <v>842</v>
      </c>
    </row>
    <row r="242" spans="1:6">
      <c r="A242" s="142" t="s">
        <v>619</v>
      </c>
      <c r="B242" s="45" t="s">
        <v>620</v>
      </c>
      <c r="C242" s="138">
        <v>2191.6</v>
      </c>
      <c r="D242" s="138">
        <v>2106</v>
      </c>
      <c r="E242" s="45">
        <v>5.87</v>
      </c>
      <c r="F242" s="140" t="s">
        <v>842</v>
      </c>
    </row>
    <row r="243" spans="1:6">
      <c r="A243" s="142" t="s">
        <v>202</v>
      </c>
      <c r="B243" s="45" t="s">
        <v>203</v>
      </c>
      <c r="C243" s="138">
        <v>2023.2</v>
      </c>
      <c r="D243" s="138">
        <v>2207.1</v>
      </c>
      <c r="E243" s="45">
        <v>5.53</v>
      </c>
      <c r="F243" s="140" t="s">
        <v>842</v>
      </c>
    </row>
    <row r="244" spans="1:6">
      <c r="A244" s="142" t="s">
        <v>136</v>
      </c>
      <c r="B244" s="45" t="s">
        <v>137</v>
      </c>
      <c r="C244" s="138">
        <v>2347.1</v>
      </c>
      <c r="D244" s="138">
        <v>2115.1999999999998</v>
      </c>
      <c r="E244" s="45">
        <v>5.91</v>
      </c>
      <c r="F244" s="140" t="s">
        <v>842</v>
      </c>
    </row>
    <row r="245" spans="1:6">
      <c r="A245" s="142" t="s">
        <v>625</v>
      </c>
      <c r="B245" s="45" t="s">
        <v>626</v>
      </c>
      <c r="C245" s="138">
        <v>2376.3000000000002</v>
      </c>
      <c r="D245" s="138">
        <v>2557.5</v>
      </c>
      <c r="E245" s="45">
        <v>6.18</v>
      </c>
      <c r="F245" s="140" t="s">
        <v>842</v>
      </c>
    </row>
    <row r="246" spans="1:6">
      <c r="A246" s="142" t="s">
        <v>637</v>
      </c>
      <c r="B246" s="45" t="s">
        <v>638</v>
      </c>
      <c r="C246" s="138">
        <v>2234.1999999999998</v>
      </c>
      <c r="D246" s="138">
        <v>2162.3000000000002</v>
      </c>
      <c r="E246" s="45">
        <v>5.35</v>
      </c>
      <c r="F246" s="140" t="s">
        <v>842</v>
      </c>
    </row>
    <row r="247" spans="1:6">
      <c r="A247" s="142" t="s">
        <v>649</v>
      </c>
      <c r="B247" s="45" t="s">
        <v>650</v>
      </c>
      <c r="C247" s="138">
        <v>2542</v>
      </c>
      <c r="D247" s="138">
        <v>2062.3000000000002</v>
      </c>
      <c r="E247" s="45">
        <v>5.8</v>
      </c>
      <c r="F247" s="140" t="s">
        <v>842</v>
      </c>
    </row>
    <row r="248" spans="1:6">
      <c r="A248" s="142" t="s">
        <v>437</v>
      </c>
      <c r="B248" s="45" t="s">
        <v>438</v>
      </c>
      <c r="C248" s="138">
        <v>2085.6</v>
      </c>
      <c r="D248" s="138">
        <v>2247.6999999999998</v>
      </c>
      <c r="E248" s="45">
        <v>4.9800000000000004</v>
      </c>
      <c r="F248" s="140" t="s">
        <v>842</v>
      </c>
    </row>
    <row r="249" spans="1:6">
      <c r="A249" s="142" t="s">
        <v>657</v>
      </c>
      <c r="B249" s="45" t="s">
        <v>658</v>
      </c>
      <c r="C249" s="138">
        <v>2490.5</v>
      </c>
      <c r="D249" s="138">
        <v>2507.8000000000002</v>
      </c>
      <c r="E249" s="45">
        <v>4.76</v>
      </c>
      <c r="F249" s="140" t="s">
        <v>842</v>
      </c>
    </row>
    <row r="250" spans="1:6">
      <c r="A250" s="142" t="s">
        <v>663</v>
      </c>
      <c r="B250" s="45" t="s">
        <v>664</v>
      </c>
      <c r="C250" s="138">
        <v>2218.9</v>
      </c>
      <c r="D250" s="138">
        <v>2145.5</v>
      </c>
      <c r="E250" s="45">
        <v>5.0199999999999996</v>
      </c>
      <c r="F250" s="140" t="s">
        <v>842</v>
      </c>
    </row>
    <row r="251" spans="1:6">
      <c r="A251" s="142" t="s">
        <v>673</v>
      </c>
      <c r="B251" s="45" t="s">
        <v>674</v>
      </c>
      <c r="C251" s="138">
        <v>2245.6</v>
      </c>
      <c r="D251" s="138">
        <v>2352.4</v>
      </c>
      <c r="E251" s="45">
        <v>4.17</v>
      </c>
      <c r="F251" s="140" t="s">
        <v>842</v>
      </c>
    </row>
    <row r="252" spans="1:6">
      <c r="A252" s="142" t="s">
        <v>681</v>
      </c>
      <c r="B252" s="45" t="s">
        <v>682</v>
      </c>
      <c r="C252" s="138">
        <v>2496.1</v>
      </c>
      <c r="D252" s="138">
        <v>2369.8000000000002</v>
      </c>
      <c r="E252" s="45">
        <v>4.87</v>
      </c>
      <c r="F252" s="140" t="s">
        <v>842</v>
      </c>
    </row>
    <row r="253" spans="1:6">
      <c r="A253" s="142" t="s">
        <v>685</v>
      </c>
      <c r="B253" s="45" t="s">
        <v>686</v>
      </c>
      <c r="C253" s="138">
        <v>2488.3000000000002</v>
      </c>
      <c r="D253" s="138">
        <v>2348.1999999999998</v>
      </c>
      <c r="E253" s="45">
        <v>4.5199999999999996</v>
      </c>
      <c r="F253" s="140" t="s">
        <v>842</v>
      </c>
    </row>
    <row r="254" spans="1:6">
      <c r="A254" s="142" t="s">
        <v>695</v>
      </c>
      <c r="B254" s="45" t="s">
        <v>696</v>
      </c>
      <c r="C254" s="138">
        <v>2615.3000000000002</v>
      </c>
      <c r="D254" s="138">
        <v>2236.1999999999998</v>
      </c>
      <c r="E254" s="45">
        <v>4.1900000000000004</v>
      </c>
      <c r="F254" s="140" t="s">
        <v>842</v>
      </c>
    </row>
    <row r="255" spans="1:6">
      <c r="A255" s="142" t="s">
        <v>229</v>
      </c>
      <c r="B255" s="45" t="s">
        <v>230</v>
      </c>
      <c r="C255" s="138">
        <v>2001.4</v>
      </c>
      <c r="D255" s="138">
        <v>2438.9</v>
      </c>
      <c r="E255" s="45">
        <v>5.14</v>
      </c>
      <c r="F255" s="140" t="s">
        <v>842</v>
      </c>
    </row>
    <row r="256" spans="1:6">
      <c r="A256" s="142" t="s">
        <v>703</v>
      </c>
      <c r="B256" s="45" t="s">
        <v>704</v>
      </c>
      <c r="C256" s="138">
        <v>2036.2</v>
      </c>
      <c r="D256" s="138">
        <v>2543.4</v>
      </c>
      <c r="E256" s="45">
        <v>5.08</v>
      </c>
      <c r="F256" s="140" t="s">
        <v>842</v>
      </c>
    </row>
    <row r="257" spans="1:6">
      <c r="A257" s="142" t="s">
        <v>707</v>
      </c>
      <c r="B257" s="45" t="s">
        <v>708</v>
      </c>
      <c r="C257" s="138">
        <v>2355.9</v>
      </c>
      <c r="D257" s="138">
        <v>2380.8000000000002</v>
      </c>
      <c r="E257" s="45">
        <v>2.34</v>
      </c>
      <c r="F257" s="140" t="s">
        <v>842</v>
      </c>
    </row>
    <row r="258" spans="1:6">
      <c r="A258" s="142" t="s">
        <v>713</v>
      </c>
      <c r="B258" s="45" t="s">
        <v>714</v>
      </c>
      <c r="C258" s="138">
        <v>2426.6</v>
      </c>
      <c r="D258" s="138">
        <v>2040</v>
      </c>
      <c r="E258" s="45">
        <v>5.09</v>
      </c>
      <c r="F258" s="140" t="s">
        <v>842</v>
      </c>
    </row>
    <row r="259" spans="1:6">
      <c r="A259" s="142" t="s">
        <v>715</v>
      </c>
      <c r="B259" s="45" t="s">
        <v>716</v>
      </c>
      <c r="C259" s="138">
        <v>2133.4</v>
      </c>
      <c r="D259" s="138">
        <v>2370.8000000000002</v>
      </c>
      <c r="E259" s="45">
        <v>5.76</v>
      </c>
      <c r="F259" s="140" t="s">
        <v>842</v>
      </c>
    </row>
    <row r="260" spans="1:6">
      <c r="A260" s="142" t="s">
        <v>232</v>
      </c>
      <c r="B260" s="45" t="s">
        <v>233</v>
      </c>
      <c r="C260" s="138">
        <v>2375.1</v>
      </c>
      <c r="D260" s="138">
        <v>2273.1999999999998</v>
      </c>
      <c r="E260" s="45">
        <v>5.14</v>
      </c>
      <c r="F260" s="140" t="s">
        <v>842</v>
      </c>
    </row>
    <row r="261" spans="1:6">
      <c r="A261" s="142" t="s">
        <v>721</v>
      </c>
      <c r="B261" s="45" t="s">
        <v>722</v>
      </c>
      <c r="C261" s="138">
        <v>2188.1999999999998</v>
      </c>
      <c r="D261" s="138">
        <v>2112.5</v>
      </c>
      <c r="E261" s="45">
        <v>5.46</v>
      </c>
      <c r="F261" s="140" t="s">
        <v>842</v>
      </c>
    </row>
    <row r="262" spans="1:6">
      <c r="A262" s="142" t="s">
        <v>725</v>
      </c>
      <c r="B262" s="45" t="s">
        <v>726</v>
      </c>
      <c r="C262" s="138">
        <v>2441.6</v>
      </c>
      <c r="D262" s="138">
        <v>2336.1</v>
      </c>
      <c r="E262" s="45">
        <v>5.22</v>
      </c>
      <c r="F262" s="140" t="s">
        <v>842</v>
      </c>
    </row>
    <row r="263" spans="1:6">
      <c r="A263" s="142" t="s">
        <v>729</v>
      </c>
      <c r="B263" s="45" t="s">
        <v>730</v>
      </c>
      <c r="C263" s="138">
        <v>2052.6999999999998</v>
      </c>
      <c r="D263" s="138">
        <v>2332.5</v>
      </c>
      <c r="E263" s="45">
        <v>5.27</v>
      </c>
      <c r="F263" s="140" t="s">
        <v>842</v>
      </c>
    </row>
    <row r="264" spans="1:6">
      <c r="A264" s="142" t="s">
        <v>737</v>
      </c>
      <c r="B264" s="45" t="s">
        <v>738</v>
      </c>
      <c r="C264" s="138">
        <v>2601.8000000000002</v>
      </c>
      <c r="D264" s="138">
        <v>2623.4</v>
      </c>
      <c r="E264" s="45">
        <v>5.32</v>
      </c>
      <c r="F264" s="140" t="s">
        <v>842</v>
      </c>
    </row>
    <row r="265" spans="1:6">
      <c r="A265" s="142" t="s">
        <v>739</v>
      </c>
      <c r="B265" s="45" t="s">
        <v>740</v>
      </c>
      <c r="C265" s="138">
        <v>2265.6999999999998</v>
      </c>
      <c r="D265" s="138">
        <v>2499.4</v>
      </c>
      <c r="E265" s="45">
        <v>4.5199999999999996</v>
      </c>
      <c r="F265" s="140" t="s">
        <v>842</v>
      </c>
    </row>
    <row r="266" spans="1:6">
      <c r="A266" s="142" t="s">
        <v>741</v>
      </c>
      <c r="B266" s="45" t="s">
        <v>742</v>
      </c>
      <c r="C266" s="138">
        <v>2607.8000000000002</v>
      </c>
      <c r="D266" s="138">
        <v>2347</v>
      </c>
      <c r="E266" s="45">
        <v>4.32</v>
      </c>
      <c r="F266" s="140" t="s">
        <v>842</v>
      </c>
    </row>
    <row r="267" spans="1:6">
      <c r="A267" s="142" t="s">
        <v>743</v>
      </c>
      <c r="B267" s="45" t="s">
        <v>744</v>
      </c>
      <c r="C267" s="138">
        <v>2261.1</v>
      </c>
      <c r="D267" s="138">
        <v>2387.6999999999998</v>
      </c>
      <c r="E267" s="45">
        <v>4.42</v>
      </c>
      <c r="F267" s="140" t="s">
        <v>842</v>
      </c>
    </row>
    <row r="268" spans="1:6">
      <c r="A268" s="142" t="s">
        <v>747</v>
      </c>
      <c r="B268" s="45" t="s">
        <v>748</v>
      </c>
      <c r="C268" s="138">
        <v>2473.3000000000002</v>
      </c>
      <c r="D268" s="138">
        <v>2265</v>
      </c>
      <c r="E268" s="45">
        <v>4.45</v>
      </c>
      <c r="F268" s="140" t="s">
        <v>842</v>
      </c>
    </row>
    <row r="269" spans="1:6">
      <c r="A269" s="142" t="s">
        <v>238</v>
      </c>
      <c r="B269" s="45" t="s">
        <v>239</v>
      </c>
      <c r="C269" s="138">
        <v>2458.8000000000002</v>
      </c>
      <c r="D269" s="138">
        <v>2178.8000000000002</v>
      </c>
      <c r="E269" s="45">
        <v>4.05</v>
      </c>
      <c r="F269" s="140" t="s">
        <v>842</v>
      </c>
    </row>
    <row r="270" spans="1:6">
      <c r="A270" s="142" t="s">
        <v>755</v>
      </c>
      <c r="B270" s="45" t="s">
        <v>756</v>
      </c>
      <c r="C270" s="138">
        <v>2604.6</v>
      </c>
      <c r="D270" s="138">
        <v>2360.3000000000002</v>
      </c>
      <c r="E270" s="45">
        <v>4.66</v>
      </c>
      <c r="F270" s="140" t="s">
        <v>842</v>
      </c>
    </row>
    <row r="271" spans="1:6">
      <c r="A271" s="142" t="s">
        <v>769</v>
      </c>
      <c r="B271" s="45" t="s">
        <v>770</v>
      </c>
      <c r="C271" s="138">
        <v>2525.6</v>
      </c>
      <c r="D271" s="138">
        <v>2036.2</v>
      </c>
      <c r="E271" s="45">
        <v>6.89</v>
      </c>
      <c r="F271" s="140" t="s">
        <v>842</v>
      </c>
    </row>
    <row r="272" spans="1:6">
      <c r="A272" s="142" t="s">
        <v>244</v>
      </c>
      <c r="B272" s="45" t="s">
        <v>245</v>
      </c>
      <c r="C272" s="138">
        <v>2352.9</v>
      </c>
      <c r="D272" s="138">
        <v>2343.6</v>
      </c>
      <c r="E272" s="45">
        <v>4.55</v>
      </c>
      <c r="F272" s="140" t="s">
        <v>842</v>
      </c>
    </row>
    <row r="273" spans="1:6">
      <c r="A273" s="142" t="s">
        <v>773</v>
      </c>
      <c r="B273" s="45" t="s">
        <v>774</v>
      </c>
      <c r="C273" s="138">
        <v>2176.3000000000002</v>
      </c>
      <c r="D273" s="138">
        <v>2214.3000000000002</v>
      </c>
      <c r="E273" s="45">
        <v>5.04</v>
      </c>
      <c r="F273" s="140" t="s">
        <v>842</v>
      </c>
    </row>
    <row r="274" spans="1:6">
      <c r="A274" s="142" t="s">
        <v>775</v>
      </c>
      <c r="B274" s="45" t="s">
        <v>776</v>
      </c>
      <c r="C274" s="138">
        <v>2234.1</v>
      </c>
      <c r="D274" s="138">
        <v>2079.9</v>
      </c>
      <c r="E274" s="45">
        <v>4.74</v>
      </c>
      <c r="F274" s="140" t="s">
        <v>842</v>
      </c>
    </row>
    <row r="275" spans="1:6">
      <c r="A275" s="142" t="s">
        <v>777</v>
      </c>
      <c r="B275" s="45" t="s">
        <v>778</v>
      </c>
      <c r="C275" s="138">
        <v>2094.8000000000002</v>
      </c>
      <c r="D275" s="138">
        <v>2279</v>
      </c>
      <c r="E275" s="45">
        <v>5.65</v>
      </c>
      <c r="F275" s="140" t="s">
        <v>842</v>
      </c>
    </row>
    <row r="276" spans="1:6">
      <c r="A276" s="142" t="s">
        <v>250</v>
      </c>
      <c r="B276" s="45" t="s">
        <v>251</v>
      </c>
      <c r="C276" s="138">
        <v>2211.3000000000002</v>
      </c>
      <c r="D276" s="138">
        <v>2620.5</v>
      </c>
      <c r="E276" s="45">
        <v>0</v>
      </c>
      <c r="F276" s="140" t="s">
        <v>842</v>
      </c>
    </row>
    <row r="277" spans="1:6">
      <c r="A277" s="142" t="s">
        <v>256</v>
      </c>
      <c r="B277" s="45" t="s">
        <v>257</v>
      </c>
      <c r="C277" s="138">
        <v>2428.3000000000002</v>
      </c>
      <c r="D277" s="138">
        <v>2529.4</v>
      </c>
      <c r="E277" s="45">
        <v>6.35</v>
      </c>
      <c r="F277" s="140" t="s">
        <v>842</v>
      </c>
    </row>
    <row r="278" spans="1:6">
      <c r="A278" s="142" t="s">
        <v>36</v>
      </c>
      <c r="B278" s="45" t="s">
        <v>37</v>
      </c>
      <c r="C278" s="138">
        <v>2396.9</v>
      </c>
      <c r="D278" s="138">
        <v>2553.3000000000002</v>
      </c>
      <c r="E278" s="45">
        <v>6.57</v>
      </c>
      <c r="F278" s="140" t="s">
        <v>842</v>
      </c>
    </row>
    <row r="279" spans="1:6">
      <c r="A279" s="142" t="s">
        <v>262</v>
      </c>
      <c r="B279" s="45" t="s">
        <v>263</v>
      </c>
      <c r="C279" s="138">
        <v>2166.1</v>
      </c>
      <c r="D279" s="138">
        <v>2172.6999999999998</v>
      </c>
      <c r="E279" s="45">
        <v>5.61</v>
      </c>
      <c r="F279" s="140" t="s">
        <v>842</v>
      </c>
    </row>
    <row r="280" spans="1:6">
      <c r="A280" s="142" t="s">
        <v>54</v>
      </c>
      <c r="B280" s="45" t="s">
        <v>55</v>
      </c>
      <c r="C280" s="138">
        <v>2485.1999999999998</v>
      </c>
      <c r="D280" s="138">
        <v>2034.5</v>
      </c>
      <c r="E280" s="45">
        <v>4.8</v>
      </c>
      <c r="F280" s="140" t="s">
        <v>842</v>
      </c>
    </row>
    <row r="281" spans="1:6">
      <c r="A281" s="142" t="s">
        <v>797</v>
      </c>
      <c r="B281" s="45" t="s">
        <v>798</v>
      </c>
      <c r="C281" s="138">
        <v>2274.8000000000002</v>
      </c>
      <c r="D281" s="138">
        <v>1992.9</v>
      </c>
      <c r="E281" s="45">
        <v>6.11</v>
      </c>
      <c r="F281" s="140" t="s">
        <v>842</v>
      </c>
    </row>
    <row r="282" spans="1:6">
      <c r="A282" s="142" t="s">
        <v>87</v>
      </c>
      <c r="B282" s="45" t="s">
        <v>88</v>
      </c>
      <c r="C282" s="138">
        <v>2211.1</v>
      </c>
      <c r="D282" s="138">
        <v>2138</v>
      </c>
      <c r="E282" s="45">
        <v>6.02</v>
      </c>
      <c r="F282" s="140" t="s">
        <v>842</v>
      </c>
    </row>
    <row r="283" spans="1:6">
      <c r="A283" s="142" t="s">
        <v>817</v>
      </c>
      <c r="B283" s="45" t="s">
        <v>818</v>
      </c>
      <c r="C283" s="138">
        <v>2124.4</v>
      </c>
      <c r="D283" s="138">
        <v>2029.6</v>
      </c>
      <c r="E283" s="45">
        <v>6.55</v>
      </c>
      <c r="F283" s="140" t="s">
        <v>842</v>
      </c>
    </row>
    <row r="284" spans="1:6">
      <c r="A284" s="142" t="s">
        <v>823</v>
      </c>
      <c r="B284" s="45" t="s">
        <v>824</v>
      </c>
      <c r="C284" s="138">
        <v>2156.4</v>
      </c>
      <c r="D284" s="138">
        <v>2300.4</v>
      </c>
      <c r="E284" s="45">
        <v>5.39</v>
      </c>
      <c r="F284" s="140" t="s">
        <v>842</v>
      </c>
    </row>
    <row r="285" spans="1:6">
      <c r="A285" s="142" t="s">
        <v>825</v>
      </c>
      <c r="B285" s="45" t="s">
        <v>826</v>
      </c>
      <c r="C285" s="138">
        <v>2001.5</v>
      </c>
      <c r="D285" s="138">
        <v>2109</v>
      </c>
      <c r="E285" s="45">
        <v>5.55</v>
      </c>
      <c r="F285" s="140" t="s">
        <v>842</v>
      </c>
    </row>
    <row r="286" spans="1:6">
      <c r="A286" s="142" t="s">
        <v>827</v>
      </c>
      <c r="B286" s="45" t="s">
        <v>828</v>
      </c>
      <c r="C286" s="138">
        <v>2528.3000000000002</v>
      </c>
      <c r="D286" s="138">
        <v>2094.6999999999998</v>
      </c>
      <c r="E286" s="45">
        <v>4.92</v>
      </c>
      <c r="F286" s="140" t="s">
        <v>842</v>
      </c>
    </row>
    <row r="287" spans="1:6">
      <c r="A287" s="142" t="s">
        <v>829</v>
      </c>
      <c r="B287" s="45" t="s">
        <v>830</v>
      </c>
      <c r="C287" s="138">
        <v>2545.6999999999998</v>
      </c>
      <c r="D287" s="138">
        <v>2582.1999999999998</v>
      </c>
      <c r="E287" s="45">
        <v>4.49</v>
      </c>
      <c r="F287" s="140" t="s">
        <v>842</v>
      </c>
    </row>
    <row r="288" spans="1:6">
      <c r="A288" s="142" t="s">
        <v>831</v>
      </c>
      <c r="B288" s="45" t="s">
        <v>832</v>
      </c>
      <c r="C288" s="138">
        <v>2573.6</v>
      </c>
      <c r="D288" s="138">
        <v>2441.1</v>
      </c>
      <c r="E288" s="45">
        <v>5.0599999999999996</v>
      </c>
      <c r="F288" s="140" t="s">
        <v>842</v>
      </c>
    </row>
    <row r="289" spans="1:6">
      <c r="A289" s="142" t="s">
        <v>283</v>
      </c>
      <c r="B289" s="45" t="s">
        <v>284</v>
      </c>
      <c r="C289" s="138">
        <v>970.49</v>
      </c>
      <c r="D289" s="138">
        <v>766.81</v>
      </c>
      <c r="E289" s="45">
        <v>5.67</v>
      </c>
      <c r="F289" s="140" t="s">
        <v>843</v>
      </c>
    </row>
    <row r="290" spans="1:6">
      <c r="A290" s="142" t="s">
        <v>10</v>
      </c>
      <c r="B290" s="45" t="s">
        <v>11</v>
      </c>
      <c r="C290" s="138">
        <v>952.74</v>
      </c>
      <c r="D290" s="138">
        <v>756.08</v>
      </c>
      <c r="E290" s="45">
        <v>5.69</v>
      </c>
      <c r="F290" s="140" t="s">
        <v>843</v>
      </c>
    </row>
    <row r="291" spans="1:6">
      <c r="A291" s="142" t="s">
        <v>205</v>
      </c>
      <c r="B291" s="45" t="s">
        <v>206</v>
      </c>
      <c r="C291" s="138">
        <v>936.49</v>
      </c>
      <c r="D291" s="138">
        <v>837.09</v>
      </c>
      <c r="E291" s="45">
        <v>7.75</v>
      </c>
      <c r="F291" s="140" t="s">
        <v>843</v>
      </c>
    </row>
    <row r="292" spans="1:6">
      <c r="A292" s="142" t="s">
        <v>667</v>
      </c>
      <c r="B292" s="45" t="s">
        <v>668</v>
      </c>
      <c r="C292" s="138">
        <v>972.89</v>
      </c>
      <c r="D292" s="138">
        <v>883.2</v>
      </c>
      <c r="E292" s="45">
        <v>5.67</v>
      </c>
      <c r="F292" s="140" t="s">
        <v>843</v>
      </c>
    </row>
    <row r="293" spans="1:6">
      <c r="A293" s="142" t="s">
        <v>220</v>
      </c>
      <c r="B293" s="45" t="s">
        <v>221</v>
      </c>
      <c r="C293" s="138">
        <v>957.8</v>
      </c>
      <c r="D293" s="138">
        <v>950.98</v>
      </c>
      <c r="E293" s="45">
        <v>6.25</v>
      </c>
      <c r="F293" s="140" t="s">
        <v>843</v>
      </c>
    </row>
    <row r="294" spans="1:6">
      <c r="A294" s="142" t="s">
        <v>671</v>
      </c>
      <c r="B294" s="45" t="s">
        <v>672</v>
      </c>
      <c r="C294" s="138">
        <v>958.95</v>
      </c>
      <c r="D294" s="138">
        <v>835.08</v>
      </c>
      <c r="E294" s="45">
        <v>4.87</v>
      </c>
      <c r="F294" s="140" t="s">
        <v>843</v>
      </c>
    </row>
    <row r="295" spans="1:6">
      <c r="A295" s="142" t="s">
        <v>679</v>
      </c>
      <c r="B295" s="45" t="s">
        <v>680</v>
      </c>
      <c r="C295" s="138">
        <v>972.12</v>
      </c>
      <c r="D295" s="138">
        <v>831.02</v>
      </c>
      <c r="E295" s="45">
        <v>6.75</v>
      </c>
      <c r="F295" s="140" t="s">
        <v>843</v>
      </c>
    </row>
    <row r="296" spans="1:6">
      <c r="A296" s="142" t="s">
        <v>709</v>
      </c>
      <c r="B296" s="45" t="s">
        <v>710</v>
      </c>
      <c r="C296" s="138">
        <v>977.14</v>
      </c>
      <c r="D296" s="138">
        <v>733.31</v>
      </c>
      <c r="E296" s="45">
        <v>5.63</v>
      </c>
      <c r="F296" s="140" t="s">
        <v>843</v>
      </c>
    </row>
    <row r="297" spans="1:6">
      <c r="A297" s="142" t="s">
        <v>783</v>
      </c>
      <c r="B297" s="45" t="s">
        <v>784</v>
      </c>
      <c r="C297" s="138">
        <v>914.35</v>
      </c>
      <c r="D297" s="138">
        <v>855.99</v>
      </c>
      <c r="E297" s="45">
        <v>6.51</v>
      </c>
      <c r="F297" s="140" t="s">
        <v>843</v>
      </c>
    </row>
    <row r="298" spans="1:6">
      <c r="A298" s="142" t="s">
        <v>259</v>
      </c>
      <c r="B298" s="45" t="s">
        <v>260</v>
      </c>
      <c r="C298" s="138">
        <v>921.61</v>
      </c>
      <c r="D298" s="138">
        <v>899.55</v>
      </c>
      <c r="E298" s="45">
        <v>6.8</v>
      </c>
      <c r="F298" s="140" t="s">
        <v>843</v>
      </c>
    </row>
    <row r="299" spans="1:6">
      <c r="A299" s="142" t="s">
        <v>803</v>
      </c>
      <c r="B299" s="45" t="s">
        <v>804</v>
      </c>
      <c r="C299" s="138">
        <v>969.34</v>
      </c>
      <c r="D299" s="138">
        <v>937.84</v>
      </c>
      <c r="E299" s="45">
        <v>6.14</v>
      </c>
      <c r="F299" s="140" t="s">
        <v>843</v>
      </c>
    </row>
    <row r="300" spans="1:6">
      <c r="A300" s="142" t="s">
        <v>181</v>
      </c>
      <c r="B300" s="45" t="s">
        <v>182</v>
      </c>
      <c r="C300" s="138">
        <v>944.71</v>
      </c>
      <c r="D300" s="138">
        <v>866.77</v>
      </c>
      <c r="E300" s="45">
        <v>5.26</v>
      </c>
      <c r="F300" s="140" t="s">
        <v>843</v>
      </c>
    </row>
    <row r="301" spans="1:6">
      <c r="A301" s="142" t="s">
        <v>835</v>
      </c>
      <c r="B301" s="45" t="s">
        <v>836</v>
      </c>
      <c r="C301" s="138">
        <v>960.4</v>
      </c>
      <c r="D301" s="138">
        <v>879.73</v>
      </c>
      <c r="E301" s="45">
        <v>5.0599999999999996</v>
      </c>
      <c r="F301" s="140" t="s">
        <v>843</v>
      </c>
    </row>
    <row r="302" spans="1:6">
      <c r="C302" s="17"/>
      <c r="D302" s="17"/>
      <c r="E302" s="18"/>
    </row>
    <row r="303" spans="1:6">
      <c r="C303" s="17"/>
      <c r="D303" s="17"/>
      <c r="E303" s="18"/>
    </row>
    <row r="304" spans="1:6">
      <c r="C304" s="17"/>
      <c r="D304" s="17"/>
      <c r="E304" s="18"/>
    </row>
    <row r="305" spans="3:5">
      <c r="C305" s="17"/>
      <c r="D305" s="17"/>
      <c r="E305" s="18"/>
    </row>
    <row r="306" spans="3:5">
      <c r="C306" s="17"/>
      <c r="D306" s="17"/>
      <c r="E306" s="18"/>
    </row>
    <row r="307" spans="3:5">
      <c r="C307" s="17"/>
      <c r="D307" s="17"/>
      <c r="E307" s="18"/>
    </row>
    <row r="308" spans="3:5">
      <c r="C308" s="17"/>
      <c r="D308" s="17"/>
      <c r="E308" s="18"/>
    </row>
    <row r="309" spans="3:5">
      <c r="C309" s="17"/>
      <c r="D309" s="17"/>
      <c r="E309" s="18"/>
    </row>
    <row r="310" spans="3:5">
      <c r="C310" s="17"/>
      <c r="D310" s="17"/>
      <c r="E310" s="18"/>
    </row>
    <row r="311" spans="3:5">
      <c r="C311" s="17"/>
      <c r="D311" s="17"/>
      <c r="E311" s="18"/>
    </row>
    <row r="312" spans="3:5">
      <c r="C312" s="17"/>
      <c r="D312" s="17"/>
      <c r="E312" s="18"/>
    </row>
    <row r="313" spans="3:5">
      <c r="C313" s="17"/>
      <c r="D313" s="17"/>
      <c r="E313" s="18"/>
    </row>
    <row r="314" spans="3:5">
      <c r="C314" s="17"/>
      <c r="D314" s="17"/>
      <c r="E314" s="18"/>
    </row>
    <row r="315" spans="3:5">
      <c r="C315" s="17"/>
      <c r="D315" s="17"/>
      <c r="E315" s="18"/>
    </row>
    <row r="316" spans="3:5">
      <c r="C316" s="17"/>
      <c r="D316" s="17"/>
      <c r="E316" s="18"/>
    </row>
    <row r="317" spans="3:5">
      <c r="C317" s="17"/>
      <c r="D317" s="17"/>
      <c r="E317" s="18"/>
    </row>
    <row r="318" spans="3:5">
      <c r="C318" s="17"/>
      <c r="D318" s="17"/>
      <c r="E318" s="18"/>
    </row>
    <row r="319" spans="3:5">
      <c r="C319" s="17"/>
      <c r="D319" s="17"/>
      <c r="E319" s="18"/>
    </row>
    <row r="320" spans="3:5">
      <c r="C320" s="17"/>
      <c r="D320" s="17"/>
      <c r="E320" s="18"/>
    </row>
    <row r="321" spans="3:5">
      <c r="C321" s="17"/>
      <c r="D321" s="17"/>
      <c r="E321" s="18"/>
    </row>
    <row r="322" spans="3:5">
      <c r="C322" s="17"/>
      <c r="D322" s="17"/>
      <c r="E322" s="18"/>
    </row>
    <row r="323" spans="3:5">
      <c r="C323" s="17"/>
      <c r="D323" s="17"/>
      <c r="E323" s="18"/>
    </row>
    <row r="324" spans="3:5">
      <c r="C324" s="17"/>
      <c r="D324" s="17"/>
      <c r="E324" s="18"/>
    </row>
    <row r="325" spans="3:5">
      <c r="C325" s="17"/>
      <c r="D325" s="17"/>
      <c r="E325" s="18"/>
    </row>
    <row r="326" spans="3:5">
      <c r="C326" s="17"/>
      <c r="D326" s="17"/>
      <c r="E326" s="18"/>
    </row>
    <row r="327" spans="3:5">
      <c r="C327" s="17"/>
      <c r="D327" s="17"/>
      <c r="E327" s="18"/>
    </row>
    <row r="328" spans="3:5">
      <c r="C328" s="17"/>
      <c r="D328" s="17"/>
      <c r="E328" s="18"/>
    </row>
    <row r="329" spans="3:5">
      <c r="C329" s="17"/>
      <c r="D329" s="17"/>
      <c r="E329" s="18"/>
    </row>
    <row r="330" spans="3:5">
      <c r="C330" s="17"/>
      <c r="D330" s="17"/>
      <c r="E330" s="18"/>
    </row>
    <row r="331" spans="3:5">
      <c r="C331" s="17"/>
      <c r="D331" s="17"/>
      <c r="E331" s="18"/>
    </row>
    <row r="332" spans="3:5">
      <c r="C332" s="17"/>
      <c r="D332" s="17"/>
      <c r="E332" s="18"/>
    </row>
    <row r="333" spans="3:5">
      <c r="C333" s="17"/>
      <c r="D333" s="17"/>
      <c r="E333" s="18"/>
    </row>
    <row r="334" spans="3:5">
      <c r="C334" s="17"/>
      <c r="D334" s="17"/>
      <c r="E334" s="18"/>
    </row>
    <row r="335" spans="3:5">
      <c r="C335" s="17"/>
      <c r="D335" s="17"/>
      <c r="E335" s="18"/>
    </row>
    <row r="336" spans="3:5">
      <c r="C336" s="17"/>
      <c r="D336" s="17"/>
      <c r="E336" s="18"/>
    </row>
    <row r="337" spans="3:5">
      <c r="C337" s="17"/>
      <c r="D337" s="17"/>
      <c r="E337" s="18"/>
    </row>
    <row r="338" spans="3:5">
      <c r="C338" s="17"/>
      <c r="D338" s="17"/>
      <c r="E338" s="18"/>
    </row>
    <row r="339" spans="3:5">
      <c r="C339" s="17"/>
      <c r="D339" s="17"/>
      <c r="E339" s="18"/>
    </row>
    <row r="340" spans="3:5">
      <c r="C340" s="17"/>
      <c r="D340" s="17"/>
      <c r="E340" s="18"/>
    </row>
    <row r="341" spans="3:5">
      <c r="C341" s="17"/>
      <c r="D341" s="17"/>
      <c r="E341" s="18"/>
    </row>
    <row r="342" spans="3:5">
      <c r="C342" s="17"/>
      <c r="D342" s="17"/>
      <c r="E342" s="18"/>
    </row>
    <row r="343" spans="3:5">
      <c r="C343" s="17"/>
      <c r="D343" s="17"/>
      <c r="E343" s="18"/>
    </row>
    <row r="344" spans="3:5">
      <c r="C344" s="17"/>
      <c r="D344" s="17"/>
      <c r="E344" s="18"/>
    </row>
    <row r="345" spans="3:5">
      <c r="C345" s="17"/>
      <c r="D345" s="17"/>
      <c r="E345" s="18"/>
    </row>
    <row r="346" spans="3:5">
      <c r="C346" s="17"/>
      <c r="D346" s="17"/>
      <c r="E346" s="18"/>
    </row>
    <row r="347" spans="3:5">
      <c r="C347" s="17"/>
      <c r="D347" s="17"/>
      <c r="E347" s="18"/>
    </row>
    <row r="348" spans="3:5">
      <c r="C348" s="17"/>
      <c r="D348" s="17"/>
      <c r="E348" s="18"/>
    </row>
    <row r="349" spans="3:5">
      <c r="C349" s="17"/>
      <c r="D349" s="17"/>
      <c r="E349" s="18"/>
    </row>
    <row r="350" spans="3:5">
      <c r="C350" s="17"/>
      <c r="D350" s="17"/>
      <c r="E350" s="18"/>
    </row>
    <row r="351" spans="3:5">
      <c r="C351" s="17"/>
      <c r="D351" s="17"/>
      <c r="E351" s="18"/>
    </row>
    <row r="352" spans="3:5">
      <c r="C352" s="17"/>
      <c r="D352" s="17"/>
      <c r="E352" s="18"/>
    </row>
    <row r="353" spans="3:5">
      <c r="C353" s="17"/>
      <c r="D353" s="17"/>
      <c r="E353" s="18"/>
    </row>
    <row r="354" spans="3:5">
      <c r="C354" s="17"/>
      <c r="D354" s="17"/>
      <c r="E354" s="18"/>
    </row>
    <row r="355" spans="3:5">
      <c r="C355" s="17"/>
      <c r="D355" s="17"/>
      <c r="E355" s="18"/>
    </row>
    <row r="356" spans="3:5">
      <c r="C356" s="17"/>
      <c r="D356" s="17"/>
      <c r="E356" s="18"/>
    </row>
    <row r="357" spans="3:5">
      <c r="C357" s="17"/>
      <c r="D357" s="17"/>
      <c r="E357" s="18"/>
    </row>
    <row r="358" spans="3:5">
      <c r="C358" s="17"/>
      <c r="D358" s="17"/>
      <c r="E358" s="18"/>
    </row>
    <row r="359" spans="3:5">
      <c r="C359" s="17"/>
      <c r="D359" s="17"/>
      <c r="E359" s="18"/>
    </row>
    <row r="360" spans="3:5">
      <c r="C360" s="17"/>
      <c r="D360" s="17"/>
      <c r="E360" s="18"/>
    </row>
    <row r="361" spans="3:5">
      <c r="C361" s="17"/>
      <c r="D361" s="17"/>
      <c r="E361" s="18"/>
    </row>
    <row r="362" spans="3:5">
      <c r="C362" s="17"/>
      <c r="D362" s="17"/>
      <c r="E362" s="18"/>
    </row>
    <row r="363" spans="3:5">
      <c r="C363" s="17"/>
      <c r="D363" s="17"/>
      <c r="E363" s="18"/>
    </row>
    <row r="364" spans="3:5">
      <c r="C364" s="17"/>
      <c r="D364" s="17"/>
      <c r="E364" s="18"/>
    </row>
    <row r="365" spans="3:5">
      <c r="C365" s="17"/>
      <c r="D365" s="17"/>
      <c r="E365" s="18"/>
    </row>
    <row r="366" spans="3:5">
      <c r="C366" s="17"/>
      <c r="D366" s="17"/>
      <c r="E366" s="18"/>
    </row>
    <row r="367" spans="3:5">
      <c r="C367" s="17"/>
      <c r="D367" s="17"/>
      <c r="E367" s="18"/>
    </row>
    <row r="368" spans="3:5">
      <c r="C368" s="17"/>
      <c r="D368" s="17"/>
      <c r="E368" s="18"/>
    </row>
    <row r="369" spans="3:5">
      <c r="C369" s="17"/>
      <c r="D369" s="17"/>
      <c r="E369" s="18"/>
    </row>
    <row r="370" spans="3:5">
      <c r="C370" s="17"/>
      <c r="D370" s="17"/>
      <c r="E370" s="18"/>
    </row>
    <row r="371" spans="3:5">
      <c r="C371" s="17"/>
      <c r="D371" s="17"/>
      <c r="E371" s="18"/>
    </row>
    <row r="372" spans="3:5">
      <c r="C372" s="17"/>
      <c r="D372" s="17"/>
      <c r="E372" s="18"/>
    </row>
    <row r="373" spans="3:5">
      <c r="C373" s="17"/>
      <c r="D373" s="17"/>
      <c r="E373" s="18"/>
    </row>
    <row r="374" spans="3:5">
      <c r="C374" s="17"/>
      <c r="D374" s="17"/>
      <c r="E374" s="18"/>
    </row>
    <row r="375" spans="3:5">
      <c r="C375" s="17"/>
      <c r="D375" s="17"/>
      <c r="E375" s="18"/>
    </row>
    <row r="376" spans="3:5">
      <c r="C376" s="17"/>
      <c r="D376" s="17"/>
      <c r="E376" s="18"/>
    </row>
    <row r="377" spans="3:5">
      <c r="C377" s="17"/>
      <c r="D377" s="17"/>
      <c r="E377" s="18"/>
    </row>
    <row r="378" spans="3:5">
      <c r="C378" s="17"/>
      <c r="D378" s="17"/>
      <c r="E378" s="18"/>
    </row>
    <row r="379" spans="3:5">
      <c r="C379" s="17"/>
      <c r="D379" s="17"/>
      <c r="E379" s="18"/>
    </row>
    <row r="380" spans="3:5">
      <c r="C380" s="17"/>
      <c r="D380" s="17"/>
      <c r="E380" s="18"/>
    </row>
    <row r="381" spans="3:5">
      <c r="C381" s="17"/>
      <c r="D381" s="17"/>
      <c r="E381" s="18"/>
    </row>
    <row r="382" spans="3:5">
      <c r="C382" s="17"/>
      <c r="D382" s="17"/>
      <c r="E382" s="18"/>
    </row>
    <row r="383" spans="3:5">
      <c r="C383" s="17"/>
      <c r="D383" s="17"/>
      <c r="E383" s="18"/>
    </row>
    <row r="384" spans="3:5">
      <c r="C384" s="17"/>
      <c r="D384" s="17"/>
      <c r="E384" s="18"/>
    </row>
    <row r="385" spans="3:5">
      <c r="C385" s="17"/>
      <c r="D385" s="17"/>
      <c r="E385" s="18"/>
    </row>
    <row r="386" spans="3:5">
      <c r="C386" s="17"/>
      <c r="D386" s="17"/>
      <c r="E386" s="18"/>
    </row>
    <row r="387" spans="3:5">
      <c r="C387" s="17"/>
      <c r="D387" s="17"/>
      <c r="E387" s="18"/>
    </row>
    <row r="388" spans="3:5">
      <c r="C388" s="17"/>
      <c r="D388" s="17"/>
      <c r="E388" s="18"/>
    </row>
    <row r="389" spans="3:5">
      <c r="C389" s="17"/>
      <c r="D389" s="17"/>
      <c r="E389" s="18"/>
    </row>
    <row r="390" spans="3:5">
      <c r="C390" s="17"/>
      <c r="D390" s="17"/>
      <c r="E390" s="18"/>
    </row>
    <row r="391" spans="3:5">
      <c r="C391" s="17"/>
      <c r="D391" s="17"/>
      <c r="E391" s="18"/>
    </row>
    <row r="392" spans="3:5">
      <c r="C392" s="17"/>
      <c r="D392" s="17"/>
      <c r="E392" s="18"/>
    </row>
    <row r="393" spans="3:5">
      <c r="C393" s="17"/>
      <c r="D393" s="17"/>
      <c r="E393" s="18"/>
    </row>
    <row r="394" spans="3:5">
      <c r="C394" s="17"/>
      <c r="D394" s="17"/>
      <c r="E394" s="18"/>
    </row>
    <row r="395" spans="3:5">
      <c r="C395" s="17"/>
      <c r="D395" s="17"/>
      <c r="E395" s="18"/>
    </row>
    <row r="396" spans="3:5">
      <c r="C396" s="17"/>
      <c r="D396" s="17"/>
      <c r="E396" s="18"/>
    </row>
    <row r="397" spans="3:5">
      <c r="C397" s="17"/>
      <c r="D397" s="17"/>
      <c r="E397" s="18"/>
    </row>
    <row r="398" spans="3:5">
      <c r="C398" s="17"/>
      <c r="D398" s="17"/>
      <c r="E398" s="18"/>
    </row>
    <row r="399" spans="3:5">
      <c r="C399" s="17"/>
      <c r="D399" s="17"/>
      <c r="E399" s="18"/>
    </row>
    <row r="400" spans="3:5">
      <c r="C400" s="17"/>
      <c r="D400" s="17"/>
      <c r="E400" s="18"/>
    </row>
    <row r="401" spans="3:5">
      <c r="C401" s="17"/>
      <c r="D401" s="17"/>
      <c r="E401" s="18"/>
    </row>
    <row r="402" spans="3:5">
      <c r="C402" s="17"/>
      <c r="D402" s="17"/>
      <c r="E402" s="18"/>
    </row>
    <row r="403" spans="3:5">
      <c r="C403" s="17"/>
      <c r="D403" s="17"/>
      <c r="E403" s="18"/>
    </row>
    <row r="404" spans="3:5">
      <c r="C404" s="17"/>
      <c r="D404" s="17"/>
      <c r="E404" s="18"/>
    </row>
    <row r="405" spans="3:5">
      <c r="C405" s="17"/>
      <c r="D405" s="17"/>
      <c r="E405" s="18"/>
    </row>
    <row r="406" spans="3:5">
      <c r="C406" s="17"/>
      <c r="D406" s="17"/>
      <c r="E406" s="18"/>
    </row>
    <row r="407" spans="3:5">
      <c r="C407" s="17"/>
      <c r="D407" s="17"/>
      <c r="E407" s="18"/>
    </row>
    <row r="408" spans="3:5">
      <c r="C408" s="17"/>
      <c r="D408" s="17"/>
      <c r="E408" s="18"/>
    </row>
    <row r="409" spans="3:5">
      <c r="C409" s="17"/>
      <c r="D409" s="17"/>
      <c r="E409" s="18"/>
    </row>
    <row r="410" spans="3:5">
      <c r="C410" s="17"/>
      <c r="D410" s="17"/>
      <c r="E410" s="18"/>
    </row>
    <row r="411" spans="3:5">
      <c r="C411" s="17"/>
      <c r="D411" s="17"/>
      <c r="E411" s="18"/>
    </row>
    <row r="412" spans="3:5">
      <c r="C412" s="17"/>
      <c r="D412" s="17"/>
      <c r="E412" s="18"/>
    </row>
    <row r="413" spans="3:5">
      <c r="C413" s="17"/>
      <c r="D413" s="17"/>
      <c r="E413" s="18"/>
    </row>
    <row r="414" spans="3:5">
      <c r="C414" s="17"/>
      <c r="D414" s="17"/>
      <c r="E414" s="18"/>
    </row>
    <row r="415" spans="3:5">
      <c r="C415" s="17"/>
      <c r="D415" s="17"/>
      <c r="E415" s="18"/>
    </row>
    <row r="416" spans="3:5">
      <c r="C416" s="17"/>
      <c r="D416" s="17"/>
      <c r="E416" s="18"/>
    </row>
    <row r="417" spans="3:5">
      <c r="C417" s="17"/>
      <c r="D417" s="17"/>
      <c r="E417" s="18"/>
    </row>
    <row r="418" spans="3:5">
      <c r="C418" s="17"/>
      <c r="D418" s="17"/>
      <c r="E418" s="18"/>
    </row>
    <row r="419" spans="3:5">
      <c r="C419" s="17"/>
      <c r="D419" s="17"/>
      <c r="E419" s="18"/>
    </row>
    <row r="420" spans="3:5">
      <c r="C420" s="17"/>
      <c r="D420" s="17"/>
      <c r="E420" s="18"/>
    </row>
    <row r="421" spans="3:5">
      <c r="C421" s="17"/>
      <c r="D421" s="17"/>
      <c r="E421" s="18"/>
    </row>
    <row r="422" spans="3:5">
      <c r="C422" s="17"/>
      <c r="D422" s="17"/>
      <c r="E422" s="18"/>
    </row>
    <row r="423" spans="3:5">
      <c r="C423" s="17"/>
      <c r="D423" s="17"/>
      <c r="E423" s="18"/>
    </row>
    <row r="424" spans="3:5">
      <c r="C424" s="17"/>
      <c r="D424" s="17"/>
      <c r="E424" s="18"/>
    </row>
    <row r="425" spans="3:5">
      <c r="C425" s="17"/>
      <c r="D425" s="17"/>
      <c r="E425" s="18"/>
    </row>
    <row r="426" spans="3:5">
      <c r="C426" s="17"/>
      <c r="D426" s="17"/>
      <c r="E426" s="18"/>
    </row>
    <row r="427" spans="3:5">
      <c r="C427" s="17"/>
      <c r="D427" s="17"/>
      <c r="E427" s="18"/>
    </row>
    <row r="428" spans="3:5">
      <c r="C428" s="17"/>
      <c r="D428" s="17"/>
      <c r="E428" s="18"/>
    </row>
    <row r="429" spans="3:5">
      <c r="C429" s="17"/>
      <c r="D429" s="17"/>
      <c r="E429" s="18"/>
    </row>
    <row r="430" spans="3:5">
      <c r="C430" s="17"/>
      <c r="D430" s="17"/>
      <c r="E430" s="18"/>
    </row>
    <row r="431" spans="3:5">
      <c r="C431" s="17"/>
      <c r="D431" s="17"/>
      <c r="E431" s="18"/>
    </row>
    <row r="432" spans="3:5">
      <c r="C432" s="17"/>
      <c r="D432" s="17"/>
      <c r="E432" s="18"/>
    </row>
    <row r="433" spans="3:5">
      <c r="C433" s="17"/>
      <c r="D433" s="17"/>
      <c r="E433" s="18"/>
    </row>
    <row r="434" spans="3:5">
      <c r="C434" s="17"/>
      <c r="D434" s="17"/>
      <c r="E434" s="18"/>
    </row>
    <row r="435" spans="3:5">
      <c r="C435" s="17"/>
      <c r="D435" s="17"/>
      <c r="E435" s="18"/>
    </row>
    <row r="436" spans="3:5">
      <c r="C436" s="17"/>
      <c r="D436" s="17"/>
      <c r="E436" s="18"/>
    </row>
    <row r="437" spans="3:5">
      <c r="C437" s="17"/>
      <c r="D437" s="17"/>
      <c r="E437" s="18"/>
    </row>
    <row r="438" spans="3:5">
      <c r="C438" s="17"/>
      <c r="D438" s="17"/>
      <c r="E438" s="18"/>
    </row>
    <row r="439" spans="3:5">
      <c r="C439" s="17"/>
      <c r="D439" s="17"/>
      <c r="E439" s="18"/>
    </row>
    <row r="440" spans="3:5">
      <c r="C440" s="17"/>
      <c r="D440" s="17"/>
      <c r="E440" s="18"/>
    </row>
    <row r="441" spans="3:5">
      <c r="C441" s="17"/>
      <c r="D441" s="17"/>
      <c r="E441" s="18"/>
    </row>
    <row r="442" spans="3:5">
      <c r="C442" s="17"/>
      <c r="D442" s="17"/>
      <c r="E442" s="18"/>
    </row>
    <row r="443" spans="3:5">
      <c r="C443" s="17"/>
      <c r="D443" s="17"/>
      <c r="E443" s="18"/>
    </row>
    <row r="444" spans="3:5">
      <c r="C444" s="17"/>
      <c r="D444" s="17"/>
      <c r="E444" s="18"/>
    </row>
    <row r="445" spans="3:5">
      <c r="C445" s="17"/>
      <c r="D445" s="17"/>
      <c r="E445" s="18"/>
    </row>
    <row r="446" spans="3:5">
      <c r="C446" s="17"/>
      <c r="D446" s="17"/>
      <c r="E446" s="18"/>
    </row>
    <row r="447" spans="3:5">
      <c r="C447" s="17"/>
      <c r="D447" s="17"/>
      <c r="E447" s="18"/>
    </row>
    <row r="448" spans="3:5">
      <c r="C448" s="17"/>
      <c r="D448" s="17"/>
      <c r="E448" s="18"/>
    </row>
    <row r="449" spans="3:5">
      <c r="C449" s="17"/>
      <c r="D449" s="17"/>
      <c r="E449" s="18"/>
    </row>
    <row r="450" spans="3:5">
      <c r="C450" s="17"/>
      <c r="D450" s="17"/>
      <c r="E450" s="18"/>
    </row>
    <row r="451" spans="3:5">
      <c r="C451" s="17"/>
      <c r="D451" s="17"/>
      <c r="E451" s="18"/>
    </row>
    <row r="452" spans="3:5">
      <c r="C452" s="17"/>
      <c r="D452" s="17"/>
      <c r="E452" s="18"/>
    </row>
    <row r="453" spans="3:5">
      <c r="C453" s="17"/>
      <c r="D453" s="17"/>
      <c r="E453" s="18"/>
    </row>
    <row r="454" spans="3:5">
      <c r="C454" s="17"/>
      <c r="D454" s="17"/>
      <c r="E454" s="18"/>
    </row>
    <row r="455" spans="3:5">
      <c r="C455" s="17"/>
      <c r="D455" s="17"/>
      <c r="E455" s="18"/>
    </row>
    <row r="456" spans="3:5">
      <c r="C456" s="17"/>
      <c r="D456" s="17"/>
      <c r="E456" s="18"/>
    </row>
    <row r="457" spans="3:5">
      <c r="C457" s="17"/>
      <c r="D457" s="17"/>
      <c r="E457" s="18"/>
    </row>
    <row r="458" spans="3:5">
      <c r="C458" s="17"/>
      <c r="D458" s="17"/>
      <c r="E458" s="18"/>
    </row>
    <row r="459" spans="3:5">
      <c r="C459" s="17"/>
      <c r="D459" s="17"/>
      <c r="E459" s="18"/>
    </row>
    <row r="460" spans="3:5">
      <c r="C460" s="17"/>
      <c r="D460" s="17"/>
      <c r="E460" s="18"/>
    </row>
    <row r="461" spans="3:5">
      <c r="C461" s="17"/>
      <c r="D461" s="17"/>
      <c r="E461" s="18"/>
    </row>
    <row r="462" spans="3:5">
      <c r="C462" s="17"/>
      <c r="D462" s="17"/>
      <c r="E462" s="18"/>
    </row>
    <row r="463" spans="3:5">
      <c r="C463" s="17"/>
      <c r="D463" s="17"/>
      <c r="E463" s="18"/>
    </row>
    <row r="464" spans="3:5">
      <c r="C464" s="17"/>
      <c r="D464" s="17"/>
      <c r="E464" s="18"/>
    </row>
    <row r="465" spans="3:5">
      <c r="C465" s="17"/>
      <c r="D465" s="17"/>
      <c r="E465" s="18"/>
    </row>
    <row r="466" spans="3:5">
      <c r="C466" s="17"/>
      <c r="D466" s="17"/>
      <c r="E466" s="18"/>
    </row>
    <row r="467" spans="3:5">
      <c r="C467" s="17"/>
      <c r="D467" s="17"/>
      <c r="E467" s="18"/>
    </row>
    <row r="468" spans="3:5">
      <c r="C468" s="17"/>
      <c r="D468" s="17"/>
      <c r="E468" s="18"/>
    </row>
    <row r="469" spans="3:5">
      <c r="C469" s="17"/>
      <c r="D469" s="17"/>
      <c r="E469" s="18"/>
    </row>
    <row r="470" spans="3:5">
      <c r="C470" s="17"/>
      <c r="D470" s="17"/>
      <c r="E470" s="18"/>
    </row>
    <row r="471" spans="3:5">
      <c r="C471" s="17"/>
      <c r="D471" s="17"/>
      <c r="E471" s="18"/>
    </row>
    <row r="472" spans="3:5">
      <c r="C472" s="17"/>
      <c r="D472" s="17"/>
      <c r="E472" s="18"/>
    </row>
    <row r="473" spans="3:5">
      <c r="C473" s="17"/>
      <c r="D473" s="17"/>
      <c r="E473" s="18"/>
    </row>
    <row r="474" spans="3:5">
      <c r="C474" s="17"/>
      <c r="D474" s="17"/>
      <c r="E474" s="18"/>
    </row>
    <row r="475" spans="3:5">
      <c r="C475" s="17"/>
      <c r="D475" s="17"/>
      <c r="E475" s="18"/>
    </row>
    <row r="476" spans="3:5">
      <c r="C476" s="17"/>
      <c r="D476" s="17"/>
      <c r="E476" s="18"/>
    </row>
    <row r="477" spans="3:5">
      <c r="C477" s="17"/>
      <c r="D477" s="17"/>
      <c r="E477" s="18"/>
    </row>
    <row r="478" spans="3:5">
      <c r="C478" s="17"/>
      <c r="D478" s="17"/>
      <c r="E478" s="18"/>
    </row>
    <row r="479" spans="3:5">
      <c r="C479" s="17"/>
      <c r="D479" s="17"/>
      <c r="E479" s="18"/>
    </row>
    <row r="480" spans="3:5">
      <c r="C480" s="17"/>
      <c r="D480" s="17"/>
      <c r="E480" s="18"/>
    </row>
    <row r="481" spans="3:5">
      <c r="C481" s="17"/>
      <c r="D481" s="17"/>
      <c r="E481" s="18"/>
    </row>
    <row r="482" spans="3:5">
      <c r="C482" s="17"/>
      <c r="D482" s="17"/>
      <c r="E482" s="18"/>
    </row>
    <row r="483" spans="3:5">
      <c r="C483" s="17"/>
      <c r="D483" s="17"/>
      <c r="E483" s="18"/>
    </row>
    <row r="484" spans="3:5">
      <c r="C484" s="17"/>
      <c r="D484" s="17"/>
      <c r="E484" s="18"/>
    </row>
    <row r="485" spans="3:5">
      <c r="C485" s="17"/>
      <c r="D485" s="17"/>
      <c r="E485" s="18"/>
    </row>
    <row r="486" spans="3:5">
      <c r="C486" s="17"/>
      <c r="D486" s="17"/>
      <c r="E486" s="18"/>
    </row>
    <row r="487" spans="3:5">
      <c r="C487" s="17"/>
      <c r="D487" s="17"/>
      <c r="E487" s="18"/>
    </row>
    <row r="488" spans="3:5">
      <c r="C488" s="17"/>
      <c r="D488" s="17"/>
      <c r="E488" s="18"/>
    </row>
    <row r="489" spans="3:5">
      <c r="C489" s="17"/>
      <c r="D489" s="17"/>
      <c r="E489" s="18"/>
    </row>
    <row r="490" spans="3:5">
      <c r="C490" s="17"/>
      <c r="D490" s="17"/>
      <c r="E490" s="18"/>
    </row>
    <row r="491" spans="3:5">
      <c r="C491" s="17"/>
      <c r="D491" s="17"/>
      <c r="E491" s="18"/>
    </row>
    <row r="492" spans="3:5">
      <c r="C492" s="17"/>
      <c r="D492" s="17"/>
      <c r="E492" s="18"/>
    </row>
    <row r="493" spans="3:5">
      <c r="C493" s="17"/>
      <c r="D493" s="17"/>
      <c r="E493" s="18"/>
    </row>
    <row r="494" spans="3:5">
      <c r="C494" s="17"/>
      <c r="D494" s="17"/>
      <c r="E494" s="18"/>
    </row>
    <row r="495" spans="3:5">
      <c r="C495" s="17"/>
      <c r="D495" s="17"/>
      <c r="E495" s="18"/>
    </row>
    <row r="496" spans="3:5">
      <c r="C496" s="17"/>
      <c r="D496" s="17"/>
      <c r="E496" s="18"/>
    </row>
    <row r="497" spans="3:5">
      <c r="C497" s="17"/>
      <c r="D497" s="17"/>
      <c r="E497" s="18"/>
    </row>
    <row r="498" spans="3:5">
      <c r="C498" s="17"/>
      <c r="D498" s="17"/>
      <c r="E498" s="18"/>
    </row>
    <row r="499" spans="3:5">
      <c r="C499" s="17"/>
      <c r="D499" s="17"/>
      <c r="E499" s="18"/>
    </row>
    <row r="500" spans="3:5">
      <c r="C500" s="17"/>
      <c r="D500" s="17"/>
      <c r="E500" s="18"/>
    </row>
    <row r="501" spans="3:5">
      <c r="C501" s="17"/>
      <c r="D501" s="17"/>
      <c r="E501" s="18"/>
    </row>
    <row r="502" spans="3:5">
      <c r="C502" s="17"/>
      <c r="D502" s="17"/>
      <c r="E502" s="18"/>
    </row>
    <row r="503" spans="3:5">
      <c r="C503" s="17"/>
      <c r="D503" s="17"/>
      <c r="E503" s="18"/>
    </row>
    <row r="504" spans="3:5">
      <c r="C504" s="17"/>
      <c r="D504" s="17"/>
      <c r="E504" s="18"/>
    </row>
    <row r="505" spans="3:5">
      <c r="C505" s="17"/>
      <c r="D505" s="17"/>
      <c r="E505" s="18"/>
    </row>
    <row r="506" spans="3:5">
      <c r="C506" s="17"/>
      <c r="D506" s="17"/>
      <c r="E506" s="18"/>
    </row>
    <row r="507" spans="3:5">
      <c r="C507" s="17"/>
      <c r="D507" s="17"/>
      <c r="E507" s="18"/>
    </row>
    <row r="508" spans="3:5">
      <c r="C508" s="17"/>
      <c r="D508" s="17"/>
      <c r="E508" s="18"/>
    </row>
    <row r="509" spans="3:5">
      <c r="C509" s="17"/>
      <c r="D509" s="17"/>
      <c r="E509" s="18"/>
    </row>
    <row r="510" spans="3:5">
      <c r="C510" s="17"/>
      <c r="D510" s="17"/>
      <c r="E510" s="18"/>
    </row>
    <row r="511" spans="3:5">
      <c r="C511" s="17"/>
      <c r="D511" s="17"/>
      <c r="E511" s="18"/>
    </row>
    <row r="512" spans="3:5">
      <c r="C512" s="17"/>
      <c r="D512" s="17"/>
      <c r="E512" s="18"/>
    </row>
    <row r="513" spans="3:5">
      <c r="C513" s="17"/>
      <c r="D513" s="17"/>
      <c r="E513" s="18"/>
    </row>
    <row r="514" spans="3:5">
      <c r="C514" s="17"/>
      <c r="D514" s="17"/>
      <c r="E514" s="18"/>
    </row>
    <row r="515" spans="3:5">
      <c r="C515" s="17"/>
      <c r="D515" s="17"/>
      <c r="E515" s="18"/>
    </row>
    <row r="516" spans="3:5">
      <c r="C516" s="17"/>
      <c r="D516" s="17"/>
      <c r="E516" s="18"/>
    </row>
    <row r="517" spans="3:5">
      <c r="C517" s="17"/>
      <c r="D517" s="17"/>
      <c r="E517" s="18"/>
    </row>
    <row r="518" spans="3:5">
      <c r="C518" s="17"/>
      <c r="D518" s="17"/>
      <c r="E518" s="18"/>
    </row>
    <row r="519" spans="3:5">
      <c r="C519" s="17"/>
      <c r="D519" s="17"/>
      <c r="E519" s="18"/>
    </row>
    <row r="520" spans="3:5">
      <c r="C520" s="17"/>
      <c r="D520" s="17"/>
      <c r="E520" s="18"/>
    </row>
    <row r="521" spans="3:5">
      <c r="C521" s="17"/>
      <c r="D521" s="17"/>
      <c r="E521" s="18"/>
    </row>
    <row r="522" spans="3:5">
      <c r="C522" s="17"/>
      <c r="D522" s="17"/>
      <c r="E522" s="18"/>
    </row>
    <row r="523" spans="3:5">
      <c r="C523" s="17"/>
      <c r="D523" s="17"/>
      <c r="E523" s="18"/>
    </row>
    <row r="524" spans="3:5">
      <c r="C524" s="17"/>
      <c r="D524" s="17"/>
      <c r="E524" s="18"/>
    </row>
    <row r="525" spans="3:5">
      <c r="C525" s="17"/>
      <c r="D525" s="17"/>
      <c r="E525" s="18"/>
    </row>
    <row r="526" spans="3:5">
      <c r="C526" s="17"/>
      <c r="D526" s="17"/>
      <c r="E526" s="18"/>
    </row>
    <row r="527" spans="3:5">
      <c r="C527" s="17"/>
      <c r="D527" s="17"/>
      <c r="E527" s="18"/>
    </row>
    <row r="528" spans="3:5">
      <c r="C528" s="17"/>
      <c r="D528" s="17"/>
      <c r="E528" s="18"/>
    </row>
    <row r="529" spans="3:5">
      <c r="C529" s="17"/>
      <c r="D529" s="17"/>
      <c r="E529" s="18"/>
    </row>
    <row r="530" spans="3:5">
      <c r="C530" s="17"/>
      <c r="D530" s="17"/>
      <c r="E530" s="18"/>
    </row>
    <row r="531" spans="3:5">
      <c r="C531" s="17"/>
      <c r="D531" s="17"/>
      <c r="E531" s="18"/>
    </row>
    <row r="532" spans="3:5">
      <c r="C532" s="17"/>
      <c r="D532" s="17"/>
      <c r="E532" s="18"/>
    </row>
    <row r="533" spans="3:5">
      <c r="C533" s="17"/>
      <c r="D533" s="17"/>
      <c r="E533" s="18"/>
    </row>
    <row r="534" spans="3:5">
      <c r="C534" s="17"/>
      <c r="D534" s="17"/>
      <c r="E534" s="18"/>
    </row>
    <row r="535" spans="3:5">
      <c r="C535" s="17"/>
      <c r="D535" s="17"/>
      <c r="E535" s="18"/>
    </row>
    <row r="536" spans="3:5">
      <c r="C536" s="17"/>
      <c r="D536" s="17"/>
      <c r="E536" s="18"/>
    </row>
    <row r="537" spans="3:5">
      <c r="C537" s="17"/>
      <c r="D537" s="17"/>
      <c r="E537" s="18"/>
    </row>
    <row r="538" spans="3:5">
      <c r="C538" s="17"/>
      <c r="D538" s="17"/>
      <c r="E538" s="18"/>
    </row>
    <row r="539" spans="3:5">
      <c r="C539" s="17"/>
      <c r="D539" s="17"/>
      <c r="E539" s="18"/>
    </row>
    <row r="540" spans="3:5">
      <c r="C540" s="17"/>
      <c r="D540" s="17"/>
      <c r="E540" s="18"/>
    </row>
    <row r="541" spans="3:5">
      <c r="C541" s="17"/>
      <c r="D541" s="17"/>
      <c r="E541" s="18"/>
    </row>
    <row r="542" spans="3:5">
      <c r="C542" s="17"/>
      <c r="D542" s="17"/>
      <c r="E542" s="18"/>
    </row>
    <row r="543" spans="3:5">
      <c r="C543" s="17"/>
      <c r="D543" s="17"/>
      <c r="E543" s="18"/>
    </row>
    <row r="544" spans="3:5">
      <c r="C544" s="17"/>
      <c r="D544" s="17"/>
      <c r="E544" s="18"/>
    </row>
    <row r="545" spans="3:5">
      <c r="C545" s="17"/>
      <c r="D545" s="17"/>
      <c r="E545" s="18"/>
    </row>
    <row r="546" spans="3:5">
      <c r="C546" s="17"/>
      <c r="D546" s="17"/>
      <c r="E546" s="18"/>
    </row>
    <row r="547" spans="3:5">
      <c r="C547" s="17"/>
      <c r="D547" s="17"/>
      <c r="E547" s="18"/>
    </row>
    <row r="548" spans="3:5">
      <c r="C548" s="17"/>
      <c r="D548" s="17"/>
      <c r="E548" s="18"/>
    </row>
    <row r="549" spans="3:5">
      <c r="C549" s="17"/>
      <c r="D549" s="17"/>
      <c r="E549" s="18"/>
    </row>
    <row r="550" spans="3:5">
      <c r="C550" s="17"/>
      <c r="D550" s="17"/>
      <c r="E550" s="18"/>
    </row>
    <row r="551" spans="3:5">
      <c r="C551" s="17"/>
      <c r="D551" s="17"/>
      <c r="E551" s="18"/>
    </row>
    <row r="552" spans="3:5">
      <c r="C552" s="17"/>
      <c r="D552" s="17"/>
      <c r="E552" s="18"/>
    </row>
    <row r="553" spans="3:5">
      <c r="C553" s="17"/>
      <c r="D553" s="17"/>
      <c r="E553" s="18"/>
    </row>
    <row r="554" spans="3:5">
      <c r="C554" s="17"/>
      <c r="D554" s="17"/>
      <c r="E554" s="18"/>
    </row>
    <row r="555" spans="3:5">
      <c r="C555" s="17"/>
      <c r="D555" s="17"/>
      <c r="E555" s="18"/>
    </row>
    <row r="556" spans="3:5">
      <c r="C556" s="17"/>
      <c r="D556" s="17"/>
      <c r="E556" s="18"/>
    </row>
    <row r="557" spans="3:5">
      <c r="C557" s="17"/>
      <c r="D557" s="17"/>
      <c r="E557" s="18"/>
    </row>
    <row r="558" spans="3:5">
      <c r="C558" s="17"/>
      <c r="D558" s="17"/>
      <c r="E558" s="18"/>
    </row>
    <row r="559" spans="3:5">
      <c r="C559" s="17"/>
      <c r="D559" s="17"/>
      <c r="E559" s="18"/>
    </row>
    <row r="560" spans="3:5">
      <c r="C560" s="17"/>
      <c r="D560" s="17"/>
      <c r="E560" s="18"/>
    </row>
    <row r="561" spans="3:5">
      <c r="C561" s="17"/>
      <c r="D561" s="17"/>
      <c r="E561" s="18"/>
    </row>
    <row r="562" spans="3:5">
      <c r="C562" s="17"/>
      <c r="D562" s="17"/>
      <c r="E562" s="18"/>
    </row>
    <row r="563" spans="3:5">
      <c r="C563" s="17"/>
      <c r="D563" s="17"/>
      <c r="E563" s="18"/>
    </row>
    <row r="564" spans="3:5">
      <c r="C564" s="17"/>
      <c r="D564" s="17"/>
      <c r="E564" s="18"/>
    </row>
    <row r="565" spans="3:5">
      <c r="C565" s="17"/>
      <c r="D565" s="17"/>
      <c r="E565" s="18"/>
    </row>
    <row r="566" spans="3:5">
      <c r="C566" s="17"/>
      <c r="D566" s="17"/>
      <c r="E566" s="18"/>
    </row>
    <row r="567" spans="3:5">
      <c r="C567" s="17"/>
      <c r="D567" s="17"/>
      <c r="E567" s="18"/>
    </row>
    <row r="568" spans="3:5">
      <c r="C568" s="17"/>
      <c r="D568" s="17"/>
      <c r="E568" s="18"/>
    </row>
    <row r="569" spans="3:5">
      <c r="C569" s="17"/>
      <c r="D569" s="17"/>
      <c r="E569" s="18"/>
    </row>
    <row r="570" spans="3:5">
      <c r="C570" s="17"/>
      <c r="D570" s="17"/>
      <c r="E570" s="18"/>
    </row>
    <row r="571" spans="3:5">
      <c r="C571" s="17"/>
      <c r="D571" s="17"/>
      <c r="E571" s="18"/>
    </row>
    <row r="572" spans="3:5">
      <c r="C572" s="17"/>
      <c r="D572" s="17"/>
      <c r="E572" s="18"/>
    </row>
    <row r="573" spans="3:5">
      <c r="C573" s="17"/>
      <c r="D573" s="17"/>
      <c r="E573" s="18"/>
    </row>
    <row r="574" spans="3:5">
      <c r="C574" s="17"/>
      <c r="D574" s="17"/>
      <c r="E574" s="18"/>
    </row>
    <row r="575" spans="3:5">
      <c r="C575" s="17"/>
      <c r="D575" s="17"/>
      <c r="E575" s="18"/>
    </row>
    <row r="576" spans="3:5">
      <c r="C576" s="17"/>
      <c r="D576" s="17"/>
      <c r="E576" s="18"/>
    </row>
    <row r="577" spans="3:5">
      <c r="C577" s="17"/>
      <c r="D577" s="17"/>
      <c r="E577" s="18"/>
    </row>
    <row r="578" spans="3:5">
      <c r="C578" s="17"/>
      <c r="D578" s="17"/>
      <c r="E578" s="18"/>
    </row>
    <row r="579" spans="3:5">
      <c r="C579" s="17"/>
      <c r="D579" s="17"/>
      <c r="E579" s="18"/>
    </row>
    <row r="580" spans="3:5">
      <c r="C580" s="17"/>
      <c r="D580" s="17"/>
      <c r="E580" s="18"/>
    </row>
    <row r="581" spans="3:5">
      <c r="C581" s="17"/>
      <c r="D581" s="17"/>
      <c r="E581" s="18"/>
    </row>
    <row r="582" spans="3:5">
      <c r="C582" s="17"/>
      <c r="D582" s="17"/>
      <c r="E582" s="18"/>
    </row>
    <row r="583" spans="3:5">
      <c r="C583" s="17"/>
      <c r="D583" s="17"/>
      <c r="E583" s="18"/>
    </row>
    <row r="584" spans="3:5">
      <c r="C584" s="17"/>
      <c r="D584" s="17"/>
      <c r="E584" s="18"/>
    </row>
    <row r="585" spans="3:5">
      <c r="C585" s="17"/>
      <c r="D585" s="17"/>
      <c r="E585" s="18"/>
    </row>
    <row r="586" spans="3:5">
      <c r="C586" s="17"/>
      <c r="D586" s="17"/>
      <c r="E586" s="18"/>
    </row>
    <row r="587" spans="3:5">
      <c r="C587" s="17"/>
      <c r="D587" s="17"/>
      <c r="E587" s="18"/>
    </row>
    <row r="588" spans="3:5">
      <c r="C588" s="17"/>
      <c r="D588" s="17"/>
      <c r="E588" s="18"/>
    </row>
    <row r="589" spans="3:5">
      <c r="C589" s="17"/>
      <c r="D589" s="17"/>
      <c r="E589" s="18"/>
    </row>
    <row r="590" spans="3:5">
      <c r="C590" s="17"/>
      <c r="D590" s="17"/>
      <c r="E590" s="18"/>
    </row>
    <row r="591" spans="3:5">
      <c r="C591" s="17"/>
      <c r="D591" s="17"/>
      <c r="E591" s="18"/>
    </row>
    <row r="592" spans="3:5">
      <c r="C592" s="17"/>
      <c r="D592" s="17"/>
      <c r="E592" s="18"/>
    </row>
    <row r="593" spans="3:5">
      <c r="C593" s="17"/>
      <c r="D593" s="17"/>
      <c r="E593" s="18"/>
    </row>
    <row r="594" spans="3:5">
      <c r="C594" s="17"/>
      <c r="D594" s="17"/>
      <c r="E594" s="18"/>
    </row>
    <row r="595" spans="3:5">
      <c r="C595" s="17"/>
      <c r="D595" s="17"/>
      <c r="E595" s="18"/>
    </row>
    <row r="596" spans="3:5">
      <c r="C596" s="17"/>
      <c r="D596" s="17"/>
      <c r="E596" s="18"/>
    </row>
    <row r="597" spans="3:5">
      <c r="C597" s="17"/>
      <c r="D597" s="17"/>
      <c r="E597" s="18"/>
    </row>
    <row r="598" spans="3:5">
      <c r="C598" s="17"/>
      <c r="D598" s="17"/>
      <c r="E598" s="18"/>
    </row>
    <row r="599" spans="3:5">
      <c r="C599" s="17"/>
      <c r="D599" s="17"/>
      <c r="E599" s="18"/>
    </row>
    <row r="600" spans="3:5">
      <c r="C600" s="17"/>
      <c r="D600" s="17"/>
      <c r="E600" s="18"/>
    </row>
    <row r="601" spans="3:5">
      <c r="C601" s="17"/>
      <c r="D601" s="17"/>
      <c r="E601" s="18"/>
    </row>
    <row r="602" spans="3:5">
      <c r="C602" s="17"/>
      <c r="D602" s="17"/>
      <c r="E602" s="18"/>
    </row>
    <row r="603" spans="3:5">
      <c r="C603" s="17"/>
      <c r="D603" s="17"/>
      <c r="E603" s="18"/>
    </row>
    <row r="604" spans="3:5">
      <c r="C604" s="17"/>
      <c r="D604" s="17"/>
      <c r="E604" s="18"/>
    </row>
    <row r="605" spans="3:5">
      <c r="C605" s="17"/>
      <c r="D605" s="17"/>
      <c r="E605" s="18"/>
    </row>
    <row r="606" spans="3:5">
      <c r="C606" s="17"/>
      <c r="D606" s="17"/>
      <c r="E606" s="18"/>
    </row>
    <row r="607" spans="3:5">
      <c r="C607" s="17"/>
      <c r="D607" s="17"/>
      <c r="E607" s="18"/>
    </row>
    <row r="608" spans="3:5">
      <c r="C608" s="17"/>
      <c r="D608" s="17"/>
      <c r="E608" s="18"/>
    </row>
    <row r="609" spans="3:5">
      <c r="C609" s="17"/>
      <c r="D609" s="17"/>
      <c r="E609" s="18"/>
    </row>
    <row r="610" spans="3:5">
      <c r="C610" s="17"/>
      <c r="D610" s="17"/>
      <c r="E610" s="18"/>
    </row>
    <row r="611" spans="3:5">
      <c r="C611" s="17"/>
      <c r="D611" s="17"/>
      <c r="E611" s="18"/>
    </row>
    <row r="612" spans="3:5">
      <c r="C612" s="17"/>
      <c r="D612" s="17"/>
      <c r="E612" s="18"/>
    </row>
    <row r="613" spans="3:5">
      <c r="C613" s="17"/>
      <c r="D613" s="17"/>
      <c r="E613" s="18"/>
    </row>
    <row r="614" spans="3:5">
      <c r="C614" s="17"/>
      <c r="D614" s="17"/>
      <c r="E614" s="18"/>
    </row>
    <row r="615" spans="3:5">
      <c r="C615" s="17"/>
      <c r="D615" s="17"/>
      <c r="E615" s="18"/>
    </row>
    <row r="616" spans="3:5">
      <c r="C616" s="17"/>
      <c r="D616" s="17"/>
      <c r="E616" s="18"/>
    </row>
    <row r="617" spans="3:5">
      <c r="C617" s="17"/>
      <c r="D617" s="17"/>
      <c r="E617" s="18"/>
    </row>
    <row r="618" spans="3:5">
      <c r="C618" s="17"/>
      <c r="D618" s="17"/>
      <c r="E618" s="18"/>
    </row>
    <row r="619" spans="3:5">
      <c r="C619" s="17"/>
      <c r="D619" s="17"/>
      <c r="E619" s="18"/>
    </row>
    <row r="620" spans="3:5">
      <c r="C620" s="17"/>
      <c r="D620" s="17"/>
      <c r="E620" s="18"/>
    </row>
    <row r="621" spans="3:5">
      <c r="C621" s="17"/>
      <c r="D621" s="17"/>
      <c r="E621" s="18"/>
    </row>
    <row r="622" spans="3:5">
      <c r="C622" s="17"/>
      <c r="D622" s="17"/>
      <c r="E622" s="18"/>
    </row>
    <row r="623" spans="3:5">
      <c r="C623" s="17"/>
      <c r="D623" s="17"/>
      <c r="E623" s="18"/>
    </row>
    <row r="624" spans="3:5">
      <c r="C624" s="17"/>
      <c r="D624" s="17"/>
      <c r="E624" s="18"/>
    </row>
    <row r="625" spans="3:5">
      <c r="C625" s="17"/>
      <c r="D625" s="17"/>
      <c r="E625" s="18"/>
    </row>
    <row r="626" spans="3:5">
      <c r="C626" s="17"/>
      <c r="D626" s="17"/>
      <c r="E626" s="18"/>
    </row>
    <row r="627" spans="3:5">
      <c r="C627" s="17"/>
      <c r="D627" s="17"/>
      <c r="E627" s="18"/>
    </row>
    <row r="628" spans="3:5">
      <c r="C628" s="17"/>
      <c r="D628" s="17"/>
      <c r="E628" s="18"/>
    </row>
    <row r="629" spans="3:5">
      <c r="C629" s="17"/>
      <c r="D629" s="17"/>
      <c r="E629" s="18"/>
    </row>
    <row r="630" spans="3:5">
      <c r="C630" s="17"/>
      <c r="D630" s="17"/>
      <c r="E630" s="18"/>
    </row>
    <row r="631" spans="3:5">
      <c r="C631" s="17"/>
      <c r="D631" s="17"/>
      <c r="E631" s="18"/>
    </row>
    <row r="632" spans="3:5">
      <c r="C632" s="17"/>
      <c r="D632" s="17"/>
      <c r="E632" s="18"/>
    </row>
    <row r="633" spans="3:5">
      <c r="C633" s="17"/>
      <c r="D633" s="17"/>
      <c r="E633" s="18"/>
    </row>
    <row r="634" spans="3:5">
      <c r="C634" s="17"/>
      <c r="D634" s="17"/>
      <c r="E634" s="18"/>
    </row>
    <row r="635" spans="3:5">
      <c r="C635" s="17"/>
      <c r="D635" s="17"/>
      <c r="E635" s="18"/>
    </row>
    <row r="636" spans="3:5">
      <c r="C636" s="17"/>
      <c r="D636" s="17"/>
      <c r="E636" s="18"/>
    </row>
    <row r="637" spans="3:5">
      <c r="C637" s="17"/>
      <c r="D637" s="17"/>
      <c r="E637" s="18"/>
    </row>
    <row r="638" spans="3:5">
      <c r="C638" s="17"/>
      <c r="D638" s="17"/>
      <c r="E638" s="18"/>
    </row>
    <row r="639" spans="3:5">
      <c r="C639" s="17"/>
      <c r="D639" s="17"/>
      <c r="E639" s="18"/>
    </row>
    <row r="640" spans="3:5">
      <c r="C640" s="17"/>
      <c r="D640" s="17"/>
      <c r="E640" s="18"/>
    </row>
    <row r="641" spans="3:5">
      <c r="C641" s="17"/>
      <c r="D641" s="17"/>
      <c r="E641" s="18"/>
    </row>
    <row r="642" spans="3:5">
      <c r="C642" s="17"/>
      <c r="D642" s="17"/>
      <c r="E642" s="18"/>
    </row>
    <row r="643" spans="3:5">
      <c r="C643" s="17"/>
      <c r="D643" s="17"/>
      <c r="E643" s="18"/>
    </row>
    <row r="644" spans="3:5">
      <c r="C644" s="17"/>
      <c r="D644" s="17"/>
      <c r="E644" s="18"/>
    </row>
    <row r="645" spans="3:5">
      <c r="C645" s="17"/>
      <c r="D645" s="17"/>
      <c r="E645" s="18"/>
    </row>
    <row r="646" spans="3:5">
      <c r="C646" s="17"/>
      <c r="D646" s="17"/>
      <c r="E646" s="18"/>
    </row>
    <row r="647" spans="3:5">
      <c r="C647" s="17"/>
      <c r="D647" s="17"/>
      <c r="E647" s="18"/>
    </row>
    <row r="648" spans="3:5">
      <c r="C648" s="17"/>
      <c r="D648" s="17"/>
      <c r="E648" s="18"/>
    </row>
    <row r="649" spans="3:5">
      <c r="C649" s="17"/>
      <c r="D649" s="17"/>
      <c r="E649" s="18"/>
    </row>
    <row r="650" spans="3:5">
      <c r="C650" s="17"/>
      <c r="D650" s="17"/>
      <c r="E650" s="18"/>
    </row>
    <row r="651" spans="3:5">
      <c r="C651" s="17"/>
      <c r="D651" s="17"/>
      <c r="E651" s="18"/>
    </row>
    <row r="652" spans="3:5">
      <c r="C652" s="17"/>
      <c r="D652" s="17"/>
      <c r="E652" s="18"/>
    </row>
    <row r="653" spans="3:5">
      <c r="C653" s="17"/>
      <c r="D653" s="17"/>
      <c r="E653" s="18"/>
    </row>
    <row r="654" spans="3:5">
      <c r="C654" s="17"/>
      <c r="D654" s="17"/>
      <c r="E654" s="18"/>
    </row>
    <row r="655" spans="3:5">
      <c r="C655" s="17"/>
      <c r="D655" s="17"/>
      <c r="E655" s="18"/>
    </row>
    <row r="656" spans="3:5">
      <c r="C656" s="17"/>
      <c r="D656" s="17"/>
      <c r="E656" s="18"/>
    </row>
    <row r="657" spans="3:5">
      <c r="C657" s="17"/>
      <c r="D657" s="17"/>
      <c r="E657" s="18"/>
    </row>
    <row r="658" spans="3:5">
      <c r="C658" s="17"/>
      <c r="D658" s="17"/>
      <c r="E658" s="18"/>
    </row>
    <row r="659" spans="3:5">
      <c r="C659" s="17"/>
      <c r="D659" s="17"/>
      <c r="E659" s="18"/>
    </row>
    <row r="660" spans="3:5">
      <c r="C660" s="17"/>
      <c r="D660" s="17"/>
      <c r="E660" s="18"/>
    </row>
    <row r="661" spans="3:5">
      <c r="C661" s="17"/>
      <c r="D661" s="17"/>
      <c r="E661" s="18"/>
    </row>
    <row r="662" spans="3:5">
      <c r="C662" s="17"/>
      <c r="D662" s="17"/>
      <c r="E662" s="18"/>
    </row>
    <row r="663" spans="3:5">
      <c r="C663" s="17"/>
      <c r="D663" s="17"/>
      <c r="E663" s="18"/>
    </row>
    <row r="664" spans="3:5">
      <c r="C664" s="17"/>
      <c r="D664" s="17"/>
      <c r="E664" s="18"/>
    </row>
    <row r="665" spans="3:5">
      <c r="C665" s="17"/>
      <c r="D665" s="17"/>
      <c r="E665" s="18"/>
    </row>
    <row r="666" spans="3:5">
      <c r="C666" s="17"/>
      <c r="D666" s="17"/>
      <c r="E666" s="18"/>
    </row>
    <row r="667" spans="3:5">
      <c r="C667" s="17"/>
      <c r="D667" s="17"/>
      <c r="E667" s="18"/>
    </row>
    <row r="668" spans="3:5">
      <c r="C668" s="17"/>
      <c r="D668" s="17"/>
      <c r="E668" s="18"/>
    </row>
    <row r="669" spans="3:5">
      <c r="C669" s="17"/>
      <c r="D669" s="17"/>
      <c r="E669" s="18"/>
    </row>
    <row r="670" spans="3:5">
      <c r="C670" s="17"/>
      <c r="D670" s="17"/>
      <c r="E670" s="18"/>
    </row>
    <row r="671" spans="3:5">
      <c r="C671" s="17"/>
      <c r="D671" s="17"/>
      <c r="E671" s="18"/>
    </row>
    <row r="672" spans="3:5">
      <c r="C672" s="17"/>
      <c r="D672" s="17"/>
      <c r="E672" s="18"/>
    </row>
    <row r="673" spans="3:5">
      <c r="C673" s="17"/>
      <c r="D673" s="17"/>
      <c r="E673" s="18"/>
    </row>
    <row r="674" spans="3:5">
      <c r="C674" s="17"/>
      <c r="D674" s="17"/>
      <c r="E674" s="18"/>
    </row>
    <row r="675" spans="3:5">
      <c r="C675" s="17"/>
      <c r="D675" s="17"/>
      <c r="E675" s="18"/>
    </row>
    <row r="676" spans="3:5">
      <c r="C676" s="17"/>
      <c r="D676" s="17"/>
      <c r="E676" s="18"/>
    </row>
    <row r="677" spans="3:5">
      <c r="C677" s="17"/>
      <c r="D677" s="17"/>
      <c r="E677" s="18"/>
    </row>
    <row r="678" spans="3:5">
      <c r="C678" s="17"/>
      <c r="D678" s="17"/>
      <c r="E678" s="18"/>
    </row>
    <row r="679" spans="3:5">
      <c r="C679" s="17"/>
      <c r="D679" s="17"/>
      <c r="E679" s="18"/>
    </row>
    <row r="680" spans="3:5">
      <c r="C680" s="17"/>
      <c r="D680" s="17"/>
      <c r="E680" s="18"/>
    </row>
    <row r="681" spans="3:5">
      <c r="C681" s="17"/>
      <c r="D681" s="17"/>
      <c r="E681" s="18"/>
    </row>
    <row r="682" spans="3:5">
      <c r="C682" s="17"/>
      <c r="D682" s="17"/>
      <c r="E682" s="18"/>
    </row>
    <row r="683" spans="3:5">
      <c r="C683" s="17"/>
      <c r="D683" s="17"/>
      <c r="E683" s="18"/>
    </row>
    <row r="684" spans="3:5">
      <c r="C684" s="17"/>
      <c r="D684" s="17"/>
      <c r="E684" s="18"/>
    </row>
    <row r="685" spans="3:5">
      <c r="C685" s="17"/>
      <c r="D685" s="17"/>
      <c r="E685" s="18"/>
    </row>
    <row r="686" spans="3:5">
      <c r="C686" s="17"/>
      <c r="D686" s="17"/>
      <c r="E686" s="18"/>
    </row>
    <row r="687" spans="3:5">
      <c r="C687" s="17"/>
      <c r="D687" s="17"/>
      <c r="E687" s="18"/>
    </row>
    <row r="688" spans="3:5">
      <c r="C688" s="17"/>
      <c r="D688" s="17"/>
      <c r="E688" s="18"/>
    </row>
    <row r="689" spans="3:5">
      <c r="C689" s="17"/>
      <c r="D689" s="17"/>
      <c r="E689" s="18"/>
    </row>
    <row r="690" spans="3:5">
      <c r="C690" s="17"/>
      <c r="D690" s="17"/>
      <c r="E690" s="18"/>
    </row>
    <row r="691" spans="3:5">
      <c r="C691" s="17"/>
      <c r="D691" s="17"/>
      <c r="E691" s="18"/>
    </row>
    <row r="692" spans="3:5">
      <c r="C692" s="17"/>
      <c r="D692" s="17"/>
      <c r="E692" s="18"/>
    </row>
    <row r="693" spans="3:5">
      <c r="C693" s="17"/>
      <c r="D693" s="17"/>
      <c r="E693" s="18"/>
    </row>
    <row r="694" spans="3:5">
      <c r="C694" s="17"/>
      <c r="D694" s="17"/>
      <c r="E694" s="18"/>
    </row>
    <row r="695" spans="3:5">
      <c r="C695" s="17"/>
      <c r="D695" s="17"/>
      <c r="E695" s="18"/>
    </row>
    <row r="696" spans="3:5">
      <c r="C696" s="17"/>
      <c r="D696" s="17"/>
      <c r="E696" s="18"/>
    </row>
    <row r="697" spans="3:5">
      <c r="C697" s="17"/>
      <c r="D697" s="17"/>
      <c r="E697" s="18"/>
    </row>
    <row r="698" spans="3:5">
      <c r="C698" s="17"/>
      <c r="D698" s="17"/>
      <c r="E698" s="18"/>
    </row>
    <row r="699" spans="3:5">
      <c r="C699" s="17"/>
      <c r="D699" s="17"/>
      <c r="E699" s="18"/>
    </row>
    <row r="700" spans="3:5">
      <c r="C700" s="17"/>
      <c r="D700" s="17"/>
      <c r="E700" s="18"/>
    </row>
    <row r="701" spans="3:5">
      <c r="C701" s="17"/>
      <c r="D701" s="17"/>
      <c r="E701" s="18"/>
    </row>
    <row r="702" spans="3:5">
      <c r="C702" s="17"/>
      <c r="D702" s="17"/>
      <c r="E702" s="18"/>
    </row>
    <row r="703" spans="3:5">
      <c r="C703" s="17"/>
      <c r="D703" s="17"/>
      <c r="E703" s="18"/>
    </row>
    <row r="704" spans="3:5">
      <c r="C704" s="17"/>
      <c r="D704" s="17"/>
      <c r="E704" s="18"/>
    </row>
    <row r="705" spans="3:5">
      <c r="C705" s="17"/>
      <c r="D705" s="17"/>
      <c r="E705" s="18"/>
    </row>
    <row r="706" spans="3:5">
      <c r="C706" s="17"/>
      <c r="D706" s="17"/>
      <c r="E706" s="18"/>
    </row>
  </sheetData>
  <autoFilter ref="A1:G706" xr:uid="{00000000-0009-0000-0000-000001000000}"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V319"/>
  <sheetViews>
    <sheetView tabSelected="1" topLeftCell="T1" zoomScaleNormal="100" workbookViewId="0">
      <selection activeCell="AU17" sqref="AU17"/>
    </sheetView>
  </sheetViews>
  <sheetFormatPr defaultColWidth="12.625" defaultRowHeight="15" customHeight="1"/>
  <cols>
    <col min="1" max="1" width="13.5" style="16" customWidth="1"/>
    <col min="2" max="2" width="5.25" style="16" customWidth="1"/>
    <col min="3" max="3" width="6.25" style="16" customWidth="1"/>
    <col min="4" max="4" width="6.125" style="16" customWidth="1"/>
    <col min="5" max="5" width="2.5" style="16" customWidth="1"/>
    <col min="6" max="6" width="33.25" style="16" customWidth="1"/>
    <col min="7" max="7" width="11.125" style="21" customWidth="1"/>
    <col min="8" max="8" width="8.5" style="16" customWidth="1"/>
    <col min="9" max="9" width="9.625" style="16" customWidth="1"/>
    <col min="10" max="12" width="6.625" style="51" customWidth="1"/>
    <col min="13" max="13" width="7.625" style="51" customWidth="1"/>
    <col min="14" max="16" width="6.625" style="51" customWidth="1"/>
    <col min="17" max="17" width="8.75" style="51" customWidth="1"/>
    <col min="18" max="18" width="5.875" style="51" customWidth="1"/>
    <col min="19" max="25" width="6.625" style="51" customWidth="1"/>
    <col min="26" max="27" width="7.625" style="51" customWidth="1"/>
    <col min="28" max="28" width="6.625" style="51" customWidth="1"/>
    <col min="29" max="29" width="7.625" style="51" customWidth="1"/>
    <col min="30" max="34" width="6.625" style="51" customWidth="1"/>
    <col min="35" max="35" width="5.875" style="51" customWidth="1"/>
    <col min="36" max="38" width="6.625" style="51" customWidth="1"/>
    <col min="39" max="40" width="8.625" style="51" customWidth="1"/>
    <col min="41" max="45" width="7.625" style="51" customWidth="1"/>
    <col min="46" max="46" width="12.625" style="16" customWidth="1"/>
    <col min="47" max="47" width="34" style="16" bestFit="1" customWidth="1"/>
    <col min="48" max="48" width="12.625" style="16" customWidth="1"/>
    <col min="49" max="16384" width="12.625" style="16"/>
  </cols>
  <sheetData>
    <row r="1" spans="1:47" ht="15" customHeight="1">
      <c r="F1" s="21" t="s">
        <v>847</v>
      </c>
      <c r="G1" s="22">
        <f>COUNTIF(G5:G319, "*M")+COUNTIF(G5:G319, "*G")+COUNTIF(G5:G319, "*공유")</f>
        <v>312</v>
      </c>
      <c r="H1" s="22">
        <f>COUNTIF(H5:H319, "2.5G*")</f>
        <v>148</v>
      </c>
      <c r="I1" s="22">
        <f>COUNTIF(I5:I319, "확*") + COUNTIF(I5:I319, "미*")</f>
        <v>0</v>
      </c>
      <c r="J1" s="22">
        <f>SUBTOTAL(102,J$5:J$319)</f>
        <v>315</v>
      </c>
      <c r="K1" s="22">
        <f>COUNTIF(K5:K319, "&gt;=1")</f>
        <v>277</v>
      </c>
      <c r="L1" s="22">
        <f>COUNTIF(L5:L319, "&gt;=1")</f>
        <v>269</v>
      </c>
      <c r="M1" s="22">
        <f>COUNTIF(M5:M319, "&gt;=1")</f>
        <v>314</v>
      </c>
      <c r="N1" s="22">
        <f>COUNTIF(N5:N319, "&gt;=1")</f>
        <v>313</v>
      </c>
      <c r="O1" s="22">
        <f>COUNTIF(O5:O319, "&gt;=1")</f>
        <v>51</v>
      </c>
      <c r="P1" s="22"/>
      <c r="Q1" s="22">
        <f t="shared" ref="Q1:AS1" si="0">COUNTIF(Q5:Q319, "&gt;=1")</f>
        <v>252</v>
      </c>
      <c r="R1" s="22">
        <f t="shared" si="0"/>
        <v>180</v>
      </c>
      <c r="S1" s="22">
        <f t="shared" si="0"/>
        <v>2</v>
      </c>
      <c r="T1" s="22">
        <f t="shared" si="0"/>
        <v>110</v>
      </c>
      <c r="U1" s="22">
        <f t="shared" si="0"/>
        <v>88</v>
      </c>
      <c r="V1" s="22">
        <f t="shared" si="0"/>
        <v>7</v>
      </c>
      <c r="W1" s="22">
        <f t="shared" si="0"/>
        <v>77</v>
      </c>
      <c r="X1" s="22">
        <f t="shared" si="0"/>
        <v>55</v>
      </c>
      <c r="Y1" s="22">
        <f t="shared" si="0"/>
        <v>5</v>
      </c>
      <c r="Z1" s="22">
        <f t="shared" si="0"/>
        <v>216</v>
      </c>
      <c r="AA1" s="22">
        <f t="shared" si="0"/>
        <v>201</v>
      </c>
      <c r="AB1" s="22">
        <f t="shared" si="0"/>
        <v>34</v>
      </c>
      <c r="AC1" s="22">
        <f t="shared" si="0"/>
        <v>62</v>
      </c>
      <c r="AD1" s="22">
        <f t="shared" si="0"/>
        <v>64</v>
      </c>
      <c r="AE1" s="22">
        <f t="shared" si="0"/>
        <v>10</v>
      </c>
      <c r="AF1" s="22">
        <f t="shared" si="0"/>
        <v>59</v>
      </c>
      <c r="AG1" s="22">
        <f t="shared" si="0"/>
        <v>57</v>
      </c>
      <c r="AH1" s="22">
        <f t="shared" si="0"/>
        <v>9</v>
      </c>
      <c r="AI1" s="22">
        <f t="shared" si="0"/>
        <v>313</v>
      </c>
      <c r="AJ1" s="22">
        <f t="shared" si="0"/>
        <v>99</v>
      </c>
      <c r="AK1" s="22">
        <f t="shared" si="0"/>
        <v>314</v>
      </c>
      <c r="AL1" s="22">
        <f t="shared" si="0"/>
        <v>26</v>
      </c>
      <c r="AM1" s="22">
        <f t="shared" si="0"/>
        <v>167</v>
      </c>
      <c r="AN1" s="22">
        <f t="shared" si="0"/>
        <v>315</v>
      </c>
      <c r="AO1" s="22">
        <f t="shared" si="0"/>
        <v>47</v>
      </c>
      <c r="AP1" s="22">
        <f t="shared" si="0"/>
        <v>312</v>
      </c>
      <c r="AQ1" s="22">
        <f t="shared" si="0"/>
        <v>315</v>
      </c>
      <c r="AR1" s="22">
        <f t="shared" si="0"/>
        <v>0</v>
      </c>
      <c r="AS1" s="22">
        <f t="shared" si="0"/>
        <v>0</v>
      </c>
    </row>
    <row r="2" spans="1:47" ht="15" customHeight="1">
      <c r="F2" s="21" t="s">
        <v>848</v>
      </c>
      <c r="G2" s="22">
        <f>SUBTOTAL(103,G$5:G$319)</f>
        <v>312</v>
      </c>
      <c r="H2" s="22">
        <f>SUBTOTAL(103,H$5:H$319)</f>
        <v>155</v>
      </c>
      <c r="I2" s="22">
        <f>SUBTOTAL(103,I$5:I$319)</f>
        <v>315</v>
      </c>
      <c r="J2" s="22">
        <f t="shared" ref="J2:O2" si="1">SUBTOTAL(109,J$5:J$319)</f>
        <v>626</v>
      </c>
      <c r="K2" s="22">
        <f t="shared" si="1"/>
        <v>443</v>
      </c>
      <c r="L2" s="22">
        <f t="shared" si="1"/>
        <v>313</v>
      </c>
      <c r="M2" s="22">
        <f t="shared" si="1"/>
        <v>2996</v>
      </c>
      <c r="N2" s="22">
        <f t="shared" si="1"/>
        <v>1172</v>
      </c>
      <c r="O2" s="22">
        <f t="shared" si="1"/>
        <v>65</v>
      </c>
      <c r="P2" s="22"/>
      <c r="Q2" s="22">
        <f t="shared" ref="Q2:AS2" si="2">SUBTOTAL(109,Q$5:Q$319)</f>
        <v>1084</v>
      </c>
      <c r="R2" s="22">
        <f t="shared" si="2"/>
        <v>464</v>
      </c>
      <c r="S2" s="22">
        <f t="shared" si="2"/>
        <v>3</v>
      </c>
      <c r="T2" s="22">
        <f t="shared" si="2"/>
        <v>257</v>
      </c>
      <c r="U2" s="22">
        <f t="shared" si="2"/>
        <v>132</v>
      </c>
      <c r="V2" s="22">
        <f t="shared" si="2"/>
        <v>26</v>
      </c>
      <c r="W2" s="22">
        <f t="shared" si="2"/>
        <v>163</v>
      </c>
      <c r="X2" s="22">
        <f t="shared" si="2"/>
        <v>96</v>
      </c>
      <c r="Y2" s="22">
        <f t="shared" si="2"/>
        <v>5</v>
      </c>
      <c r="Z2" s="22">
        <f t="shared" si="2"/>
        <v>2145</v>
      </c>
      <c r="AA2" s="22">
        <f t="shared" si="2"/>
        <v>712</v>
      </c>
      <c r="AB2" s="22">
        <f t="shared" si="2"/>
        <v>146</v>
      </c>
      <c r="AC2" s="22">
        <f t="shared" si="2"/>
        <v>636</v>
      </c>
      <c r="AD2" s="22">
        <f t="shared" si="2"/>
        <v>240</v>
      </c>
      <c r="AE2" s="22">
        <f t="shared" si="2"/>
        <v>45</v>
      </c>
      <c r="AF2" s="22">
        <f t="shared" si="2"/>
        <v>548</v>
      </c>
      <c r="AG2" s="22">
        <f t="shared" si="2"/>
        <v>193</v>
      </c>
      <c r="AH2" s="22">
        <f t="shared" si="2"/>
        <v>24</v>
      </c>
      <c r="AI2" s="22">
        <f t="shared" si="2"/>
        <v>313</v>
      </c>
      <c r="AJ2" s="22">
        <f t="shared" si="2"/>
        <v>130</v>
      </c>
      <c r="AK2" s="22">
        <f t="shared" si="2"/>
        <v>2070</v>
      </c>
      <c r="AL2" s="22">
        <f t="shared" si="2"/>
        <v>30</v>
      </c>
      <c r="AM2" s="22">
        <f t="shared" si="2"/>
        <v>1908</v>
      </c>
      <c r="AN2" s="22">
        <f t="shared" si="2"/>
        <v>11103</v>
      </c>
      <c r="AO2" s="22">
        <f t="shared" si="2"/>
        <v>72</v>
      </c>
      <c r="AP2" s="22">
        <f t="shared" si="2"/>
        <v>1595</v>
      </c>
      <c r="AQ2" s="23">
        <f t="shared" si="2"/>
        <v>13465</v>
      </c>
      <c r="AR2" s="23">
        <f t="shared" si="2"/>
        <v>0</v>
      </c>
      <c r="AS2" s="23">
        <f t="shared" si="2"/>
        <v>0</v>
      </c>
      <c r="AT2" s="24"/>
    </row>
    <row r="3" spans="1:47" s="25" customFormat="1" ht="36.75" customHeight="1">
      <c r="B3" s="25">
        <f>COUNTIF(B5:B319,"Y")</f>
        <v>315</v>
      </c>
      <c r="C3" s="26"/>
      <c r="D3" s="26"/>
      <c r="E3" s="26"/>
      <c r="I3" s="27"/>
      <c r="J3" s="28" t="s">
        <v>849</v>
      </c>
      <c r="K3" s="147" t="s">
        <v>850</v>
      </c>
      <c r="L3" s="149"/>
      <c r="M3" s="147" t="s">
        <v>851</v>
      </c>
      <c r="N3" s="148"/>
      <c r="O3" s="149"/>
      <c r="P3" s="29"/>
      <c r="Q3" s="147" t="s">
        <v>852</v>
      </c>
      <c r="R3" s="148"/>
      <c r="S3" s="149"/>
      <c r="T3" s="147" t="s">
        <v>853</v>
      </c>
      <c r="U3" s="148"/>
      <c r="V3" s="149"/>
      <c r="W3" s="147" t="s">
        <v>854</v>
      </c>
      <c r="X3" s="148"/>
      <c r="Y3" s="149"/>
      <c r="Z3" s="147" t="s">
        <v>855</v>
      </c>
      <c r="AA3" s="148"/>
      <c r="AB3" s="149"/>
      <c r="AC3" s="147" t="s">
        <v>856</v>
      </c>
      <c r="AD3" s="148"/>
      <c r="AE3" s="149"/>
      <c r="AF3" s="147" t="s">
        <v>857</v>
      </c>
      <c r="AG3" s="148"/>
      <c r="AH3" s="149"/>
      <c r="AI3" s="28" t="s">
        <v>858</v>
      </c>
      <c r="AJ3" s="28" t="s">
        <v>859</v>
      </c>
      <c r="AK3" s="28" t="s">
        <v>860</v>
      </c>
      <c r="AL3" s="28" t="s">
        <v>861</v>
      </c>
      <c r="AM3" s="28" t="s">
        <v>862</v>
      </c>
      <c r="AN3" s="28" t="s">
        <v>863</v>
      </c>
      <c r="AO3" s="30" t="s">
        <v>864</v>
      </c>
      <c r="AP3" s="30" t="s">
        <v>865</v>
      </c>
      <c r="AQ3" s="30" t="s">
        <v>866</v>
      </c>
      <c r="AR3" s="30" t="s">
        <v>867</v>
      </c>
      <c r="AS3" s="30" t="s">
        <v>868</v>
      </c>
      <c r="AT3" s="31">
        <f>AN2/SUM(AM2:AN2)</f>
        <v>0.85335485358542773</v>
      </c>
      <c r="AU3" s="32"/>
    </row>
    <row r="4" spans="1:47" s="40" customFormat="1" ht="39.75" customHeight="1">
      <c r="A4" s="1" t="s">
        <v>0</v>
      </c>
      <c r="B4" s="33" t="s">
        <v>869</v>
      </c>
      <c r="C4" s="2" t="s">
        <v>870</v>
      </c>
      <c r="D4" s="2" t="s">
        <v>871</v>
      </c>
      <c r="E4" s="2" t="s">
        <v>872</v>
      </c>
      <c r="F4" s="1" t="s">
        <v>1</v>
      </c>
      <c r="G4" s="1" t="s">
        <v>873</v>
      </c>
      <c r="H4" s="1" t="s">
        <v>874</v>
      </c>
      <c r="I4" s="1" t="s">
        <v>875</v>
      </c>
      <c r="J4" s="34" t="s">
        <v>876</v>
      </c>
      <c r="K4" s="35" t="s">
        <v>877</v>
      </c>
      <c r="L4" s="36" t="s">
        <v>878</v>
      </c>
      <c r="M4" s="35" t="s">
        <v>877</v>
      </c>
      <c r="N4" s="36" t="s">
        <v>878</v>
      </c>
      <c r="O4" s="37" t="s">
        <v>879</v>
      </c>
      <c r="P4" s="37" t="s">
        <v>848</v>
      </c>
      <c r="Q4" s="35" t="s">
        <v>877</v>
      </c>
      <c r="R4" s="36" t="s">
        <v>878</v>
      </c>
      <c r="S4" s="37" t="s">
        <v>879</v>
      </c>
      <c r="T4" s="35" t="s">
        <v>877</v>
      </c>
      <c r="U4" s="36" t="s">
        <v>878</v>
      </c>
      <c r="V4" s="37" t="s">
        <v>879</v>
      </c>
      <c r="W4" s="35" t="s">
        <v>877</v>
      </c>
      <c r="X4" s="36" t="s">
        <v>878</v>
      </c>
      <c r="Y4" s="37" t="s">
        <v>879</v>
      </c>
      <c r="Z4" s="35" t="s">
        <v>877</v>
      </c>
      <c r="AA4" s="36" t="s">
        <v>878</v>
      </c>
      <c r="AB4" s="37" t="s">
        <v>879</v>
      </c>
      <c r="AC4" s="35" t="s">
        <v>877</v>
      </c>
      <c r="AD4" s="36" t="s">
        <v>878</v>
      </c>
      <c r="AE4" s="37" t="s">
        <v>879</v>
      </c>
      <c r="AF4" s="35" t="s">
        <v>877</v>
      </c>
      <c r="AG4" s="36" t="s">
        <v>878</v>
      </c>
      <c r="AH4" s="37" t="s">
        <v>879</v>
      </c>
      <c r="AI4" s="38" t="s">
        <v>880</v>
      </c>
      <c r="AJ4" s="38" t="s">
        <v>880</v>
      </c>
      <c r="AK4" s="38" t="s">
        <v>880</v>
      </c>
      <c r="AL4" s="38" t="s">
        <v>880</v>
      </c>
      <c r="AM4" s="38" t="s">
        <v>880</v>
      </c>
      <c r="AN4" s="38" t="s">
        <v>880</v>
      </c>
      <c r="AO4" s="38" t="s">
        <v>880</v>
      </c>
      <c r="AP4" s="38" t="s">
        <v>880</v>
      </c>
      <c r="AQ4" s="38" t="s">
        <v>880</v>
      </c>
      <c r="AR4" s="38" t="s">
        <v>880</v>
      </c>
      <c r="AS4" s="38" t="s">
        <v>880</v>
      </c>
      <c r="AT4" s="39">
        <f>AM2/SUM(AM2:AN2)</f>
        <v>0.1466451464145723</v>
      </c>
      <c r="AU4" s="61" t="s">
        <v>881</v>
      </c>
    </row>
    <row r="5" spans="1:47" ht="16.5" customHeight="1">
      <c r="A5" s="74" t="s">
        <v>280</v>
      </c>
      <c r="B5" s="41" t="s">
        <v>882</v>
      </c>
      <c r="C5" s="5" t="s">
        <v>883</v>
      </c>
      <c r="D5" s="75" t="s">
        <v>884</v>
      </c>
      <c r="E5" s="42"/>
      <c r="F5" s="74" t="s">
        <v>281</v>
      </c>
      <c r="G5" s="113" t="s">
        <v>843</v>
      </c>
      <c r="H5" s="114"/>
      <c r="I5" s="115" t="s">
        <v>885</v>
      </c>
      <c r="J5" s="116">
        <v>2</v>
      </c>
      <c r="K5" s="117">
        <v>0</v>
      </c>
      <c r="L5" s="117">
        <v>0</v>
      </c>
      <c r="M5" s="116">
        <v>10</v>
      </c>
      <c r="N5" s="116">
        <v>3</v>
      </c>
      <c r="O5" s="116">
        <v>1</v>
      </c>
      <c r="P5" s="43">
        <v>0</v>
      </c>
      <c r="Q5" s="116">
        <v>0</v>
      </c>
      <c r="R5" s="116">
        <v>0</v>
      </c>
      <c r="S5" s="116">
        <v>0</v>
      </c>
      <c r="T5" s="116">
        <v>2</v>
      </c>
      <c r="U5" s="116">
        <v>1</v>
      </c>
      <c r="V5" s="116">
        <v>0</v>
      </c>
      <c r="W5" s="116">
        <v>0</v>
      </c>
      <c r="X5" s="116">
        <v>0</v>
      </c>
      <c r="Y5" s="116">
        <v>0</v>
      </c>
      <c r="Z5" s="116">
        <v>4</v>
      </c>
      <c r="AA5" s="116">
        <v>1</v>
      </c>
      <c r="AB5" s="116">
        <v>5</v>
      </c>
      <c r="AC5" s="116">
        <v>0</v>
      </c>
      <c r="AD5" s="116">
        <v>0</v>
      </c>
      <c r="AE5" s="116">
        <v>0</v>
      </c>
      <c r="AF5" s="116">
        <v>0</v>
      </c>
      <c r="AG5" s="116">
        <v>0</v>
      </c>
      <c r="AH5" s="116">
        <v>0</v>
      </c>
      <c r="AI5" s="116">
        <v>1</v>
      </c>
      <c r="AJ5" s="117">
        <v>0</v>
      </c>
      <c r="AK5" s="117">
        <v>6</v>
      </c>
      <c r="AL5" s="117">
        <v>1</v>
      </c>
      <c r="AM5" s="117">
        <v>0</v>
      </c>
      <c r="AN5" s="117">
        <v>23</v>
      </c>
      <c r="AO5" s="117">
        <v>2</v>
      </c>
      <c r="AP5" s="117">
        <v>5</v>
      </c>
      <c r="AQ5" s="117">
        <v>24</v>
      </c>
      <c r="AR5" s="44"/>
      <c r="AS5" s="44"/>
      <c r="AT5" s="46"/>
      <c r="AU5" s="62" t="s">
        <v>886</v>
      </c>
    </row>
    <row r="6" spans="1:47" ht="16.5" customHeight="1">
      <c r="A6" s="76" t="s">
        <v>631</v>
      </c>
      <c r="B6" s="41" t="s">
        <v>882</v>
      </c>
      <c r="C6" s="5" t="s">
        <v>883</v>
      </c>
      <c r="D6" s="77" t="s">
        <v>884</v>
      </c>
      <c r="E6" s="47"/>
      <c r="F6" s="76" t="s">
        <v>632</v>
      </c>
      <c r="G6" s="121" t="s">
        <v>843</v>
      </c>
      <c r="H6" s="122"/>
      <c r="I6" s="123" t="s">
        <v>885</v>
      </c>
      <c r="J6" s="124">
        <v>2</v>
      </c>
      <c r="K6" s="117">
        <v>1</v>
      </c>
      <c r="L6" s="117">
        <v>1</v>
      </c>
      <c r="M6" s="116">
        <v>15</v>
      </c>
      <c r="N6" s="116">
        <v>1</v>
      </c>
      <c r="O6" s="116">
        <v>0</v>
      </c>
      <c r="P6" s="43">
        <v>3</v>
      </c>
      <c r="Q6" s="116">
        <v>1</v>
      </c>
      <c r="R6" s="116">
        <v>2</v>
      </c>
      <c r="S6" s="116">
        <v>0</v>
      </c>
      <c r="T6" s="116">
        <v>0</v>
      </c>
      <c r="U6" s="116">
        <v>0</v>
      </c>
      <c r="V6" s="116">
        <v>0</v>
      </c>
      <c r="W6" s="116">
        <v>0</v>
      </c>
      <c r="X6" s="116">
        <v>0</v>
      </c>
      <c r="Y6" s="116">
        <v>0</v>
      </c>
      <c r="Z6" s="116">
        <v>0</v>
      </c>
      <c r="AA6" s="116">
        <v>0</v>
      </c>
      <c r="AB6" s="116">
        <v>0</v>
      </c>
      <c r="AC6" s="116">
        <v>0</v>
      </c>
      <c r="AD6" s="116">
        <v>0</v>
      </c>
      <c r="AE6" s="116">
        <v>0</v>
      </c>
      <c r="AF6" s="116">
        <v>15</v>
      </c>
      <c r="AG6" s="116">
        <v>2</v>
      </c>
      <c r="AH6" s="116">
        <v>0</v>
      </c>
      <c r="AI6" s="116">
        <v>1</v>
      </c>
      <c r="AJ6" s="117">
        <v>1</v>
      </c>
      <c r="AK6" s="117">
        <v>4</v>
      </c>
      <c r="AL6" s="117">
        <v>0</v>
      </c>
      <c r="AM6" s="117">
        <v>18</v>
      </c>
      <c r="AN6" s="117">
        <v>32</v>
      </c>
      <c r="AO6" s="117">
        <v>0</v>
      </c>
      <c r="AP6" s="117">
        <v>4</v>
      </c>
      <c r="AQ6" s="117">
        <v>51</v>
      </c>
      <c r="AR6" s="44"/>
      <c r="AS6" s="44"/>
      <c r="AT6" s="46"/>
      <c r="AU6" s="62" t="s">
        <v>887</v>
      </c>
    </row>
    <row r="7" spans="1:47" ht="16.5" customHeight="1">
      <c r="A7" s="76" t="s">
        <v>151</v>
      </c>
      <c r="B7" s="41" t="s">
        <v>882</v>
      </c>
      <c r="C7" s="5" t="s">
        <v>883</v>
      </c>
      <c r="D7" s="77" t="s">
        <v>884</v>
      </c>
      <c r="E7" s="48"/>
      <c r="F7" s="76" t="s">
        <v>152</v>
      </c>
      <c r="G7" s="121" t="s">
        <v>843</v>
      </c>
      <c r="H7" s="122"/>
      <c r="I7" s="123" t="s">
        <v>888</v>
      </c>
      <c r="J7" s="124">
        <v>2</v>
      </c>
      <c r="K7" s="117">
        <v>1</v>
      </c>
      <c r="L7" s="117">
        <v>2</v>
      </c>
      <c r="M7" s="116">
        <v>21</v>
      </c>
      <c r="N7" s="116">
        <v>5</v>
      </c>
      <c r="O7" s="116">
        <v>0</v>
      </c>
      <c r="P7" s="43">
        <v>2</v>
      </c>
      <c r="Q7" s="116">
        <v>1</v>
      </c>
      <c r="R7" s="116">
        <v>1</v>
      </c>
      <c r="S7" s="116">
        <v>0</v>
      </c>
      <c r="T7" s="116">
        <v>2</v>
      </c>
      <c r="U7" s="116">
        <v>1</v>
      </c>
      <c r="V7" s="116">
        <v>0</v>
      </c>
      <c r="W7" s="116">
        <v>0</v>
      </c>
      <c r="X7" s="116">
        <v>0</v>
      </c>
      <c r="Y7" s="116">
        <v>0</v>
      </c>
      <c r="Z7" s="116">
        <v>20</v>
      </c>
      <c r="AA7" s="116">
        <v>4</v>
      </c>
      <c r="AB7" s="116">
        <v>0</v>
      </c>
      <c r="AC7" s="116">
        <v>0</v>
      </c>
      <c r="AD7" s="116">
        <v>0</v>
      </c>
      <c r="AE7" s="116">
        <v>0</v>
      </c>
      <c r="AF7" s="116">
        <v>0</v>
      </c>
      <c r="AG7" s="116">
        <v>0</v>
      </c>
      <c r="AH7" s="116">
        <v>0</v>
      </c>
      <c r="AI7" s="116">
        <v>1</v>
      </c>
      <c r="AJ7" s="117">
        <v>0</v>
      </c>
      <c r="AK7" s="117">
        <v>7</v>
      </c>
      <c r="AL7" s="117">
        <v>0</v>
      </c>
      <c r="AM7" s="117">
        <v>1</v>
      </c>
      <c r="AN7" s="117">
        <v>32</v>
      </c>
      <c r="AO7" s="117">
        <v>1</v>
      </c>
      <c r="AP7" s="117">
        <v>3</v>
      </c>
      <c r="AQ7" s="117">
        <v>33</v>
      </c>
      <c r="AR7" s="44"/>
      <c r="AS7" s="44"/>
      <c r="AT7" s="46"/>
      <c r="AU7" s="62" t="s">
        <v>889</v>
      </c>
    </row>
    <row r="8" spans="1:47" ht="16.5" customHeight="1">
      <c r="A8" s="76" t="s">
        <v>633</v>
      </c>
      <c r="B8" s="41" t="s">
        <v>882</v>
      </c>
      <c r="C8" s="5" t="s">
        <v>883</v>
      </c>
      <c r="D8" s="77" t="s">
        <v>884</v>
      </c>
      <c r="E8" s="48"/>
      <c r="F8" s="76" t="s">
        <v>634</v>
      </c>
      <c r="G8" s="121" t="s">
        <v>843</v>
      </c>
      <c r="H8" s="122"/>
      <c r="I8" s="123" t="s">
        <v>888</v>
      </c>
      <c r="J8" s="124">
        <v>2</v>
      </c>
      <c r="K8" s="117">
        <v>1</v>
      </c>
      <c r="L8" s="117">
        <v>1</v>
      </c>
      <c r="M8" s="116">
        <v>11</v>
      </c>
      <c r="N8" s="116">
        <v>2</v>
      </c>
      <c r="O8" s="116">
        <v>0</v>
      </c>
      <c r="P8" s="43">
        <v>4</v>
      </c>
      <c r="Q8" s="116">
        <v>3</v>
      </c>
      <c r="R8" s="116">
        <v>1</v>
      </c>
      <c r="S8" s="116">
        <v>0</v>
      </c>
      <c r="T8" s="116">
        <v>0</v>
      </c>
      <c r="U8" s="116">
        <v>0</v>
      </c>
      <c r="V8" s="116">
        <v>0</v>
      </c>
      <c r="W8" s="116">
        <v>0</v>
      </c>
      <c r="X8" s="116">
        <v>0</v>
      </c>
      <c r="Y8" s="116">
        <v>0</v>
      </c>
      <c r="Z8" s="116">
        <v>0</v>
      </c>
      <c r="AA8" s="116">
        <v>0</v>
      </c>
      <c r="AB8" s="116">
        <v>0</v>
      </c>
      <c r="AC8" s="116">
        <v>13</v>
      </c>
      <c r="AD8" s="116">
        <v>2</v>
      </c>
      <c r="AE8" s="116">
        <v>0</v>
      </c>
      <c r="AF8" s="116">
        <v>0</v>
      </c>
      <c r="AG8" s="116">
        <v>0</v>
      </c>
      <c r="AH8" s="116">
        <v>0</v>
      </c>
      <c r="AI8" s="116">
        <v>1</v>
      </c>
      <c r="AJ8" s="117">
        <v>0</v>
      </c>
      <c r="AK8" s="117">
        <v>5</v>
      </c>
      <c r="AL8" s="117">
        <v>0</v>
      </c>
      <c r="AM8" s="117">
        <v>0</v>
      </c>
      <c r="AN8" s="117">
        <v>24</v>
      </c>
      <c r="AO8" s="117">
        <v>0</v>
      </c>
      <c r="AP8" s="117">
        <v>4</v>
      </c>
      <c r="AQ8" s="117">
        <v>25</v>
      </c>
      <c r="AR8" s="44"/>
      <c r="AS8" s="44"/>
      <c r="AT8" s="46"/>
      <c r="AU8" s="62" t="s">
        <v>890</v>
      </c>
    </row>
    <row r="9" spans="1:47" ht="16.5" customHeight="1">
      <c r="A9" s="76" t="s">
        <v>635</v>
      </c>
      <c r="B9" s="41" t="s">
        <v>882</v>
      </c>
      <c r="C9" s="5" t="s">
        <v>883</v>
      </c>
      <c r="D9" s="77" t="s">
        <v>884</v>
      </c>
      <c r="E9" s="48"/>
      <c r="F9" s="76" t="s">
        <v>636</v>
      </c>
      <c r="G9" s="121" t="s">
        <v>843</v>
      </c>
      <c r="H9" s="122"/>
      <c r="I9" s="123" t="s">
        <v>885</v>
      </c>
      <c r="J9" s="124">
        <v>2</v>
      </c>
      <c r="K9" s="117">
        <v>3</v>
      </c>
      <c r="L9" s="117">
        <v>1</v>
      </c>
      <c r="M9" s="116">
        <v>6</v>
      </c>
      <c r="N9" s="116">
        <v>2</v>
      </c>
      <c r="O9" s="116">
        <v>0</v>
      </c>
      <c r="P9" s="43">
        <v>6</v>
      </c>
      <c r="Q9" s="116">
        <v>4</v>
      </c>
      <c r="R9" s="116">
        <v>2</v>
      </c>
      <c r="S9" s="116">
        <v>0</v>
      </c>
      <c r="T9" s="116">
        <v>0</v>
      </c>
      <c r="U9" s="116">
        <v>0</v>
      </c>
      <c r="V9" s="116">
        <v>0</v>
      </c>
      <c r="W9" s="116">
        <v>1</v>
      </c>
      <c r="X9" s="116">
        <v>1</v>
      </c>
      <c r="Y9" s="116">
        <v>0</v>
      </c>
      <c r="Z9" s="116">
        <v>8</v>
      </c>
      <c r="AA9" s="116">
        <v>2</v>
      </c>
      <c r="AB9" s="116">
        <v>0</v>
      </c>
      <c r="AC9" s="116">
        <v>0</v>
      </c>
      <c r="AD9" s="116">
        <v>0</v>
      </c>
      <c r="AE9" s="116">
        <v>0</v>
      </c>
      <c r="AF9" s="116">
        <v>0</v>
      </c>
      <c r="AG9" s="116">
        <v>0</v>
      </c>
      <c r="AH9" s="116">
        <v>0</v>
      </c>
      <c r="AI9" s="116">
        <v>1</v>
      </c>
      <c r="AJ9" s="117">
        <v>1</v>
      </c>
      <c r="AK9" s="117">
        <v>3</v>
      </c>
      <c r="AL9" s="117">
        <v>0</v>
      </c>
      <c r="AM9" s="117">
        <v>14</v>
      </c>
      <c r="AN9" s="117">
        <v>11</v>
      </c>
      <c r="AO9" s="117">
        <v>0</v>
      </c>
      <c r="AP9" s="117">
        <v>2</v>
      </c>
      <c r="AQ9" s="117">
        <v>27</v>
      </c>
      <c r="AR9" s="44"/>
      <c r="AS9" s="44"/>
      <c r="AT9" s="46"/>
      <c r="AU9" s="62" t="s">
        <v>887</v>
      </c>
    </row>
    <row r="10" spans="1:47" ht="16.5" customHeight="1">
      <c r="A10" s="76" t="s">
        <v>208</v>
      </c>
      <c r="B10" s="41" t="s">
        <v>882</v>
      </c>
      <c r="C10" s="5" t="s">
        <v>883</v>
      </c>
      <c r="D10" s="77" t="s">
        <v>884</v>
      </c>
      <c r="E10" s="47"/>
      <c r="F10" s="76" t="s">
        <v>209</v>
      </c>
      <c r="G10" s="121" t="s">
        <v>843</v>
      </c>
      <c r="H10" s="122"/>
      <c r="I10" s="123" t="s">
        <v>888</v>
      </c>
      <c r="J10" s="124">
        <v>2</v>
      </c>
      <c r="K10" s="117">
        <v>3</v>
      </c>
      <c r="L10" s="117">
        <v>1</v>
      </c>
      <c r="M10" s="116">
        <v>7</v>
      </c>
      <c r="N10" s="116">
        <v>4</v>
      </c>
      <c r="O10" s="116">
        <v>0</v>
      </c>
      <c r="P10" s="43">
        <v>8</v>
      </c>
      <c r="Q10" s="116">
        <v>8</v>
      </c>
      <c r="R10" s="116">
        <v>0</v>
      </c>
      <c r="S10" s="116">
        <v>0</v>
      </c>
      <c r="T10" s="116">
        <v>1</v>
      </c>
      <c r="U10" s="116">
        <v>1</v>
      </c>
      <c r="V10" s="116">
        <v>0</v>
      </c>
      <c r="W10" s="116">
        <v>0</v>
      </c>
      <c r="X10" s="116">
        <v>0</v>
      </c>
      <c r="Y10" s="116">
        <v>0</v>
      </c>
      <c r="Z10" s="116">
        <v>0</v>
      </c>
      <c r="AA10" s="116">
        <v>0</v>
      </c>
      <c r="AB10" s="116">
        <v>0</v>
      </c>
      <c r="AC10" s="116">
        <v>13</v>
      </c>
      <c r="AD10" s="116">
        <v>2</v>
      </c>
      <c r="AE10" s="116">
        <v>0</v>
      </c>
      <c r="AF10" s="116">
        <v>0</v>
      </c>
      <c r="AG10" s="116">
        <v>0</v>
      </c>
      <c r="AH10" s="116">
        <v>0</v>
      </c>
      <c r="AI10" s="116">
        <v>1</v>
      </c>
      <c r="AJ10" s="117">
        <v>1</v>
      </c>
      <c r="AK10" s="117">
        <v>3</v>
      </c>
      <c r="AL10" s="117">
        <v>0</v>
      </c>
      <c r="AM10" s="117">
        <v>11</v>
      </c>
      <c r="AN10" s="117">
        <v>8</v>
      </c>
      <c r="AO10" s="117">
        <v>1</v>
      </c>
      <c r="AP10" s="117">
        <v>2</v>
      </c>
      <c r="AQ10" s="117">
        <v>20</v>
      </c>
      <c r="AR10" s="44"/>
      <c r="AS10" s="44"/>
      <c r="AT10" s="46"/>
      <c r="AU10" s="62" t="s">
        <v>891</v>
      </c>
    </row>
    <row r="11" spans="1:47" ht="16.5" customHeight="1">
      <c r="A11" s="76" t="s">
        <v>214</v>
      </c>
      <c r="B11" s="41" t="s">
        <v>882</v>
      </c>
      <c r="C11" s="5" t="s">
        <v>883</v>
      </c>
      <c r="D11" s="77" t="s">
        <v>884</v>
      </c>
      <c r="E11" s="48"/>
      <c r="F11" s="76" t="s">
        <v>215</v>
      </c>
      <c r="G11" s="121" t="s">
        <v>843</v>
      </c>
      <c r="H11" s="122"/>
      <c r="I11" s="123" t="s">
        <v>885</v>
      </c>
      <c r="J11" s="124">
        <v>2</v>
      </c>
      <c r="K11" s="117">
        <v>1</v>
      </c>
      <c r="L11" s="117">
        <v>2</v>
      </c>
      <c r="M11" s="116">
        <v>7</v>
      </c>
      <c r="N11" s="116">
        <v>1</v>
      </c>
      <c r="O11" s="116">
        <v>0</v>
      </c>
      <c r="P11" s="43">
        <v>5</v>
      </c>
      <c r="Q11" s="116">
        <v>3</v>
      </c>
      <c r="R11" s="116">
        <v>2</v>
      </c>
      <c r="S11" s="116">
        <v>0</v>
      </c>
      <c r="T11" s="116">
        <v>0</v>
      </c>
      <c r="U11" s="116">
        <v>0</v>
      </c>
      <c r="V11" s="116">
        <v>0</v>
      </c>
      <c r="W11" s="116">
        <v>0</v>
      </c>
      <c r="X11" s="116">
        <v>0</v>
      </c>
      <c r="Y11" s="116">
        <v>0</v>
      </c>
      <c r="Z11" s="116">
        <v>0</v>
      </c>
      <c r="AA11" s="116">
        <v>0</v>
      </c>
      <c r="AB11" s="116">
        <v>0</v>
      </c>
      <c r="AC11" s="116">
        <v>9</v>
      </c>
      <c r="AD11" s="116">
        <v>2</v>
      </c>
      <c r="AE11" s="116">
        <v>0</v>
      </c>
      <c r="AF11" s="116">
        <v>0</v>
      </c>
      <c r="AG11" s="116">
        <v>0</v>
      </c>
      <c r="AH11" s="116">
        <v>0</v>
      </c>
      <c r="AI11" s="116">
        <v>1</v>
      </c>
      <c r="AJ11" s="117">
        <v>1</v>
      </c>
      <c r="AK11" s="117">
        <v>6</v>
      </c>
      <c r="AL11" s="117">
        <v>0</v>
      </c>
      <c r="AM11" s="117">
        <v>12</v>
      </c>
      <c r="AN11" s="117">
        <v>35</v>
      </c>
      <c r="AO11" s="117">
        <v>0</v>
      </c>
      <c r="AP11" s="117">
        <v>5</v>
      </c>
      <c r="AQ11" s="117">
        <v>49</v>
      </c>
      <c r="AR11" s="44"/>
      <c r="AS11" s="44"/>
      <c r="AT11" s="46"/>
      <c r="AU11" s="62" t="s">
        <v>892</v>
      </c>
    </row>
    <row r="12" spans="1:47" ht="16.5" customHeight="1">
      <c r="A12" s="76" t="s">
        <v>657</v>
      </c>
      <c r="B12" s="41" t="s">
        <v>882</v>
      </c>
      <c r="C12" s="5" t="s">
        <v>883</v>
      </c>
      <c r="D12" s="77" t="s">
        <v>884</v>
      </c>
      <c r="E12" s="49"/>
      <c r="F12" s="76" t="s">
        <v>658</v>
      </c>
      <c r="G12" s="121" t="s">
        <v>843</v>
      </c>
      <c r="H12" s="122" t="s">
        <v>842</v>
      </c>
      <c r="I12" s="123" t="s">
        <v>888</v>
      </c>
      <c r="J12" s="124">
        <v>2</v>
      </c>
      <c r="K12" s="117">
        <v>2</v>
      </c>
      <c r="L12" s="117">
        <v>1</v>
      </c>
      <c r="M12" s="116">
        <v>9</v>
      </c>
      <c r="N12" s="116">
        <v>4</v>
      </c>
      <c r="O12" s="116">
        <v>0</v>
      </c>
      <c r="P12" s="43">
        <v>3</v>
      </c>
      <c r="Q12" s="116">
        <v>3</v>
      </c>
      <c r="R12" s="116">
        <v>0</v>
      </c>
      <c r="S12" s="116">
        <v>0</v>
      </c>
      <c r="T12" s="116">
        <v>0</v>
      </c>
      <c r="U12" s="116">
        <v>1</v>
      </c>
      <c r="V12" s="116">
        <v>0</v>
      </c>
      <c r="W12" s="116">
        <v>0</v>
      </c>
      <c r="X12" s="116">
        <v>0</v>
      </c>
      <c r="Y12" s="116">
        <v>0</v>
      </c>
      <c r="Z12" s="116">
        <v>11</v>
      </c>
      <c r="AA12" s="116">
        <v>2</v>
      </c>
      <c r="AB12" s="116">
        <v>0</v>
      </c>
      <c r="AC12" s="116">
        <v>0</v>
      </c>
      <c r="AD12" s="116">
        <v>0</v>
      </c>
      <c r="AE12" s="116">
        <v>0</v>
      </c>
      <c r="AF12" s="116">
        <v>0</v>
      </c>
      <c r="AG12" s="116">
        <v>0</v>
      </c>
      <c r="AH12" s="116">
        <v>0</v>
      </c>
      <c r="AI12" s="116">
        <v>1</v>
      </c>
      <c r="AJ12" s="117">
        <v>0</v>
      </c>
      <c r="AK12" s="117">
        <v>6</v>
      </c>
      <c r="AL12" s="117">
        <v>0</v>
      </c>
      <c r="AM12" s="117">
        <v>0</v>
      </c>
      <c r="AN12" s="117">
        <v>40</v>
      </c>
      <c r="AO12" s="117">
        <v>0</v>
      </c>
      <c r="AP12" s="117">
        <v>6</v>
      </c>
      <c r="AQ12" s="117">
        <v>40</v>
      </c>
      <c r="AR12" s="44"/>
      <c r="AS12" s="44"/>
      <c r="AT12" s="46"/>
      <c r="AU12" s="62" t="s">
        <v>893</v>
      </c>
    </row>
    <row r="13" spans="1:47" ht="16.5" customHeight="1">
      <c r="A13" s="76" t="s">
        <v>659</v>
      </c>
      <c r="B13" s="41" t="s">
        <v>882</v>
      </c>
      <c r="C13" s="5" t="s">
        <v>883</v>
      </c>
      <c r="D13" s="77" t="s">
        <v>884</v>
      </c>
      <c r="E13" s="47"/>
      <c r="F13" s="76" t="s">
        <v>660</v>
      </c>
      <c r="G13" s="121" t="s">
        <v>843</v>
      </c>
      <c r="H13" s="122" t="s">
        <v>842</v>
      </c>
      <c r="I13" s="123" t="s">
        <v>885</v>
      </c>
      <c r="J13" s="124">
        <v>2</v>
      </c>
      <c r="K13" s="117">
        <v>2</v>
      </c>
      <c r="L13" s="117">
        <v>1</v>
      </c>
      <c r="M13" s="116">
        <v>11</v>
      </c>
      <c r="N13" s="116">
        <v>3</v>
      </c>
      <c r="O13" s="116">
        <v>0</v>
      </c>
      <c r="P13" s="43">
        <v>9</v>
      </c>
      <c r="Q13" s="116">
        <v>8</v>
      </c>
      <c r="R13" s="116">
        <v>1</v>
      </c>
      <c r="S13" s="116">
        <v>0</v>
      </c>
      <c r="T13" s="116">
        <v>1</v>
      </c>
      <c r="U13" s="116">
        <v>1</v>
      </c>
      <c r="V13" s="116">
        <v>0</v>
      </c>
      <c r="W13" s="116">
        <v>0</v>
      </c>
      <c r="X13" s="116">
        <v>0</v>
      </c>
      <c r="Y13" s="116">
        <v>0</v>
      </c>
      <c r="Z13" s="116">
        <v>17</v>
      </c>
      <c r="AA13" s="116">
        <v>2</v>
      </c>
      <c r="AB13" s="116">
        <v>0</v>
      </c>
      <c r="AC13" s="116">
        <v>0</v>
      </c>
      <c r="AD13" s="116">
        <v>0</v>
      </c>
      <c r="AE13" s="116">
        <v>0</v>
      </c>
      <c r="AF13" s="116">
        <v>0</v>
      </c>
      <c r="AG13" s="116">
        <v>0</v>
      </c>
      <c r="AH13" s="116">
        <v>0</v>
      </c>
      <c r="AI13" s="116">
        <v>1</v>
      </c>
      <c r="AJ13" s="117">
        <v>1</v>
      </c>
      <c r="AK13" s="117">
        <v>11</v>
      </c>
      <c r="AL13" s="117">
        <v>0</v>
      </c>
      <c r="AM13" s="117">
        <v>20</v>
      </c>
      <c r="AN13" s="117">
        <v>39</v>
      </c>
      <c r="AO13" s="117">
        <v>2</v>
      </c>
      <c r="AP13" s="117">
        <v>3</v>
      </c>
      <c r="AQ13" s="117">
        <v>63</v>
      </c>
      <c r="AR13" s="44"/>
      <c r="AS13" s="44"/>
      <c r="AT13" s="46"/>
      <c r="AU13" s="62" t="s">
        <v>894</v>
      </c>
    </row>
    <row r="14" spans="1:47" ht="16.5" customHeight="1">
      <c r="A14" s="76" t="s">
        <v>665</v>
      </c>
      <c r="B14" s="41" t="s">
        <v>882</v>
      </c>
      <c r="C14" s="5" t="s">
        <v>883</v>
      </c>
      <c r="D14" s="77" t="s">
        <v>884</v>
      </c>
      <c r="E14" s="48"/>
      <c r="F14" s="76" t="s">
        <v>666</v>
      </c>
      <c r="G14" s="121" t="s">
        <v>843</v>
      </c>
      <c r="H14" s="122"/>
      <c r="I14" s="123" t="s">
        <v>888</v>
      </c>
      <c r="J14" s="124">
        <v>2</v>
      </c>
      <c r="K14" s="117">
        <v>2</v>
      </c>
      <c r="L14" s="117">
        <v>1</v>
      </c>
      <c r="M14" s="116">
        <v>10</v>
      </c>
      <c r="N14" s="116">
        <v>3</v>
      </c>
      <c r="O14" s="116">
        <v>0</v>
      </c>
      <c r="P14" s="43">
        <v>7</v>
      </c>
      <c r="Q14" s="116">
        <v>7</v>
      </c>
      <c r="R14" s="116">
        <v>0</v>
      </c>
      <c r="S14" s="116">
        <v>0</v>
      </c>
      <c r="T14" s="116">
        <v>0</v>
      </c>
      <c r="U14" s="116">
        <v>0</v>
      </c>
      <c r="V14" s="116">
        <v>0</v>
      </c>
      <c r="W14" s="116">
        <v>0</v>
      </c>
      <c r="X14" s="116">
        <v>0</v>
      </c>
      <c r="Y14" s="116">
        <v>0</v>
      </c>
      <c r="Z14" s="116">
        <v>0</v>
      </c>
      <c r="AA14" s="116">
        <v>0</v>
      </c>
      <c r="AB14" s="116">
        <v>0</v>
      </c>
      <c r="AC14" s="116">
        <v>16</v>
      </c>
      <c r="AD14" s="116">
        <v>2</v>
      </c>
      <c r="AE14" s="116">
        <v>0</v>
      </c>
      <c r="AF14" s="116">
        <v>0</v>
      </c>
      <c r="AG14" s="116">
        <v>0</v>
      </c>
      <c r="AH14" s="116">
        <v>0</v>
      </c>
      <c r="AI14" s="116">
        <v>1</v>
      </c>
      <c r="AJ14" s="117">
        <v>0</v>
      </c>
      <c r="AK14" s="117">
        <v>5</v>
      </c>
      <c r="AL14" s="117">
        <v>0</v>
      </c>
      <c r="AM14" s="117">
        <v>15</v>
      </c>
      <c r="AN14" s="117">
        <v>12</v>
      </c>
      <c r="AO14" s="117">
        <v>0</v>
      </c>
      <c r="AP14" s="117">
        <v>3</v>
      </c>
      <c r="AQ14" s="117">
        <v>29</v>
      </c>
      <c r="AR14" s="44"/>
      <c r="AS14" s="44"/>
      <c r="AT14" s="46"/>
      <c r="AU14" s="62" t="s">
        <v>894</v>
      </c>
    </row>
    <row r="15" spans="1:47" ht="16.5" customHeight="1">
      <c r="A15" s="76" t="s">
        <v>154</v>
      </c>
      <c r="B15" s="41" t="s">
        <v>882</v>
      </c>
      <c r="C15" s="5" t="s">
        <v>883</v>
      </c>
      <c r="D15" s="77" t="s">
        <v>884</v>
      </c>
      <c r="E15" s="47"/>
      <c r="F15" s="76" t="s">
        <v>155</v>
      </c>
      <c r="G15" s="121" t="s">
        <v>843</v>
      </c>
      <c r="H15" s="122"/>
      <c r="I15" s="123" t="s">
        <v>888</v>
      </c>
      <c r="J15" s="124">
        <v>2</v>
      </c>
      <c r="K15" s="117">
        <v>0</v>
      </c>
      <c r="L15" s="117">
        <v>0</v>
      </c>
      <c r="M15" s="116">
        <v>10</v>
      </c>
      <c r="N15" s="116">
        <v>3</v>
      </c>
      <c r="O15" s="116">
        <v>1</v>
      </c>
      <c r="P15" s="43">
        <v>1</v>
      </c>
      <c r="Q15" s="116">
        <v>1</v>
      </c>
      <c r="R15" s="116">
        <v>0</v>
      </c>
      <c r="S15" s="116">
        <v>0</v>
      </c>
      <c r="T15" s="116">
        <v>0</v>
      </c>
      <c r="U15" s="116">
        <v>0</v>
      </c>
      <c r="V15" s="116">
        <v>0</v>
      </c>
      <c r="W15" s="116">
        <v>0</v>
      </c>
      <c r="X15" s="116">
        <v>1</v>
      </c>
      <c r="Y15" s="116">
        <v>1</v>
      </c>
      <c r="Z15" s="116">
        <v>6</v>
      </c>
      <c r="AA15" s="116">
        <v>1</v>
      </c>
      <c r="AB15" s="116">
        <v>6</v>
      </c>
      <c r="AC15" s="116">
        <v>0</v>
      </c>
      <c r="AD15" s="116">
        <v>0</v>
      </c>
      <c r="AE15" s="116">
        <v>0</v>
      </c>
      <c r="AF15" s="116">
        <v>1</v>
      </c>
      <c r="AG15" s="116">
        <v>0</v>
      </c>
      <c r="AH15" s="116">
        <v>1</v>
      </c>
      <c r="AI15" s="116">
        <v>1</v>
      </c>
      <c r="AJ15" s="117">
        <v>0</v>
      </c>
      <c r="AK15" s="117">
        <v>7</v>
      </c>
      <c r="AL15" s="117">
        <v>1</v>
      </c>
      <c r="AM15" s="117">
        <v>6</v>
      </c>
      <c r="AN15" s="117">
        <v>42</v>
      </c>
      <c r="AO15" s="117">
        <v>3</v>
      </c>
      <c r="AP15" s="117">
        <v>7</v>
      </c>
      <c r="AQ15" s="117">
        <v>48</v>
      </c>
      <c r="AR15" s="44"/>
      <c r="AS15" s="44"/>
      <c r="AT15" s="46"/>
      <c r="AU15" s="62" t="s">
        <v>891</v>
      </c>
    </row>
    <row r="16" spans="1:47" ht="16.5" customHeight="1">
      <c r="A16" s="76" t="s">
        <v>675</v>
      </c>
      <c r="B16" s="41" t="s">
        <v>882</v>
      </c>
      <c r="C16" s="5" t="s">
        <v>883</v>
      </c>
      <c r="D16" s="77" t="s">
        <v>884</v>
      </c>
      <c r="E16" s="48"/>
      <c r="F16" s="76" t="s">
        <v>676</v>
      </c>
      <c r="G16" s="121" t="s">
        <v>843</v>
      </c>
      <c r="H16" s="122"/>
      <c r="I16" s="123" t="s">
        <v>885</v>
      </c>
      <c r="J16" s="124">
        <v>2</v>
      </c>
      <c r="K16" s="117">
        <v>3</v>
      </c>
      <c r="L16" s="117">
        <v>1</v>
      </c>
      <c r="M16" s="116">
        <v>3</v>
      </c>
      <c r="N16" s="116">
        <v>1</v>
      </c>
      <c r="O16" s="116">
        <v>0</v>
      </c>
      <c r="P16" s="43">
        <v>12</v>
      </c>
      <c r="Q16" s="116">
        <v>10</v>
      </c>
      <c r="R16" s="116">
        <v>2</v>
      </c>
      <c r="S16" s="116">
        <v>0</v>
      </c>
      <c r="T16" s="116">
        <v>0</v>
      </c>
      <c r="U16" s="116">
        <v>0</v>
      </c>
      <c r="V16" s="116">
        <v>0</v>
      </c>
      <c r="W16" s="116">
        <v>0</v>
      </c>
      <c r="X16" s="116">
        <v>0</v>
      </c>
      <c r="Y16" s="116">
        <v>0</v>
      </c>
      <c r="Z16" s="116">
        <v>0</v>
      </c>
      <c r="AA16" s="116">
        <v>0</v>
      </c>
      <c r="AB16" s="116">
        <v>0</v>
      </c>
      <c r="AC16" s="116">
        <v>12</v>
      </c>
      <c r="AD16" s="116">
        <v>2</v>
      </c>
      <c r="AE16" s="116">
        <v>0</v>
      </c>
      <c r="AF16" s="116">
        <v>0</v>
      </c>
      <c r="AG16" s="116">
        <v>0</v>
      </c>
      <c r="AH16" s="116">
        <v>0</v>
      </c>
      <c r="AI16" s="116">
        <v>1</v>
      </c>
      <c r="AJ16" s="117">
        <v>0</v>
      </c>
      <c r="AK16" s="117">
        <v>7</v>
      </c>
      <c r="AL16" s="117">
        <v>0</v>
      </c>
      <c r="AM16" s="117">
        <v>10</v>
      </c>
      <c r="AN16" s="117">
        <v>22</v>
      </c>
      <c r="AO16" s="117">
        <v>0</v>
      </c>
      <c r="AP16" s="117">
        <v>6</v>
      </c>
      <c r="AQ16" s="117">
        <v>33</v>
      </c>
      <c r="AR16" s="44"/>
      <c r="AS16" s="44"/>
      <c r="AT16" s="46"/>
      <c r="AU16" s="62" t="s">
        <v>891</v>
      </c>
    </row>
    <row r="17" spans="1:48" ht="16.5" customHeight="1">
      <c r="A17" s="76" t="s">
        <v>683</v>
      </c>
      <c r="B17" s="41" t="s">
        <v>882</v>
      </c>
      <c r="C17" s="5" t="s">
        <v>883</v>
      </c>
      <c r="D17" s="77" t="s">
        <v>884</v>
      </c>
      <c r="E17" s="48"/>
      <c r="F17" s="76" t="s">
        <v>684</v>
      </c>
      <c r="G17" s="121" t="s">
        <v>843</v>
      </c>
      <c r="H17" s="122"/>
      <c r="I17" s="123" t="s">
        <v>885</v>
      </c>
      <c r="J17" s="124">
        <v>2</v>
      </c>
      <c r="K17" s="117">
        <v>3</v>
      </c>
      <c r="L17" s="117">
        <v>1</v>
      </c>
      <c r="M17" s="116">
        <v>6</v>
      </c>
      <c r="N17" s="116">
        <v>1</v>
      </c>
      <c r="O17" s="116">
        <v>0</v>
      </c>
      <c r="P17" s="43">
        <v>10</v>
      </c>
      <c r="Q17" s="116">
        <v>6</v>
      </c>
      <c r="R17" s="116">
        <v>4</v>
      </c>
      <c r="S17" s="116">
        <v>0</v>
      </c>
      <c r="T17" s="116">
        <v>2</v>
      </c>
      <c r="U17" s="116">
        <v>1</v>
      </c>
      <c r="V17" s="116">
        <v>0</v>
      </c>
      <c r="W17" s="116">
        <v>0</v>
      </c>
      <c r="X17" s="116">
        <v>0</v>
      </c>
      <c r="Y17" s="116">
        <v>0</v>
      </c>
      <c r="Z17" s="116">
        <v>9</v>
      </c>
      <c r="AA17" s="116">
        <v>3</v>
      </c>
      <c r="AB17" s="116">
        <v>0</v>
      </c>
      <c r="AC17" s="116">
        <v>0</v>
      </c>
      <c r="AD17" s="116">
        <v>0</v>
      </c>
      <c r="AE17" s="116">
        <v>0</v>
      </c>
      <c r="AF17" s="116">
        <v>0</v>
      </c>
      <c r="AG17" s="116">
        <v>0</v>
      </c>
      <c r="AH17" s="116">
        <v>0</v>
      </c>
      <c r="AI17" s="116">
        <v>1</v>
      </c>
      <c r="AJ17" s="117">
        <v>0</v>
      </c>
      <c r="AK17" s="117">
        <v>7</v>
      </c>
      <c r="AL17" s="117">
        <v>1</v>
      </c>
      <c r="AM17" s="117">
        <v>0</v>
      </c>
      <c r="AN17" s="117">
        <v>15</v>
      </c>
      <c r="AO17" s="117">
        <v>4</v>
      </c>
      <c r="AP17" s="117">
        <v>4</v>
      </c>
      <c r="AQ17" s="117">
        <v>17</v>
      </c>
      <c r="AR17" s="44"/>
      <c r="AS17" s="44"/>
      <c r="AT17" s="46"/>
      <c r="AU17" s="62" t="s">
        <v>895</v>
      </c>
    </row>
    <row r="18" spans="1:48" ht="16.5" customHeight="1">
      <c r="A18" s="76" t="s">
        <v>271</v>
      </c>
      <c r="B18" s="41" t="s">
        <v>882</v>
      </c>
      <c r="C18" s="5" t="s">
        <v>883</v>
      </c>
      <c r="D18" s="77" t="s">
        <v>884</v>
      </c>
      <c r="E18" s="49"/>
      <c r="F18" s="76" t="s">
        <v>272</v>
      </c>
      <c r="G18" s="121" t="s">
        <v>843</v>
      </c>
      <c r="H18" s="122" t="s">
        <v>842</v>
      </c>
      <c r="I18" s="123" t="s">
        <v>888</v>
      </c>
      <c r="J18" s="124">
        <v>2</v>
      </c>
      <c r="K18" s="117">
        <v>1</v>
      </c>
      <c r="L18" s="117">
        <v>1</v>
      </c>
      <c r="M18" s="116">
        <v>16</v>
      </c>
      <c r="N18" s="116">
        <v>7</v>
      </c>
      <c r="O18" s="116">
        <v>0</v>
      </c>
      <c r="P18" s="43">
        <v>1</v>
      </c>
      <c r="Q18" s="116">
        <v>1</v>
      </c>
      <c r="R18" s="116">
        <v>0</v>
      </c>
      <c r="S18" s="116">
        <v>0</v>
      </c>
      <c r="T18" s="116">
        <v>5</v>
      </c>
      <c r="U18" s="116">
        <v>0</v>
      </c>
      <c r="V18" s="116">
        <v>0</v>
      </c>
      <c r="W18" s="116">
        <v>0</v>
      </c>
      <c r="X18" s="116">
        <v>1</v>
      </c>
      <c r="Y18" s="116">
        <v>0</v>
      </c>
      <c r="Z18" s="116">
        <v>11</v>
      </c>
      <c r="AA18" s="116">
        <v>5</v>
      </c>
      <c r="AB18" s="116">
        <v>0</v>
      </c>
      <c r="AC18" s="116">
        <v>0</v>
      </c>
      <c r="AD18" s="116">
        <v>0</v>
      </c>
      <c r="AE18" s="116">
        <v>0</v>
      </c>
      <c r="AF18" s="116">
        <v>0</v>
      </c>
      <c r="AG18" s="116">
        <v>0</v>
      </c>
      <c r="AH18" s="116">
        <v>0</v>
      </c>
      <c r="AI18" s="116">
        <v>1</v>
      </c>
      <c r="AJ18" s="117">
        <v>1</v>
      </c>
      <c r="AK18" s="117">
        <v>6</v>
      </c>
      <c r="AL18" s="117">
        <v>0</v>
      </c>
      <c r="AM18" s="117">
        <v>2</v>
      </c>
      <c r="AN18" s="117">
        <v>53</v>
      </c>
      <c r="AO18" s="117">
        <v>0</v>
      </c>
      <c r="AP18" s="117">
        <v>5</v>
      </c>
      <c r="AQ18" s="117">
        <v>58</v>
      </c>
      <c r="AR18" s="44"/>
      <c r="AS18" s="44"/>
      <c r="AT18" s="46"/>
      <c r="AU18" s="62" t="s">
        <v>896</v>
      </c>
    </row>
    <row r="19" spans="1:48" ht="16.5" customHeight="1">
      <c r="A19" s="76" t="s">
        <v>697</v>
      </c>
      <c r="B19" s="41" t="s">
        <v>882</v>
      </c>
      <c r="C19" s="5" t="s">
        <v>883</v>
      </c>
      <c r="D19" s="77" t="s">
        <v>884</v>
      </c>
      <c r="E19" s="48"/>
      <c r="F19" s="76" t="s">
        <v>698</v>
      </c>
      <c r="G19" s="121" t="s">
        <v>843</v>
      </c>
      <c r="H19" s="122"/>
      <c r="I19" s="123" t="s">
        <v>888</v>
      </c>
      <c r="J19" s="124">
        <v>2</v>
      </c>
      <c r="K19" s="117">
        <v>2</v>
      </c>
      <c r="L19" s="117">
        <v>1</v>
      </c>
      <c r="M19" s="116">
        <v>8</v>
      </c>
      <c r="N19" s="116">
        <v>8</v>
      </c>
      <c r="O19" s="116">
        <v>0</v>
      </c>
      <c r="P19" s="43">
        <v>3</v>
      </c>
      <c r="Q19" s="116">
        <v>3</v>
      </c>
      <c r="R19" s="116">
        <v>0</v>
      </c>
      <c r="S19" s="116">
        <v>0</v>
      </c>
      <c r="T19" s="116">
        <v>0</v>
      </c>
      <c r="U19" s="116">
        <v>0</v>
      </c>
      <c r="V19" s="116">
        <v>0</v>
      </c>
      <c r="W19" s="116">
        <v>2</v>
      </c>
      <c r="X19" s="116">
        <v>2</v>
      </c>
      <c r="Y19" s="116">
        <v>0</v>
      </c>
      <c r="Z19" s="116">
        <v>8</v>
      </c>
      <c r="AA19" s="116">
        <v>5</v>
      </c>
      <c r="AB19" s="116">
        <v>0</v>
      </c>
      <c r="AC19" s="116">
        <v>0</v>
      </c>
      <c r="AD19" s="116">
        <v>0</v>
      </c>
      <c r="AE19" s="116">
        <v>0</v>
      </c>
      <c r="AF19" s="116">
        <v>0</v>
      </c>
      <c r="AG19" s="116">
        <v>0</v>
      </c>
      <c r="AH19" s="116">
        <v>0</v>
      </c>
      <c r="AI19" s="116">
        <v>1</v>
      </c>
      <c r="AJ19" s="117">
        <v>0</v>
      </c>
      <c r="AK19" s="117">
        <v>10</v>
      </c>
      <c r="AL19" s="117">
        <v>0</v>
      </c>
      <c r="AM19" s="117">
        <v>0</v>
      </c>
      <c r="AN19" s="117">
        <v>60</v>
      </c>
      <c r="AO19" s="117">
        <v>0</v>
      </c>
      <c r="AP19" s="117">
        <v>9</v>
      </c>
      <c r="AQ19" s="117">
        <v>61</v>
      </c>
      <c r="AR19" s="44"/>
      <c r="AS19" s="44"/>
      <c r="AT19" s="46"/>
      <c r="AU19" s="62" t="s">
        <v>897</v>
      </c>
    </row>
    <row r="20" spans="1:48" ht="16.5" customHeight="1">
      <c r="A20" s="76" t="s">
        <v>701</v>
      </c>
      <c r="B20" s="41" t="s">
        <v>882</v>
      </c>
      <c r="C20" s="5" t="s">
        <v>883</v>
      </c>
      <c r="D20" s="77" t="s">
        <v>884</v>
      </c>
      <c r="E20" s="48"/>
      <c r="F20" s="76" t="s">
        <v>702</v>
      </c>
      <c r="G20" s="121" t="s">
        <v>843</v>
      </c>
      <c r="H20" s="122"/>
      <c r="I20" s="123" t="s">
        <v>885</v>
      </c>
      <c r="J20" s="124">
        <v>2</v>
      </c>
      <c r="K20" s="117">
        <v>1</v>
      </c>
      <c r="L20" s="117">
        <v>1</v>
      </c>
      <c r="M20" s="116">
        <v>5</v>
      </c>
      <c r="N20" s="116">
        <v>3</v>
      </c>
      <c r="O20" s="116">
        <v>0</v>
      </c>
      <c r="P20" s="43">
        <v>3</v>
      </c>
      <c r="Q20" s="116">
        <v>2</v>
      </c>
      <c r="R20" s="116">
        <v>1</v>
      </c>
      <c r="S20" s="116">
        <v>0</v>
      </c>
      <c r="T20" s="116">
        <v>0</v>
      </c>
      <c r="U20" s="116">
        <v>0</v>
      </c>
      <c r="V20" s="116">
        <v>0</v>
      </c>
      <c r="W20" s="116">
        <v>0</v>
      </c>
      <c r="X20" s="116">
        <v>0</v>
      </c>
      <c r="Y20" s="116">
        <v>0</v>
      </c>
      <c r="Z20" s="116">
        <v>0</v>
      </c>
      <c r="AA20" s="116">
        <v>0</v>
      </c>
      <c r="AB20" s="116">
        <v>0</v>
      </c>
      <c r="AC20" s="116">
        <v>6</v>
      </c>
      <c r="AD20" s="116">
        <v>3</v>
      </c>
      <c r="AE20" s="116">
        <v>0</v>
      </c>
      <c r="AF20" s="116">
        <v>0</v>
      </c>
      <c r="AG20" s="116">
        <v>0</v>
      </c>
      <c r="AH20" s="116">
        <v>0</v>
      </c>
      <c r="AI20" s="116">
        <v>1</v>
      </c>
      <c r="AJ20" s="117">
        <v>0</v>
      </c>
      <c r="AK20" s="117">
        <v>4</v>
      </c>
      <c r="AL20" s="117">
        <v>0</v>
      </c>
      <c r="AM20" s="117">
        <v>9</v>
      </c>
      <c r="AN20" s="117">
        <v>7</v>
      </c>
      <c r="AO20" s="117">
        <v>0</v>
      </c>
      <c r="AP20" s="117">
        <v>2</v>
      </c>
      <c r="AQ20" s="117">
        <v>18</v>
      </c>
      <c r="AR20" s="44"/>
      <c r="AS20" s="44"/>
      <c r="AT20" s="46"/>
      <c r="AU20" s="62" t="s">
        <v>898</v>
      </c>
    </row>
    <row r="21" spans="1:48" ht="16.5" customHeight="1">
      <c r="A21" s="76" t="s">
        <v>713</v>
      </c>
      <c r="B21" s="41" t="s">
        <v>882</v>
      </c>
      <c r="C21" s="5" t="s">
        <v>883</v>
      </c>
      <c r="D21" s="77" t="s">
        <v>884</v>
      </c>
      <c r="E21" s="49"/>
      <c r="F21" s="76" t="s">
        <v>714</v>
      </c>
      <c r="G21" s="121" t="s">
        <v>843</v>
      </c>
      <c r="H21" s="122" t="s">
        <v>842</v>
      </c>
      <c r="I21" s="123" t="s">
        <v>888</v>
      </c>
      <c r="J21" s="124">
        <v>2</v>
      </c>
      <c r="K21" s="117">
        <v>3</v>
      </c>
      <c r="L21" s="117">
        <v>1</v>
      </c>
      <c r="M21" s="116">
        <v>14</v>
      </c>
      <c r="N21" s="116">
        <v>8</v>
      </c>
      <c r="O21" s="116">
        <v>0</v>
      </c>
      <c r="P21" s="43">
        <v>15</v>
      </c>
      <c r="Q21" s="116">
        <v>15</v>
      </c>
      <c r="R21" s="116">
        <v>0</v>
      </c>
      <c r="S21" s="116">
        <v>0</v>
      </c>
      <c r="T21" s="116">
        <v>0</v>
      </c>
      <c r="U21" s="116">
        <v>1</v>
      </c>
      <c r="V21" s="116">
        <v>0</v>
      </c>
      <c r="W21" s="116">
        <v>0</v>
      </c>
      <c r="X21" s="116">
        <v>0</v>
      </c>
      <c r="Y21" s="116">
        <v>0</v>
      </c>
      <c r="Z21" s="116">
        <v>18</v>
      </c>
      <c r="AA21" s="116">
        <v>2</v>
      </c>
      <c r="AB21" s="116">
        <v>0</v>
      </c>
      <c r="AC21" s="116">
        <v>0</v>
      </c>
      <c r="AD21" s="116">
        <v>0</v>
      </c>
      <c r="AE21" s="116">
        <v>0</v>
      </c>
      <c r="AF21" s="116">
        <v>10</v>
      </c>
      <c r="AG21" s="116">
        <v>4</v>
      </c>
      <c r="AH21" s="116">
        <v>0</v>
      </c>
      <c r="AI21" s="116">
        <v>1</v>
      </c>
      <c r="AJ21" s="117">
        <v>0</v>
      </c>
      <c r="AK21" s="117">
        <v>11</v>
      </c>
      <c r="AL21" s="117">
        <v>0</v>
      </c>
      <c r="AM21" s="117">
        <v>0</v>
      </c>
      <c r="AN21" s="117">
        <v>53</v>
      </c>
      <c r="AO21" s="117">
        <v>0</v>
      </c>
      <c r="AP21" s="117">
        <v>10</v>
      </c>
      <c r="AQ21" s="117">
        <v>54</v>
      </c>
      <c r="AR21" s="44"/>
      <c r="AS21" s="44"/>
      <c r="AT21" s="46"/>
      <c r="AU21" s="62" t="s">
        <v>897</v>
      </c>
    </row>
    <row r="22" spans="1:48" ht="16.5" customHeight="1">
      <c r="A22" s="76" t="s">
        <v>715</v>
      </c>
      <c r="B22" s="41" t="s">
        <v>882</v>
      </c>
      <c r="C22" s="5" t="s">
        <v>883</v>
      </c>
      <c r="D22" s="77" t="s">
        <v>884</v>
      </c>
      <c r="E22" s="48"/>
      <c r="F22" s="76" t="s">
        <v>716</v>
      </c>
      <c r="G22" s="121" t="s">
        <v>843</v>
      </c>
      <c r="H22" s="122" t="s">
        <v>842</v>
      </c>
      <c r="I22" s="123" t="s">
        <v>888</v>
      </c>
      <c r="J22" s="124">
        <v>2</v>
      </c>
      <c r="K22" s="117">
        <v>3</v>
      </c>
      <c r="L22" s="117">
        <v>1</v>
      </c>
      <c r="M22" s="116">
        <v>5</v>
      </c>
      <c r="N22" s="116">
        <v>3</v>
      </c>
      <c r="O22" s="116">
        <v>0</v>
      </c>
      <c r="P22" s="43">
        <v>14</v>
      </c>
      <c r="Q22" s="116">
        <v>10</v>
      </c>
      <c r="R22" s="116">
        <v>4</v>
      </c>
      <c r="S22" s="116">
        <v>0</v>
      </c>
      <c r="T22" s="116">
        <v>3</v>
      </c>
      <c r="U22" s="116">
        <v>1</v>
      </c>
      <c r="V22" s="116">
        <v>0</v>
      </c>
      <c r="W22" s="116">
        <v>0</v>
      </c>
      <c r="X22" s="116">
        <v>0</v>
      </c>
      <c r="Y22" s="116">
        <v>0</v>
      </c>
      <c r="Z22" s="116">
        <v>11</v>
      </c>
      <c r="AA22" s="116">
        <v>5</v>
      </c>
      <c r="AB22" s="116">
        <v>0</v>
      </c>
      <c r="AC22" s="116">
        <v>0</v>
      </c>
      <c r="AD22" s="116">
        <v>0</v>
      </c>
      <c r="AE22" s="116">
        <v>0</v>
      </c>
      <c r="AF22" s="116">
        <v>0</v>
      </c>
      <c r="AG22" s="116">
        <v>0</v>
      </c>
      <c r="AH22" s="116">
        <v>0</v>
      </c>
      <c r="AI22" s="116">
        <v>1</v>
      </c>
      <c r="AJ22" s="117">
        <v>0</v>
      </c>
      <c r="AK22" s="117">
        <v>8</v>
      </c>
      <c r="AL22" s="117">
        <v>0</v>
      </c>
      <c r="AM22" s="117">
        <v>0</v>
      </c>
      <c r="AN22" s="117">
        <v>41</v>
      </c>
      <c r="AO22" s="117">
        <v>0</v>
      </c>
      <c r="AP22" s="117">
        <v>5</v>
      </c>
      <c r="AQ22" s="117">
        <v>44</v>
      </c>
      <c r="AR22" s="44"/>
      <c r="AS22" s="44"/>
      <c r="AT22" s="46"/>
      <c r="AU22" s="62" t="s">
        <v>891</v>
      </c>
    </row>
    <row r="23" spans="1:48" ht="16.5" customHeight="1">
      <c r="A23" s="76" t="s">
        <v>232</v>
      </c>
      <c r="B23" s="41" t="s">
        <v>882</v>
      </c>
      <c r="C23" s="5" t="s">
        <v>883</v>
      </c>
      <c r="D23" s="77" t="s">
        <v>884</v>
      </c>
      <c r="E23" s="49"/>
      <c r="F23" s="76" t="s">
        <v>233</v>
      </c>
      <c r="G23" s="121" t="s">
        <v>843</v>
      </c>
      <c r="H23" s="122" t="s">
        <v>842</v>
      </c>
      <c r="I23" s="123" t="s">
        <v>885</v>
      </c>
      <c r="J23" s="124">
        <v>2</v>
      </c>
      <c r="K23" s="117">
        <v>0</v>
      </c>
      <c r="L23" s="117">
        <v>0</v>
      </c>
      <c r="M23" s="116">
        <v>11</v>
      </c>
      <c r="N23" s="116">
        <v>2</v>
      </c>
      <c r="O23" s="116">
        <v>1</v>
      </c>
      <c r="P23" s="43">
        <v>1</v>
      </c>
      <c r="Q23" s="116">
        <v>1</v>
      </c>
      <c r="R23" s="116">
        <v>0</v>
      </c>
      <c r="S23" s="116">
        <v>0</v>
      </c>
      <c r="T23" s="116">
        <v>0</v>
      </c>
      <c r="U23" s="116">
        <v>0</v>
      </c>
      <c r="V23" s="116">
        <v>0</v>
      </c>
      <c r="W23" s="116">
        <v>0</v>
      </c>
      <c r="X23" s="116">
        <v>0</v>
      </c>
      <c r="Y23" s="116">
        <v>0</v>
      </c>
      <c r="Z23" s="116">
        <v>8</v>
      </c>
      <c r="AA23" s="116">
        <v>1</v>
      </c>
      <c r="AB23" s="116">
        <v>6</v>
      </c>
      <c r="AC23" s="116">
        <v>0</v>
      </c>
      <c r="AD23" s="116">
        <v>0</v>
      </c>
      <c r="AE23" s="116">
        <v>0</v>
      </c>
      <c r="AF23" s="116">
        <v>0</v>
      </c>
      <c r="AG23" s="116">
        <v>0</v>
      </c>
      <c r="AH23" s="116">
        <v>0</v>
      </c>
      <c r="AI23" s="116">
        <v>1</v>
      </c>
      <c r="AJ23" s="117">
        <v>0</v>
      </c>
      <c r="AK23" s="117">
        <v>6</v>
      </c>
      <c r="AL23" s="117">
        <v>0</v>
      </c>
      <c r="AM23" s="117">
        <v>33</v>
      </c>
      <c r="AN23" s="117">
        <v>15</v>
      </c>
      <c r="AO23" s="117">
        <v>0</v>
      </c>
      <c r="AP23" s="117">
        <v>2</v>
      </c>
      <c r="AQ23" s="117">
        <v>53</v>
      </c>
      <c r="AR23" s="44"/>
      <c r="AS23" s="44"/>
      <c r="AT23" s="46"/>
      <c r="AU23" s="62" t="s">
        <v>899</v>
      </c>
    </row>
    <row r="24" spans="1:48" ht="16.5" customHeight="1">
      <c r="A24" s="76" t="s">
        <v>235</v>
      </c>
      <c r="B24" s="41" t="s">
        <v>882</v>
      </c>
      <c r="C24" s="5" t="s">
        <v>883</v>
      </c>
      <c r="D24" s="77" t="s">
        <v>884</v>
      </c>
      <c r="E24" s="48"/>
      <c r="F24" s="76" t="s">
        <v>236</v>
      </c>
      <c r="G24" s="121" t="s">
        <v>843</v>
      </c>
      <c r="H24" s="122"/>
      <c r="I24" s="123" t="s">
        <v>885</v>
      </c>
      <c r="J24" s="124">
        <v>2</v>
      </c>
      <c r="K24" s="117">
        <v>1</v>
      </c>
      <c r="L24" s="117">
        <v>1</v>
      </c>
      <c r="M24" s="116">
        <v>11</v>
      </c>
      <c r="N24" s="116">
        <v>4</v>
      </c>
      <c r="O24" s="116">
        <v>0</v>
      </c>
      <c r="P24" s="43">
        <v>5</v>
      </c>
      <c r="Q24" s="116">
        <v>5</v>
      </c>
      <c r="R24" s="116">
        <v>0</v>
      </c>
      <c r="S24" s="116">
        <v>0</v>
      </c>
      <c r="T24" s="116">
        <v>0</v>
      </c>
      <c r="U24" s="116">
        <v>0</v>
      </c>
      <c r="V24" s="116">
        <v>0</v>
      </c>
      <c r="W24" s="116">
        <v>0</v>
      </c>
      <c r="X24" s="116">
        <v>0</v>
      </c>
      <c r="Y24" s="116">
        <v>0</v>
      </c>
      <c r="Z24" s="116">
        <v>15</v>
      </c>
      <c r="AA24" s="116">
        <v>3</v>
      </c>
      <c r="AB24" s="116">
        <v>0</v>
      </c>
      <c r="AC24" s="116">
        <v>0</v>
      </c>
      <c r="AD24" s="116">
        <v>0</v>
      </c>
      <c r="AE24" s="116">
        <v>0</v>
      </c>
      <c r="AF24" s="116">
        <v>0</v>
      </c>
      <c r="AG24" s="116">
        <v>0</v>
      </c>
      <c r="AH24" s="116">
        <v>0</v>
      </c>
      <c r="AI24" s="116">
        <v>1</v>
      </c>
      <c r="AJ24" s="117">
        <v>1</v>
      </c>
      <c r="AK24" s="117">
        <v>2</v>
      </c>
      <c r="AL24" s="117">
        <v>0</v>
      </c>
      <c r="AM24" s="117">
        <v>9</v>
      </c>
      <c r="AN24" s="117">
        <v>27</v>
      </c>
      <c r="AO24" s="117">
        <v>0</v>
      </c>
      <c r="AP24" s="117">
        <v>3</v>
      </c>
      <c r="AQ24" s="117">
        <v>36</v>
      </c>
      <c r="AR24" s="44"/>
      <c r="AS24" s="44"/>
      <c r="AT24" s="46"/>
      <c r="AU24" s="62" t="s">
        <v>893</v>
      </c>
      <c r="AV24" s="16" t="s">
        <v>845</v>
      </c>
    </row>
    <row r="25" spans="1:48" ht="16.5" customHeight="1">
      <c r="A25" s="76" t="s">
        <v>735</v>
      </c>
      <c r="B25" s="41" t="s">
        <v>882</v>
      </c>
      <c r="C25" s="5" t="s">
        <v>883</v>
      </c>
      <c r="D25" s="77" t="s">
        <v>884</v>
      </c>
      <c r="E25" s="47"/>
      <c r="F25" s="76" t="s">
        <v>736</v>
      </c>
      <c r="G25" s="121" t="s">
        <v>843</v>
      </c>
      <c r="H25" s="122"/>
      <c r="I25" s="123" t="s">
        <v>888</v>
      </c>
      <c r="J25" s="124">
        <v>2</v>
      </c>
      <c r="K25" s="117">
        <v>1</v>
      </c>
      <c r="L25" s="117">
        <v>1</v>
      </c>
      <c r="M25" s="116">
        <v>8</v>
      </c>
      <c r="N25" s="116">
        <v>2</v>
      </c>
      <c r="O25" s="116">
        <v>0</v>
      </c>
      <c r="P25" s="43">
        <v>0</v>
      </c>
      <c r="Q25" s="116">
        <v>0</v>
      </c>
      <c r="R25" s="116">
        <v>0</v>
      </c>
      <c r="S25" s="116">
        <v>0</v>
      </c>
      <c r="T25" s="116">
        <v>0</v>
      </c>
      <c r="U25" s="116">
        <v>0</v>
      </c>
      <c r="V25" s="116">
        <v>0</v>
      </c>
      <c r="W25" s="116">
        <v>1</v>
      </c>
      <c r="X25" s="116">
        <v>0</v>
      </c>
      <c r="Y25" s="116">
        <v>0</v>
      </c>
      <c r="Z25" s="116">
        <v>6</v>
      </c>
      <c r="AA25" s="116">
        <v>1</v>
      </c>
      <c r="AB25" s="116">
        <v>0</v>
      </c>
      <c r="AC25" s="116">
        <v>0</v>
      </c>
      <c r="AD25" s="116">
        <v>0</v>
      </c>
      <c r="AE25" s="116">
        <v>0</v>
      </c>
      <c r="AF25" s="116">
        <v>0</v>
      </c>
      <c r="AG25" s="116">
        <v>0</v>
      </c>
      <c r="AH25" s="116">
        <v>0</v>
      </c>
      <c r="AI25" s="116">
        <v>1</v>
      </c>
      <c r="AJ25" s="117">
        <v>0</v>
      </c>
      <c r="AK25" s="117">
        <v>1</v>
      </c>
      <c r="AL25" s="117">
        <v>0</v>
      </c>
      <c r="AM25" s="117">
        <v>0</v>
      </c>
      <c r="AN25" s="117">
        <v>13</v>
      </c>
      <c r="AO25" s="117">
        <v>0</v>
      </c>
      <c r="AP25" s="117">
        <v>1</v>
      </c>
      <c r="AQ25" s="117">
        <v>13</v>
      </c>
      <c r="AR25" s="44"/>
      <c r="AS25" s="44"/>
      <c r="AT25" s="46"/>
      <c r="AU25" s="62" t="s">
        <v>900</v>
      </c>
    </row>
    <row r="26" spans="1:48" ht="16.5" customHeight="1">
      <c r="A26" s="76" t="s">
        <v>160</v>
      </c>
      <c r="B26" s="41" t="s">
        <v>882</v>
      </c>
      <c r="C26" s="5" t="s">
        <v>883</v>
      </c>
      <c r="D26" s="77" t="s">
        <v>884</v>
      </c>
      <c r="E26" s="49"/>
      <c r="F26" s="76" t="s">
        <v>161</v>
      </c>
      <c r="G26" s="121" t="s">
        <v>843</v>
      </c>
      <c r="H26" s="122"/>
      <c r="I26" s="123" t="s">
        <v>888</v>
      </c>
      <c r="J26" s="124">
        <v>2</v>
      </c>
      <c r="K26" s="117">
        <v>2</v>
      </c>
      <c r="L26" s="117">
        <v>1</v>
      </c>
      <c r="M26" s="116">
        <v>4</v>
      </c>
      <c r="N26" s="116">
        <v>3</v>
      </c>
      <c r="O26" s="116">
        <v>0</v>
      </c>
      <c r="P26" s="43">
        <v>13</v>
      </c>
      <c r="Q26" s="116">
        <v>13</v>
      </c>
      <c r="R26" s="116">
        <v>0</v>
      </c>
      <c r="S26" s="116">
        <v>0</v>
      </c>
      <c r="T26" s="116">
        <v>0</v>
      </c>
      <c r="U26" s="116">
        <v>0</v>
      </c>
      <c r="V26" s="116">
        <v>0</v>
      </c>
      <c r="W26" s="116">
        <v>0</v>
      </c>
      <c r="X26" s="116">
        <v>0</v>
      </c>
      <c r="Y26" s="116">
        <v>0</v>
      </c>
      <c r="Z26" s="116">
        <v>0</v>
      </c>
      <c r="AA26" s="116">
        <v>0</v>
      </c>
      <c r="AB26" s="116">
        <v>0</v>
      </c>
      <c r="AC26" s="116">
        <v>17</v>
      </c>
      <c r="AD26" s="116">
        <v>2</v>
      </c>
      <c r="AE26" s="116">
        <v>0</v>
      </c>
      <c r="AF26" s="116">
        <v>0</v>
      </c>
      <c r="AG26" s="116">
        <v>0</v>
      </c>
      <c r="AH26" s="116">
        <v>0</v>
      </c>
      <c r="AI26" s="116">
        <v>1</v>
      </c>
      <c r="AJ26" s="117">
        <v>0</v>
      </c>
      <c r="AK26" s="117">
        <v>8</v>
      </c>
      <c r="AL26" s="117">
        <v>0</v>
      </c>
      <c r="AM26" s="117">
        <v>0</v>
      </c>
      <c r="AN26" s="117">
        <v>39</v>
      </c>
      <c r="AO26" s="117">
        <v>0</v>
      </c>
      <c r="AP26" s="117">
        <v>7</v>
      </c>
      <c r="AQ26" s="117">
        <v>40</v>
      </c>
      <c r="AR26" s="44"/>
      <c r="AS26" s="44"/>
      <c r="AT26" s="46"/>
      <c r="AU26" s="62" t="s">
        <v>896</v>
      </c>
    </row>
    <row r="27" spans="1:48" ht="16.5" customHeight="1">
      <c r="A27" s="76" t="s">
        <v>745</v>
      </c>
      <c r="B27" s="41" t="s">
        <v>882</v>
      </c>
      <c r="C27" s="5" t="s">
        <v>883</v>
      </c>
      <c r="D27" s="77" t="s">
        <v>884</v>
      </c>
      <c r="E27" s="48"/>
      <c r="F27" s="76" t="s">
        <v>746</v>
      </c>
      <c r="G27" s="121" t="s">
        <v>843</v>
      </c>
      <c r="H27" s="122"/>
      <c r="I27" s="123" t="s">
        <v>888</v>
      </c>
      <c r="J27" s="124">
        <v>2</v>
      </c>
      <c r="K27" s="117">
        <v>3</v>
      </c>
      <c r="L27" s="117">
        <v>1</v>
      </c>
      <c r="M27" s="116">
        <v>10</v>
      </c>
      <c r="N27" s="116">
        <v>1</v>
      </c>
      <c r="O27" s="116">
        <v>0</v>
      </c>
      <c r="P27" s="43">
        <v>6</v>
      </c>
      <c r="Q27" s="116">
        <v>6</v>
      </c>
      <c r="R27" s="116">
        <v>0</v>
      </c>
      <c r="S27" s="116">
        <v>0</v>
      </c>
      <c r="T27" s="116">
        <v>2</v>
      </c>
      <c r="U27" s="116">
        <v>0</v>
      </c>
      <c r="V27" s="116">
        <v>0</v>
      </c>
      <c r="W27" s="116">
        <v>0</v>
      </c>
      <c r="X27" s="116">
        <v>0</v>
      </c>
      <c r="Y27" s="116">
        <v>0</v>
      </c>
      <c r="Z27" s="116">
        <v>14</v>
      </c>
      <c r="AA27" s="116">
        <v>0</v>
      </c>
      <c r="AB27" s="116">
        <v>0</v>
      </c>
      <c r="AC27" s="116">
        <v>0</v>
      </c>
      <c r="AD27" s="116">
        <v>0</v>
      </c>
      <c r="AE27" s="116">
        <v>0</v>
      </c>
      <c r="AF27" s="116">
        <v>0</v>
      </c>
      <c r="AG27" s="116">
        <v>0</v>
      </c>
      <c r="AH27" s="116">
        <v>0</v>
      </c>
      <c r="AI27" s="116">
        <v>1</v>
      </c>
      <c r="AJ27" s="117">
        <v>0</v>
      </c>
      <c r="AK27" s="117">
        <v>14</v>
      </c>
      <c r="AL27" s="117">
        <v>0</v>
      </c>
      <c r="AM27" s="117">
        <v>0</v>
      </c>
      <c r="AN27" s="117">
        <v>65</v>
      </c>
      <c r="AO27" s="117">
        <v>3</v>
      </c>
      <c r="AP27" s="117">
        <v>11</v>
      </c>
      <c r="AQ27" s="117">
        <v>65</v>
      </c>
      <c r="AR27" s="44"/>
      <c r="AS27" s="44"/>
      <c r="AT27" s="46"/>
      <c r="AU27" s="62" t="s">
        <v>887</v>
      </c>
    </row>
    <row r="28" spans="1:48" ht="16.5" customHeight="1">
      <c r="A28" s="76" t="s">
        <v>112</v>
      </c>
      <c r="B28" s="41" t="s">
        <v>882</v>
      </c>
      <c r="C28" s="5" t="s">
        <v>883</v>
      </c>
      <c r="D28" s="77" t="s">
        <v>884</v>
      </c>
      <c r="E28" s="49"/>
      <c r="F28" s="76" t="s">
        <v>113</v>
      </c>
      <c r="G28" s="121" t="s">
        <v>843</v>
      </c>
      <c r="H28" s="122"/>
      <c r="I28" s="123" t="s">
        <v>888</v>
      </c>
      <c r="J28" s="124">
        <v>2</v>
      </c>
      <c r="K28" s="117">
        <v>2</v>
      </c>
      <c r="L28" s="117">
        <v>1</v>
      </c>
      <c r="M28" s="116">
        <v>7</v>
      </c>
      <c r="N28" s="116">
        <v>3</v>
      </c>
      <c r="O28" s="116">
        <v>0</v>
      </c>
      <c r="P28" s="43">
        <v>8</v>
      </c>
      <c r="Q28" s="116">
        <v>6</v>
      </c>
      <c r="R28" s="116">
        <v>2</v>
      </c>
      <c r="S28" s="116">
        <v>0</v>
      </c>
      <c r="T28" s="116">
        <v>2</v>
      </c>
      <c r="U28" s="116">
        <v>3</v>
      </c>
      <c r="V28" s="116">
        <v>0</v>
      </c>
      <c r="W28" s="116">
        <v>0</v>
      </c>
      <c r="X28" s="116">
        <v>0</v>
      </c>
      <c r="Y28" s="116">
        <v>0</v>
      </c>
      <c r="Z28" s="116">
        <v>10</v>
      </c>
      <c r="AA28" s="116">
        <v>1</v>
      </c>
      <c r="AB28" s="116">
        <v>0</v>
      </c>
      <c r="AC28" s="116">
        <v>0</v>
      </c>
      <c r="AD28" s="116">
        <v>0</v>
      </c>
      <c r="AE28" s="116">
        <v>0</v>
      </c>
      <c r="AF28" s="116">
        <v>0</v>
      </c>
      <c r="AG28" s="116">
        <v>0</v>
      </c>
      <c r="AH28" s="116">
        <v>0</v>
      </c>
      <c r="AI28" s="116">
        <v>1</v>
      </c>
      <c r="AJ28" s="117">
        <v>0</v>
      </c>
      <c r="AK28" s="117">
        <v>11</v>
      </c>
      <c r="AL28" s="117">
        <v>0</v>
      </c>
      <c r="AM28" s="117">
        <v>0</v>
      </c>
      <c r="AN28" s="117">
        <v>64</v>
      </c>
      <c r="AO28" s="117">
        <v>0</v>
      </c>
      <c r="AP28" s="117">
        <v>10</v>
      </c>
      <c r="AQ28" s="117">
        <v>65</v>
      </c>
      <c r="AR28" s="44"/>
      <c r="AS28" s="44"/>
      <c r="AT28" s="46"/>
      <c r="AU28" s="62" t="s">
        <v>901</v>
      </c>
    </row>
    <row r="29" spans="1:48" ht="16.5" customHeight="1">
      <c r="A29" s="76" t="s">
        <v>244</v>
      </c>
      <c r="B29" s="41" t="s">
        <v>882</v>
      </c>
      <c r="C29" s="5" t="s">
        <v>883</v>
      </c>
      <c r="D29" s="77" t="s">
        <v>884</v>
      </c>
      <c r="E29" s="47"/>
      <c r="F29" s="76" t="s">
        <v>245</v>
      </c>
      <c r="G29" s="121" t="s">
        <v>843</v>
      </c>
      <c r="H29" s="122" t="s">
        <v>842</v>
      </c>
      <c r="I29" s="123" t="s">
        <v>885</v>
      </c>
      <c r="J29" s="124">
        <v>2</v>
      </c>
      <c r="K29" s="117">
        <v>1</v>
      </c>
      <c r="L29" s="117">
        <v>1</v>
      </c>
      <c r="M29" s="116">
        <v>6</v>
      </c>
      <c r="N29" s="116">
        <v>3</v>
      </c>
      <c r="O29" s="116">
        <v>0</v>
      </c>
      <c r="P29" s="43">
        <v>12</v>
      </c>
      <c r="Q29" s="116">
        <v>10</v>
      </c>
      <c r="R29" s="116">
        <v>2</v>
      </c>
      <c r="S29" s="116">
        <v>0</v>
      </c>
      <c r="T29" s="116">
        <v>0</v>
      </c>
      <c r="U29" s="116">
        <v>0</v>
      </c>
      <c r="V29" s="116">
        <v>0</v>
      </c>
      <c r="W29" s="116">
        <v>0</v>
      </c>
      <c r="X29" s="116">
        <v>0</v>
      </c>
      <c r="Y29" s="116">
        <v>0</v>
      </c>
      <c r="Z29" s="116">
        <v>0</v>
      </c>
      <c r="AA29" s="116">
        <v>0</v>
      </c>
      <c r="AB29" s="116">
        <v>0</v>
      </c>
      <c r="AC29" s="116">
        <v>0</v>
      </c>
      <c r="AD29" s="116">
        <v>0</v>
      </c>
      <c r="AE29" s="116">
        <v>0</v>
      </c>
      <c r="AF29" s="116">
        <v>15</v>
      </c>
      <c r="AG29" s="116">
        <v>4</v>
      </c>
      <c r="AH29" s="116">
        <v>0</v>
      </c>
      <c r="AI29" s="116">
        <v>1</v>
      </c>
      <c r="AJ29" s="117">
        <v>0</v>
      </c>
      <c r="AK29" s="117">
        <v>6</v>
      </c>
      <c r="AL29" s="117">
        <v>0</v>
      </c>
      <c r="AM29" s="117">
        <v>23</v>
      </c>
      <c r="AN29" s="117">
        <v>27</v>
      </c>
      <c r="AO29" s="117">
        <v>0</v>
      </c>
      <c r="AP29" s="117">
        <v>5</v>
      </c>
      <c r="AQ29" s="117">
        <v>51</v>
      </c>
      <c r="AR29" s="44"/>
      <c r="AS29" s="44"/>
      <c r="AT29" s="46"/>
      <c r="AU29" s="62" t="s">
        <v>886</v>
      </c>
    </row>
    <row r="30" spans="1:48" ht="16.5" customHeight="1">
      <c r="A30" s="76" t="s">
        <v>775</v>
      </c>
      <c r="B30" s="41" t="s">
        <v>882</v>
      </c>
      <c r="C30" s="5" t="s">
        <v>883</v>
      </c>
      <c r="D30" s="77" t="s">
        <v>884</v>
      </c>
      <c r="E30" s="49"/>
      <c r="F30" s="76" t="s">
        <v>776</v>
      </c>
      <c r="G30" s="121" t="s">
        <v>843</v>
      </c>
      <c r="H30" s="122" t="s">
        <v>842</v>
      </c>
      <c r="I30" s="123" t="s">
        <v>885</v>
      </c>
      <c r="J30" s="124">
        <v>2</v>
      </c>
      <c r="K30" s="117">
        <v>0</v>
      </c>
      <c r="L30" s="117">
        <v>0</v>
      </c>
      <c r="M30" s="116">
        <v>9</v>
      </c>
      <c r="N30" s="116">
        <v>10</v>
      </c>
      <c r="O30" s="116">
        <v>1</v>
      </c>
      <c r="P30" s="43">
        <v>0</v>
      </c>
      <c r="Q30" s="116">
        <v>0</v>
      </c>
      <c r="R30" s="116">
        <v>0</v>
      </c>
      <c r="S30" s="116">
        <v>0</v>
      </c>
      <c r="T30" s="116">
        <v>1</v>
      </c>
      <c r="U30" s="116">
        <v>0</v>
      </c>
      <c r="V30" s="116">
        <v>0</v>
      </c>
      <c r="W30" s="116">
        <v>0</v>
      </c>
      <c r="X30" s="116">
        <v>1</v>
      </c>
      <c r="Y30" s="116">
        <v>0</v>
      </c>
      <c r="Z30" s="116">
        <v>5</v>
      </c>
      <c r="AA30" s="116">
        <v>7</v>
      </c>
      <c r="AB30" s="116">
        <v>6</v>
      </c>
      <c r="AC30" s="116">
        <v>0</v>
      </c>
      <c r="AD30" s="116">
        <v>0</v>
      </c>
      <c r="AE30" s="116">
        <v>0</v>
      </c>
      <c r="AF30" s="116">
        <v>0</v>
      </c>
      <c r="AG30" s="116">
        <v>0</v>
      </c>
      <c r="AH30" s="116">
        <v>0</v>
      </c>
      <c r="AI30" s="116">
        <v>1</v>
      </c>
      <c r="AJ30" s="117">
        <v>0</v>
      </c>
      <c r="AK30" s="117">
        <v>8</v>
      </c>
      <c r="AL30" s="117">
        <v>1</v>
      </c>
      <c r="AM30" s="117">
        <v>26</v>
      </c>
      <c r="AN30" s="117">
        <v>26</v>
      </c>
      <c r="AO30" s="117">
        <v>2</v>
      </c>
      <c r="AP30" s="117">
        <v>4</v>
      </c>
      <c r="AQ30" s="117">
        <v>56</v>
      </c>
      <c r="AR30" s="44"/>
      <c r="AS30" s="44"/>
      <c r="AT30" s="46"/>
      <c r="AU30" s="62" t="s">
        <v>902</v>
      </c>
    </row>
    <row r="31" spans="1:48" ht="16.5" customHeight="1">
      <c r="A31" s="76" t="s">
        <v>781</v>
      </c>
      <c r="B31" s="41" t="s">
        <v>882</v>
      </c>
      <c r="C31" s="5" t="s">
        <v>883</v>
      </c>
      <c r="D31" s="77" t="s">
        <v>884</v>
      </c>
      <c r="E31" s="47"/>
      <c r="F31" s="76" t="s">
        <v>782</v>
      </c>
      <c r="G31" s="121" t="s">
        <v>843</v>
      </c>
      <c r="H31" s="122"/>
      <c r="I31" s="123" t="s">
        <v>888</v>
      </c>
      <c r="J31" s="124">
        <v>2</v>
      </c>
      <c r="K31" s="117">
        <v>12</v>
      </c>
      <c r="L31" s="117">
        <v>11</v>
      </c>
      <c r="M31" s="116">
        <v>17</v>
      </c>
      <c r="N31" s="116">
        <v>10</v>
      </c>
      <c r="O31" s="116">
        <v>0</v>
      </c>
      <c r="P31" s="43">
        <v>3</v>
      </c>
      <c r="Q31" s="116">
        <v>2</v>
      </c>
      <c r="R31" s="116">
        <v>1</v>
      </c>
      <c r="S31" s="116">
        <v>0</v>
      </c>
      <c r="T31" s="116">
        <v>0</v>
      </c>
      <c r="U31" s="116">
        <v>0</v>
      </c>
      <c r="V31" s="116">
        <v>0</v>
      </c>
      <c r="W31" s="116">
        <v>0</v>
      </c>
      <c r="X31" s="116">
        <v>0</v>
      </c>
      <c r="Y31" s="116">
        <v>0</v>
      </c>
      <c r="Z31" s="116">
        <v>18</v>
      </c>
      <c r="AA31" s="116">
        <v>10</v>
      </c>
      <c r="AB31" s="116">
        <v>0</v>
      </c>
      <c r="AC31" s="116">
        <v>0</v>
      </c>
      <c r="AD31" s="116">
        <v>0</v>
      </c>
      <c r="AE31" s="116">
        <v>0</v>
      </c>
      <c r="AF31" s="116">
        <v>0</v>
      </c>
      <c r="AG31" s="116">
        <v>0</v>
      </c>
      <c r="AH31" s="116">
        <v>0</v>
      </c>
      <c r="AI31" s="116">
        <v>1</v>
      </c>
      <c r="AJ31" s="117">
        <v>0</v>
      </c>
      <c r="AK31" s="117">
        <v>6</v>
      </c>
      <c r="AL31" s="117">
        <v>0</v>
      </c>
      <c r="AM31" s="117">
        <v>0</v>
      </c>
      <c r="AN31" s="117">
        <v>58</v>
      </c>
      <c r="AO31" s="117">
        <v>0</v>
      </c>
      <c r="AP31" s="117">
        <v>6</v>
      </c>
      <c r="AQ31" s="117">
        <v>58</v>
      </c>
      <c r="AR31" s="44"/>
      <c r="AS31" s="44"/>
      <c r="AT31" s="46"/>
      <c r="AU31" s="62" t="s">
        <v>903</v>
      </c>
    </row>
    <row r="32" spans="1:48" ht="16.5" customHeight="1">
      <c r="A32" s="76" t="s">
        <v>785</v>
      </c>
      <c r="B32" s="41" t="s">
        <v>882</v>
      </c>
      <c r="C32" s="5" t="s">
        <v>883</v>
      </c>
      <c r="D32" s="77" t="s">
        <v>884</v>
      </c>
      <c r="E32" s="50"/>
      <c r="F32" s="76" t="s">
        <v>786</v>
      </c>
      <c r="G32" s="121" t="s">
        <v>843</v>
      </c>
      <c r="H32" s="122"/>
      <c r="I32" s="123" t="s">
        <v>888</v>
      </c>
      <c r="J32" s="124">
        <v>2</v>
      </c>
      <c r="K32" s="117">
        <v>1</v>
      </c>
      <c r="L32" s="117">
        <v>1</v>
      </c>
      <c r="M32" s="116">
        <v>8</v>
      </c>
      <c r="N32" s="116">
        <v>1</v>
      </c>
      <c r="O32" s="116">
        <v>0</v>
      </c>
      <c r="P32" s="43">
        <v>17</v>
      </c>
      <c r="Q32" s="116">
        <v>13</v>
      </c>
      <c r="R32" s="116">
        <v>4</v>
      </c>
      <c r="S32" s="116">
        <v>0</v>
      </c>
      <c r="T32" s="116">
        <v>0</v>
      </c>
      <c r="U32" s="116">
        <v>0</v>
      </c>
      <c r="V32" s="116">
        <v>0</v>
      </c>
      <c r="W32" s="116">
        <v>0</v>
      </c>
      <c r="X32" s="116">
        <v>0</v>
      </c>
      <c r="Y32" s="116">
        <v>0</v>
      </c>
      <c r="Z32" s="116">
        <v>0</v>
      </c>
      <c r="AA32" s="116">
        <v>0</v>
      </c>
      <c r="AB32" s="116">
        <v>0</v>
      </c>
      <c r="AC32" s="116">
        <v>0</v>
      </c>
      <c r="AD32" s="116">
        <v>0</v>
      </c>
      <c r="AE32" s="116">
        <v>0</v>
      </c>
      <c r="AF32" s="116">
        <v>21</v>
      </c>
      <c r="AG32" s="116">
        <v>5</v>
      </c>
      <c r="AH32" s="116">
        <v>0</v>
      </c>
      <c r="AI32" s="116">
        <v>1</v>
      </c>
      <c r="AJ32" s="117">
        <v>1</v>
      </c>
      <c r="AK32" s="117">
        <v>6</v>
      </c>
      <c r="AL32" s="117">
        <v>0</v>
      </c>
      <c r="AM32" s="117">
        <v>13</v>
      </c>
      <c r="AN32" s="117">
        <v>25</v>
      </c>
      <c r="AO32" s="117">
        <v>0</v>
      </c>
      <c r="AP32" s="117">
        <v>6</v>
      </c>
      <c r="AQ32" s="117">
        <v>39</v>
      </c>
      <c r="AR32" s="44"/>
      <c r="AS32" s="44"/>
      <c r="AT32" s="46"/>
      <c r="AU32" s="62" t="s">
        <v>887</v>
      </c>
    </row>
    <row r="33" spans="1:47" ht="16.5" customHeight="1">
      <c r="A33" s="76" t="s">
        <v>36</v>
      </c>
      <c r="B33" s="41" t="s">
        <v>882</v>
      </c>
      <c r="C33" s="5" t="s">
        <v>883</v>
      </c>
      <c r="D33" s="77" t="s">
        <v>884</v>
      </c>
      <c r="E33" s="49"/>
      <c r="F33" s="76" t="s">
        <v>37</v>
      </c>
      <c r="G33" s="121" t="s">
        <v>843</v>
      </c>
      <c r="H33" s="122" t="s">
        <v>842</v>
      </c>
      <c r="I33" s="123" t="s">
        <v>888</v>
      </c>
      <c r="J33" s="124">
        <v>2</v>
      </c>
      <c r="K33" s="117">
        <v>1</v>
      </c>
      <c r="L33" s="117">
        <v>1</v>
      </c>
      <c r="M33" s="116">
        <v>19</v>
      </c>
      <c r="N33" s="116">
        <v>4</v>
      </c>
      <c r="O33" s="116">
        <v>0</v>
      </c>
      <c r="P33" s="43">
        <v>0</v>
      </c>
      <c r="Q33" s="116">
        <v>0</v>
      </c>
      <c r="R33" s="116">
        <v>0</v>
      </c>
      <c r="S33" s="116">
        <v>0</v>
      </c>
      <c r="T33" s="116">
        <v>0</v>
      </c>
      <c r="U33" s="116">
        <v>0</v>
      </c>
      <c r="V33" s="116">
        <v>0</v>
      </c>
      <c r="W33" s="116">
        <v>0</v>
      </c>
      <c r="X33" s="116">
        <v>0</v>
      </c>
      <c r="Y33" s="116">
        <v>0</v>
      </c>
      <c r="Z33" s="116">
        <v>18</v>
      </c>
      <c r="AA33" s="116">
        <v>3</v>
      </c>
      <c r="AB33" s="116">
        <v>0</v>
      </c>
      <c r="AC33" s="116">
        <v>0</v>
      </c>
      <c r="AD33" s="116">
        <v>0</v>
      </c>
      <c r="AE33" s="116">
        <v>0</v>
      </c>
      <c r="AF33" s="116">
        <v>0</v>
      </c>
      <c r="AG33" s="116">
        <v>0</v>
      </c>
      <c r="AH33" s="116">
        <v>0</v>
      </c>
      <c r="AI33" s="116">
        <v>1</v>
      </c>
      <c r="AJ33" s="117">
        <v>0</v>
      </c>
      <c r="AK33" s="117">
        <v>6</v>
      </c>
      <c r="AL33" s="117">
        <v>0</v>
      </c>
      <c r="AM33" s="117">
        <v>0</v>
      </c>
      <c r="AN33" s="117">
        <v>47</v>
      </c>
      <c r="AO33" s="117">
        <v>0</v>
      </c>
      <c r="AP33" s="117">
        <v>5</v>
      </c>
      <c r="AQ33" s="117">
        <v>48</v>
      </c>
      <c r="AR33" s="44"/>
      <c r="AS33" s="44"/>
      <c r="AT33" s="46"/>
      <c r="AU33" s="62" t="s">
        <v>887</v>
      </c>
    </row>
    <row r="34" spans="1:47" ht="16.5" customHeight="1">
      <c r="A34" s="76" t="s">
        <v>803</v>
      </c>
      <c r="B34" s="41" t="s">
        <v>882</v>
      </c>
      <c r="C34" s="5" t="s">
        <v>883</v>
      </c>
      <c r="D34" s="77" t="s">
        <v>884</v>
      </c>
      <c r="E34" s="48"/>
      <c r="F34" s="76" t="s">
        <v>804</v>
      </c>
      <c r="G34" s="121" t="s">
        <v>843</v>
      </c>
      <c r="H34" s="122"/>
      <c r="I34" s="123" t="s">
        <v>885</v>
      </c>
      <c r="J34" s="124">
        <v>2</v>
      </c>
      <c r="K34" s="117">
        <v>1</v>
      </c>
      <c r="L34" s="117">
        <v>1</v>
      </c>
      <c r="M34" s="116">
        <v>7</v>
      </c>
      <c r="N34" s="116">
        <v>1</v>
      </c>
      <c r="O34" s="116">
        <v>0</v>
      </c>
      <c r="P34" s="43">
        <v>6</v>
      </c>
      <c r="Q34" s="116">
        <v>2</v>
      </c>
      <c r="R34" s="116">
        <v>4</v>
      </c>
      <c r="S34" s="116">
        <v>0</v>
      </c>
      <c r="T34" s="116">
        <v>0</v>
      </c>
      <c r="U34" s="116">
        <v>0</v>
      </c>
      <c r="V34" s="116">
        <v>0</v>
      </c>
      <c r="W34" s="116">
        <v>0</v>
      </c>
      <c r="X34" s="116">
        <v>0</v>
      </c>
      <c r="Y34" s="116">
        <v>0</v>
      </c>
      <c r="Z34" s="116">
        <v>0</v>
      </c>
      <c r="AA34" s="116">
        <v>0</v>
      </c>
      <c r="AB34" s="116">
        <v>0</v>
      </c>
      <c r="AC34" s="116">
        <v>9</v>
      </c>
      <c r="AD34" s="116">
        <v>4</v>
      </c>
      <c r="AE34" s="116">
        <v>0</v>
      </c>
      <c r="AF34" s="116">
        <v>0</v>
      </c>
      <c r="AG34" s="116">
        <v>0</v>
      </c>
      <c r="AH34" s="116">
        <v>0</v>
      </c>
      <c r="AI34" s="116">
        <v>1</v>
      </c>
      <c r="AJ34" s="117">
        <v>0</v>
      </c>
      <c r="AK34" s="117">
        <v>11</v>
      </c>
      <c r="AL34" s="117">
        <v>0</v>
      </c>
      <c r="AM34" s="117">
        <v>19</v>
      </c>
      <c r="AN34" s="117">
        <v>19</v>
      </c>
      <c r="AO34" s="117">
        <v>0</v>
      </c>
      <c r="AP34" s="117">
        <v>7</v>
      </c>
      <c r="AQ34" s="117">
        <v>42</v>
      </c>
      <c r="AR34" s="44"/>
      <c r="AS34" s="44"/>
      <c r="AT34" s="46"/>
      <c r="AU34" s="62" t="s">
        <v>904</v>
      </c>
    </row>
    <row r="35" spans="1:47" ht="16.5" customHeight="1">
      <c r="A35" s="76" t="s">
        <v>181</v>
      </c>
      <c r="B35" s="41" t="s">
        <v>882</v>
      </c>
      <c r="C35" s="5" t="s">
        <v>883</v>
      </c>
      <c r="D35" s="77" t="s">
        <v>884</v>
      </c>
      <c r="E35" s="47"/>
      <c r="F35" s="76" t="s">
        <v>182</v>
      </c>
      <c r="G35" s="121" t="s">
        <v>843</v>
      </c>
      <c r="H35" s="122"/>
      <c r="I35" s="123" t="s">
        <v>888</v>
      </c>
      <c r="J35" s="124">
        <v>2</v>
      </c>
      <c r="K35" s="117">
        <v>1</v>
      </c>
      <c r="L35" s="117">
        <v>1</v>
      </c>
      <c r="M35" s="116">
        <v>11</v>
      </c>
      <c r="N35" s="116">
        <v>3</v>
      </c>
      <c r="O35" s="116">
        <v>0</v>
      </c>
      <c r="P35" s="43">
        <v>0</v>
      </c>
      <c r="Q35" s="116">
        <v>0</v>
      </c>
      <c r="R35" s="116">
        <v>0</v>
      </c>
      <c r="S35" s="116">
        <v>0</v>
      </c>
      <c r="T35" s="116">
        <v>0</v>
      </c>
      <c r="U35" s="116">
        <v>0</v>
      </c>
      <c r="V35" s="116">
        <v>0</v>
      </c>
      <c r="W35" s="116">
        <v>0</v>
      </c>
      <c r="X35" s="116">
        <v>0</v>
      </c>
      <c r="Y35" s="116">
        <v>0</v>
      </c>
      <c r="Z35" s="116">
        <v>10</v>
      </c>
      <c r="AA35" s="116">
        <v>2</v>
      </c>
      <c r="AB35" s="116">
        <v>0</v>
      </c>
      <c r="AC35" s="116">
        <v>0</v>
      </c>
      <c r="AD35" s="116">
        <v>0</v>
      </c>
      <c r="AE35" s="116">
        <v>0</v>
      </c>
      <c r="AF35" s="116">
        <v>0</v>
      </c>
      <c r="AG35" s="116">
        <v>0</v>
      </c>
      <c r="AH35" s="116">
        <v>0</v>
      </c>
      <c r="AI35" s="116">
        <v>1</v>
      </c>
      <c r="AJ35" s="117">
        <v>0</v>
      </c>
      <c r="AK35" s="117">
        <v>5</v>
      </c>
      <c r="AL35" s="117">
        <v>0</v>
      </c>
      <c r="AM35" s="117">
        <v>0</v>
      </c>
      <c r="AN35" s="117">
        <v>27</v>
      </c>
      <c r="AO35" s="117">
        <v>0</v>
      </c>
      <c r="AP35" s="117">
        <v>4</v>
      </c>
      <c r="AQ35" s="117">
        <v>28</v>
      </c>
      <c r="AR35" s="44"/>
      <c r="AS35" s="44"/>
      <c r="AT35" s="46"/>
      <c r="AU35" s="62" t="s">
        <v>891</v>
      </c>
    </row>
    <row r="36" spans="1:47" ht="16.5" customHeight="1">
      <c r="A36" s="76" t="s">
        <v>39</v>
      </c>
      <c r="B36" s="41" t="s">
        <v>882</v>
      </c>
      <c r="C36" s="5" t="s">
        <v>883</v>
      </c>
      <c r="D36" s="77" t="s">
        <v>884</v>
      </c>
      <c r="E36" s="48"/>
      <c r="F36" s="76" t="s">
        <v>40</v>
      </c>
      <c r="G36" s="121" t="s">
        <v>843</v>
      </c>
      <c r="H36" s="122"/>
      <c r="I36" s="123" t="s">
        <v>885</v>
      </c>
      <c r="J36" s="124">
        <v>2</v>
      </c>
      <c r="K36" s="117">
        <v>1</v>
      </c>
      <c r="L36" s="117">
        <v>1</v>
      </c>
      <c r="M36" s="116">
        <v>11</v>
      </c>
      <c r="N36" s="116">
        <v>5</v>
      </c>
      <c r="O36" s="116">
        <v>0</v>
      </c>
      <c r="P36" s="43">
        <v>6</v>
      </c>
      <c r="Q36" s="116">
        <v>3</v>
      </c>
      <c r="R36" s="116">
        <v>3</v>
      </c>
      <c r="S36" s="116">
        <v>0</v>
      </c>
      <c r="T36" s="116">
        <v>0</v>
      </c>
      <c r="U36" s="116">
        <v>0</v>
      </c>
      <c r="V36" s="116">
        <v>0</v>
      </c>
      <c r="W36" s="116">
        <v>0</v>
      </c>
      <c r="X36" s="116">
        <v>0</v>
      </c>
      <c r="Y36" s="116">
        <v>0</v>
      </c>
      <c r="Z36" s="116">
        <v>0</v>
      </c>
      <c r="AA36" s="116">
        <v>0</v>
      </c>
      <c r="AB36" s="116">
        <v>0</v>
      </c>
      <c r="AC36" s="116">
        <v>13</v>
      </c>
      <c r="AD36" s="116">
        <v>7</v>
      </c>
      <c r="AE36" s="116">
        <v>0</v>
      </c>
      <c r="AF36" s="116">
        <v>0</v>
      </c>
      <c r="AG36" s="116">
        <v>0</v>
      </c>
      <c r="AH36" s="116">
        <v>0</v>
      </c>
      <c r="AI36" s="116">
        <v>1</v>
      </c>
      <c r="AJ36" s="117">
        <v>0</v>
      </c>
      <c r="AK36" s="117">
        <v>5</v>
      </c>
      <c r="AL36" s="117">
        <v>0</v>
      </c>
      <c r="AM36" s="117">
        <v>0</v>
      </c>
      <c r="AN36" s="117">
        <v>43</v>
      </c>
      <c r="AO36" s="117">
        <v>0</v>
      </c>
      <c r="AP36" s="117">
        <v>5</v>
      </c>
      <c r="AQ36" s="117">
        <v>43</v>
      </c>
      <c r="AR36" s="44"/>
      <c r="AS36" s="44"/>
      <c r="AT36" s="46"/>
      <c r="AU36" s="62" t="s">
        <v>905</v>
      </c>
    </row>
    <row r="37" spans="1:47" ht="16.5" customHeight="1">
      <c r="A37" s="76" t="s">
        <v>265</v>
      </c>
      <c r="B37" s="41" t="s">
        <v>882</v>
      </c>
      <c r="C37" s="5" t="s">
        <v>883</v>
      </c>
      <c r="D37" s="77" t="s">
        <v>884</v>
      </c>
      <c r="E37" s="49"/>
      <c r="F37" s="76" t="s">
        <v>266</v>
      </c>
      <c r="G37" s="121" t="s">
        <v>843</v>
      </c>
      <c r="H37" s="122" t="s">
        <v>842</v>
      </c>
      <c r="I37" s="123" t="s">
        <v>888</v>
      </c>
      <c r="J37" s="124">
        <v>2</v>
      </c>
      <c r="K37" s="117">
        <v>1</v>
      </c>
      <c r="L37" s="117">
        <v>1</v>
      </c>
      <c r="M37" s="116">
        <v>10</v>
      </c>
      <c r="N37" s="116">
        <v>3</v>
      </c>
      <c r="O37" s="116">
        <v>0</v>
      </c>
      <c r="P37" s="43">
        <v>0</v>
      </c>
      <c r="Q37" s="116">
        <v>0</v>
      </c>
      <c r="R37" s="116">
        <v>0</v>
      </c>
      <c r="S37" s="116">
        <v>0</v>
      </c>
      <c r="T37" s="116">
        <v>1</v>
      </c>
      <c r="U37" s="116">
        <v>1</v>
      </c>
      <c r="V37" s="116">
        <v>0</v>
      </c>
      <c r="W37" s="116">
        <v>0</v>
      </c>
      <c r="X37" s="116">
        <v>0</v>
      </c>
      <c r="Y37" s="116">
        <v>0</v>
      </c>
      <c r="Z37" s="116">
        <v>5</v>
      </c>
      <c r="AA37" s="116">
        <v>0</v>
      </c>
      <c r="AB37" s="116">
        <v>0</v>
      </c>
      <c r="AC37" s="116">
        <v>0</v>
      </c>
      <c r="AD37" s="116">
        <v>0</v>
      </c>
      <c r="AE37" s="116">
        <v>0</v>
      </c>
      <c r="AF37" s="116">
        <v>4</v>
      </c>
      <c r="AG37" s="116">
        <v>1</v>
      </c>
      <c r="AH37" s="116">
        <v>0</v>
      </c>
      <c r="AI37" s="116">
        <v>1</v>
      </c>
      <c r="AJ37" s="117">
        <v>0</v>
      </c>
      <c r="AK37" s="117">
        <v>6</v>
      </c>
      <c r="AL37" s="117">
        <v>0</v>
      </c>
      <c r="AM37" s="117">
        <v>14</v>
      </c>
      <c r="AN37" s="117">
        <v>20</v>
      </c>
      <c r="AO37" s="117">
        <v>2</v>
      </c>
      <c r="AP37" s="117">
        <v>3</v>
      </c>
      <c r="AQ37" s="117">
        <v>35</v>
      </c>
      <c r="AR37" s="44"/>
      <c r="AS37" s="44"/>
      <c r="AT37" s="46"/>
      <c r="AU37" s="62" t="s">
        <v>887</v>
      </c>
    </row>
    <row r="38" spans="1:47" ht="16.5" customHeight="1">
      <c r="A38" s="76" t="s">
        <v>184</v>
      </c>
      <c r="B38" s="41" t="s">
        <v>882</v>
      </c>
      <c r="C38" s="5" t="s">
        <v>883</v>
      </c>
      <c r="D38" s="77" t="s">
        <v>884</v>
      </c>
      <c r="E38" s="47"/>
      <c r="F38" s="76" t="s">
        <v>185</v>
      </c>
      <c r="G38" s="121" t="s">
        <v>843</v>
      </c>
      <c r="H38" s="122"/>
      <c r="I38" s="123" t="s">
        <v>888</v>
      </c>
      <c r="J38" s="124">
        <v>2</v>
      </c>
      <c r="K38" s="117">
        <v>3</v>
      </c>
      <c r="L38" s="117">
        <v>1</v>
      </c>
      <c r="M38" s="116">
        <v>21</v>
      </c>
      <c r="N38" s="116">
        <v>3</v>
      </c>
      <c r="O38" s="116">
        <v>0</v>
      </c>
      <c r="P38" s="43">
        <v>3</v>
      </c>
      <c r="Q38" s="116">
        <v>3</v>
      </c>
      <c r="R38" s="116">
        <v>0</v>
      </c>
      <c r="S38" s="116">
        <v>0</v>
      </c>
      <c r="T38" s="116">
        <v>0</v>
      </c>
      <c r="U38" s="116">
        <v>0</v>
      </c>
      <c r="V38" s="116">
        <v>0</v>
      </c>
      <c r="W38" s="116">
        <v>1</v>
      </c>
      <c r="X38" s="116">
        <v>0</v>
      </c>
      <c r="Y38" s="116">
        <v>0</v>
      </c>
      <c r="Z38" s="116">
        <v>23</v>
      </c>
      <c r="AA38" s="116">
        <v>2</v>
      </c>
      <c r="AB38" s="116">
        <v>0</v>
      </c>
      <c r="AC38" s="116">
        <v>0</v>
      </c>
      <c r="AD38" s="116">
        <v>0</v>
      </c>
      <c r="AE38" s="116">
        <v>0</v>
      </c>
      <c r="AF38" s="116">
        <v>0</v>
      </c>
      <c r="AG38" s="116">
        <v>0</v>
      </c>
      <c r="AH38" s="116">
        <v>0</v>
      </c>
      <c r="AI38" s="116">
        <v>1</v>
      </c>
      <c r="AJ38" s="117">
        <v>0</v>
      </c>
      <c r="AK38" s="117">
        <v>7</v>
      </c>
      <c r="AL38" s="117">
        <v>0</v>
      </c>
      <c r="AM38" s="117">
        <v>0</v>
      </c>
      <c r="AN38" s="117">
        <v>29</v>
      </c>
      <c r="AO38" s="117">
        <v>0</v>
      </c>
      <c r="AP38" s="117">
        <v>3</v>
      </c>
      <c r="AQ38" s="117">
        <v>30</v>
      </c>
      <c r="AR38" s="44"/>
      <c r="AS38" s="44"/>
      <c r="AT38" s="46"/>
      <c r="AU38" s="62" t="s">
        <v>892</v>
      </c>
    </row>
    <row r="39" spans="1:47" ht="16.5" customHeight="1">
      <c r="A39" s="76" t="s">
        <v>811</v>
      </c>
      <c r="B39" s="41" t="s">
        <v>882</v>
      </c>
      <c r="C39" s="5" t="s">
        <v>883</v>
      </c>
      <c r="D39" s="77" t="s">
        <v>884</v>
      </c>
      <c r="E39" s="50"/>
      <c r="F39" s="76" t="s">
        <v>812</v>
      </c>
      <c r="G39" s="121" t="s">
        <v>843</v>
      </c>
      <c r="H39" s="122"/>
      <c r="I39" s="123" t="s">
        <v>888</v>
      </c>
      <c r="J39" s="124">
        <v>2</v>
      </c>
      <c r="K39" s="117">
        <v>2</v>
      </c>
      <c r="L39" s="117">
        <v>2</v>
      </c>
      <c r="M39" s="116">
        <v>14</v>
      </c>
      <c r="N39" s="116">
        <v>1</v>
      </c>
      <c r="O39" s="116">
        <v>0</v>
      </c>
      <c r="P39" s="43">
        <v>21</v>
      </c>
      <c r="Q39" s="116">
        <v>18</v>
      </c>
      <c r="R39" s="116">
        <v>3</v>
      </c>
      <c r="S39" s="116">
        <v>0</v>
      </c>
      <c r="T39" s="116">
        <v>0</v>
      </c>
      <c r="U39" s="116">
        <v>0</v>
      </c>
      <c r="V39" s="116">
        <v>0</v>
      </c>
      <c r="W39" s="116">
        <v>0</v>
      </c>
      <c r="X39" s="116">
        <v>0</v>
      </c>
      <c r="Y39" s="116">
        <v>0</v>
      </c>
      <c r="Z39" s="116">
        <v>31</v>
      </c>
      <c r="AA39" s="116">
        <v>3</v>
      </c>
      <c r="AB39" s="116">
        <v>0</v>
      </c>
      <c r="AC39" s="116">
        <v>0</v>
      </c>
      <c r="AD39" s="116">
        <v>0</v>
      </c>
      <c r="AE39" s="116">
        <v>0</v>
      </c>
      <c r="AF39" s="116">
        <v>0</v>
      </c>
      <c r="AG39" s="116">
        <v>0</v>
      </c>
      <c r="AH39" s="116">
        <v>0</v>
      </c>
      <c r="AI39" s="116">
        <v>1</v>
      </c>
      <c r="AJ39" s="117">
        <v>2</v>
      </c>
      <c r="AK39" s="117">
        <v>11</v>
      </c>
      <c r="AL39" s="117">
        <v>0</v>
      </c>
      <c r="AM39" s="117">
        <v>5</v>
      </c>
      <c r="AN39" s="117">
        <v>48</v>
      </c>
      <c r="AO39" s="117">
        <v>0</v>
      </c>
      <c r="AP39" s="117">
        <v>5</v>
      </c>
      <c r="AQ39" s="117">
        <v>57</v>
      </c>
      <c r="AR39" s="44"/>
      <c r="AS39" s="44"/>
      <c r="AT39" s="46"/>
      <c r="AU39" s="62" t="s">
        <v>906</v>
      </c>
    </row>
    <row r="40" spans="1:47" ht="16.5" customHeight="1">
      <c r="A40" s="76" t="s">
        <v>187</v>
      </c>
      <c r="B40" s="41" t="s">
        <v>882</v>
      </c>
      <c r="C40" s="5" t="s">
        <v>883</v>
      </c>
      <c r="D40" s="77" t="s">
        <v>884</v>
      </c>
      <c r="E40" s="48"/>
      <c r="F40" s="76" t="s">
        <v>188</v>
      </c>
      <c r="G40" s="121" t="s">
        <v>843</v>
      </c>
      <c r="H40" s="122"/>
      <c r="I40" s="123" t="s">
        <v>888</v>
      </c>
      <c r="J40" s="124">
        <v>2</v>
      </c>
      <c r="K40" s="117">
        <v>1</v>
      </c>
      <c r="L40" s="117">
        <v>1</v>
      </c>
      <c r="M40" s="116">
        <v>9</v>
      </c>
      <c r="N40" s="116">
        <v>2</v>
      </c>
      <c r="O40" s="116">
        <v>2</v>
      </c>
      <c r="P40" s="43">
        <v>15</v>
      </c>
      <c r="Q40" s="116">
        <v>11</v>
      </c>
      <c r="R40" s="116">
        <v>3</v>
      </c>
      <c r="S40" s="116">
        <v>1</v>
      </c>
      <c r="T40" s="116">
        <v>0</v>
      </c>
      <c r="U40" s="116">
        <v>0</v>
      </c>
      <c r="V40" s="116">
        <v>0</v>
      </c>
      <c r="W40" s="116">
        <v>0</v>
      </c>
      <c r="X40" s="116">
        <v>0</v>
      </c>
      <c r="Y40" s="116">
        <v>0</v>
      </c>
      <c r="Z40" s="116">
        <v>0</v>
      </c>
      <c r="AA40" s="116">
        <v>0</v>
      </c>
      <c r="AB40" s="116">
        <v>0</v>
      </c>
      <c r="AC40" s="116">
        <v>18</v>
      </c>
      <c r="AD40" s="116">
        <v>4</v>
      </c>
      <c r="AE40" s="116">
        <v>6</v>
      </c>
      <c r="AF40" s="116">
        <v>0</v>
      </c>
      <c r="AG40" s="116">
        <v>0</v>
      </c>
      <c r="AH40" s="116">
        <v>0</v>
      </c>
      <c r="AI40" s="116">
        <v>1</v>
      </c>
      <c r="AJ40" s="117">
        <v>0</v>
      </c>
      <c r="AK40" s="117">
        <v>6</v>
      </c>
      <c r="AL40" s="117">
        <v>0</v>
      </c>
      <c r="AM40" s="117">
        <v>0</v>
      </c>
      <c r="AN40" s="117">
        <v>20</v>
      </c>
      <c r="AO40" s="117">
        <v>0</v>
      </c>
      <c r="AP40" s="117">
        <v>5</v>
      </c>
      <c r="AQ40" s="117">
        <v>20</v>
      </c>
      <c r="AR40" s="44"/>
      <c r="AS40" s="44"/>
      <c r="AT40" s="46"/>
      <c r="AU40" s="62" t="s">
        <v>892</v>
      </c>
    </row>
    <row r="41" spans="1:47" ht="16.5" customHeight="1">
      <c r="A41" s="76" t="s">
        <v>813</v>
      </c>
      <c r="B41" s="41" t="s">
        <v>882</v>
      </c>
      <c r="C41" s="5" t="s">
        <v>883</v>
      </c>
      <c r="D41" s="77" t="s">
        <v>884</v>
      </c>
      <c r="E41" s="48"/>
      <c r="F41" s="76" t="s">
        <v>814</v>
      </c>
      <c r="G41" s="121" t="s">
        <v>843</v>
      </c>
      <c r="H41" s="122"/>
      <c r="I41" s="123" t="s">
        <v>885</v>
      </c>
      <c r="J41" s="124">
        <v>2</v>
      </c>
      <c r="K41" s="117">
        <v>0</v>
      </c>
      <c r="L41" s="117">
        <v>0</v>
      </c>
      <c r="M41" s="116">
        <v>9</v>
      </c>
      <c r="N41" s="116">
        <v>1</v>
      </c>
      <c r="O41" s="116">
        <v>1</v>
      </c>
      <c r="P41" s="43">
        <v>1</v>
      </c>
      <c r="Q41" s="116">
        <v>1</v>
      </c>
      <c r="R41" s="116">
        <v>0</v>
      </c>
      <c r="S41" s="116">
        <v>0</v>
      </c>
      <c r="T41" s="116">
        <v>0</v>
      </c>
      <c r="U41" s="116">
        <v>0</v>
      </c>
      <c r="V41" s="116">
        <v>0</v>
      </c>
      <c r="W41" s="116">
        <v>0</v>
      </c>
      <c r="X41" s="116">
        <v>0</v>
      </c>
      <c r="Y41" s="116">
        <v>0</v>
      </c>
      <c r="Z41" s="116">
        <v>0</v>
      </c>
      <c r="AA41" s="116">
        <v>0</v>
      </c>
      <c r="AB41" s="116">
        <v>0</v>
      </c>
      <c r="AC41" s="116">
        <v>0</v>
      </c>
      <c r="AD41" s="116">
        <v>0</v>
      </c>
      <c r="AE41" s="116">
        <v>0</v>
      </c>
      <c r="AF41" s="116">
        <v>8</v>
      </c>
      <c r="AG41" s="116">
        <v>1</v>
      </c>
      <c r="AH41" s="116">
        <v>3</v>
      </c>
      <c r="AI41" s="116">
        <v>1</v>
      </c>
      <c r="AJ41" s="117">
        <v>0</v>
      </c>
      <c r="AK41" s="117">
        <v>6</v>
      </c>
      <c r="AL41" s="117">
        <v>0</v>
      </c>
      <c r="AM41" s="117">
        <v>14</v>
      </c>
      <c r="AN41" s="117">
        <v>13</v>
      </c>
      <c r="AO41" s="117">
        <v>0</v>
      </c>
      <c r="AP41" s="117">
        <v>3</v>
      </c>
      <c r="AQ41" s="117">
        <v>30</v>
      </c>
      <c r="AR41" s="44"/>
      <c r="AS41" s="44"/>
      <c r="AT41" s="46"/>
      <c r="AU41" s="62" t="s">
        <v>899</v>
      </c>
    </row>
    <row r="42" spans="1:47" ht="16.5" customHeight="1">
      <c r="A42" s="76" t="s">
        <v>268</v>
      </c>
      <c r="B42" s="41" t="s">
        <v>882</v>
      </c>
      <c r="C42" s="5" t="s">
        <v>883</v>
      </c>
      <c r="D42" s="77" t="s">
        <v>884</v>
      </c>
      <c r="E42" s="48"/>
      <c r="F42" s="76" t="s">
        <v>269</v>
      </c>
      <c r="G42" s="121" t="s">
        <v>843</v>
      </c>
      <c r="H42" s="122"/>
      <c r="I42" s="123" t="s">
        <v>888</v>
      </c>
      <c r="J42" s="124">
        <v>2</v>
      </c>
      <c r="K42" s="117">
        <v>1</v>
      </c>
      <c r="L42" s="117">
        <v>1</v>
      </c>
      <c r="M42" s="116">
        <v>6</v>
      </c>
      <c r="N42" s="116">
        <v>1</v>
      </c>
      <c r="O42" s="116">
        <v>0</v>
      </c>
      <c r="P42" s="43">
        <v>5</v>
      </c>
      <c r="Q42" s="116">
        <v>3</v>
      </c>
      <c r="R42" s="116">
        <v>2</v>
      </c>
      <c r="S42" s="116">
        <v>0</v>
      </c>
      <c r="T42" s="116">
        <v>0</v>
      </c>
      <c r="U42" s="116">
        <v>0</v>
      </c>
      <c r="V42" s="116">
        <v>0</v>
      </c>
      <c r="W42" s="116">
        <v>0</v>
      </c>
      <c r="X42" s="116">
        <v>0</v>
      </c>
      <c r="Y42" s="116">
        <v>0</v>
      </c>
      <c r="Z42" s="116">
        <v>8</v>
      </c>
      <c r="AA42" s="116">
        <v>2</v>
      </c>
      <c r="AB42" s="116">
        <v>0</v>
      </c>
      <c r="AC42" s="116">
        <v>0</v>
      </c>
      <c r="AD42" s="116">
        <v>0</v>
      </c>
      <c r="AE42" s="116">
        <v>0</v>
      </c>
      <c r="AF42" s="116">
        <v>0</v>
      </c>
      <c r="AG42" s="116">
        <v>0</v>
      </c>
      <c r="AH42" s="116">
        <v>0</v>
      </c>
      <c r="AI42" s="116">
        <v>1</v>
      </c>
      <c r="AJ42" s="117">
        <v>1</v>
      </c>
      <c r="AK42" s="117">
        <v>2</v>
      </c>
      <c r="AL42" s="117">
        <v>0</v>
      </c>
      <c r="AM42" s="117">
        <v>2</v>
      </c>
      <c r="AN42" s="117">
        <v>11</v>
      </c>
      <c r="AO42" s="117">
        <v>0</v>
      </c>
      <c r="AP42" s="117">
        <v>2</v>
      </c>
      <c r="AQ42" s="117">
        <v>14</v>
      </c>
      <c r="AR42" s="44"/>
      <c r="AS42" s="44"/>
      <c r="AT42" s="46"/>
      <c r="AU42" s="62" t="s">
        <v>907</v>
      </c>
    </row>
    <row r="43" spans="1:47" ht="16.5" customHeight="1">
      <c r="A43" s="76" t="s">
        <v>815</v>
      </c>
      <c r="B43" s="41" t="s">
        <v>882</v>
      </c>
      <c r="C43" s="5" t="s">
        <v>883</v>
      </c>
      <c r="D43" s="77" t="s">
        <v>884</v>
      </c>
      <c r="E43" s="47"/>
      <c r="F43" s="76" t="s">
        <v>816</v>
      </c>
      <c r="G43" s="121" t="s">
        <v>843</v>
      </c>
      <c r="H43" s="122"/>
      <c r="I43" s="123" t="s">
        <v>888</v>
      </c>
      <c r="J43" s="124">
        <v>2</v>
      </c>
      <c r="K43" s="117">
        <v>0</v>
      </c>
      <c r="L43" s="117">
        <v>0</v>
      </c>
      <c r="M43" s="116">
        <v>9</v>
      </c>
      <c r="N43" s="116">
        <v>2</v>
      </c>
      <c r="O43" s="116">
        <v>1</v>
      </c>
      <c r="P43" s="43">
        <v>0</v>
      </c>
      <c r="Q43" s="116">
        <v>0</v>
      </c>
      <c r="R43" s="116">
        <v>0</v>
      </c>
      <c r="S43" s="116">
        <v>0</v>
      </c>
      <c r="T43" s="116">
        <v>0</v>
      </c>
      <c r="U43" s="116">
        <v>0</v>
      </c>
      <c r="V43" s="116">
        <v>0</v>
      </c>
      <c r="W43" s="116">
        <v>1</v>
      </c>
      <c r="X43" s="116">
        <v>1</v>
      </c>
      <c r="Y43" s="116">
        <v>1</v>
      </c>
      <c r="Z43" s="116">
        <v>7</v>
      </c>
      <c r="AA43" s="116">
        <v>1</v>
      </c>
      <c r="AB43" s="116">
        <v>2</v>
      </c>
      <c r="AC43" s="116">
        <v>0</v>
      </c>
      <c r="AD43" s="116">
        <v>0</v>
      </c>
      <c r="AE43" s="116">
        <v>0</v>
      </c>
      <c r="AF43" s="116">
        <v>0</v>
      </c>
      <c r="AG43" s="116">
        <v>0</v>
      </c>
      <c r="AH43" s="116">
        <v>0</v>
      </c>
      <c r="AI43" s="116">
        <v>1</v>
      </c>
      <c r="AJ43" s="117">
        <v>0</v>
      </c>
      <c r="AK43" s="117">
        <v>6</v>
      </c>
      <c r="AL43" s="117">
        <v>0</v>
      </c>
      <c r="AM43" s="117">
        <v>0</v>
      </c>
      <c r="AN43" s="117">
        <v>32</v>
      </c>
      <c r="AO43" s="117">
        <v>1</v>
      </c>
      <c r="AP43" s="117">
        <v>4</v>
      </c>
      <c r="AQ43" s="117">
        <v>33</v>
      </c>
      <c r="AR43" s="44"/>
      <c r="AS43" s="44"/>
      <c r="AT43" s="46"/>
      <c r="AU43" s="62" t="s">
        <v>887</v>
      </c>
    </row>
    <row r="44" spans="1:47" ht="16.5" customHeight="1">
      <c r="A44" s="76" t="s">
        <v>835</v>
      </c>
      <c r="B44" s="41" t="s">
        <v>882</v>
      </c>
      <c r="C44" s="5" t="s">
        <v>883</v>
      </c>
      <c r="D44" s="77" t="s">
        <v>884</v>
      </c>
      <c r="E44" s="48"/>
      <c r="F44" s="76" t="s">
        <v>836</v>
      </c>
      <c r="G44" s="121" t="s">
        <v>843</v>
      </c>
      <c r="H44" s="122"/>
      <c r="I44" s="123" t="s">
        <v>888</v>
      </c>
      <c r="J44" s="124">
        <v>2</v>
      </c>
      <c r="K44" s="117">
        <v>1</v>
      </c>
      <c r="L44" s="117">
        <v>1</v>
      </c>
      <c r="M44" s="116">
        <v>6</v>
      </c>
      <c r="N44" s="116">
        <v>2</v>
      </c>
      <c r="O44" s="116">
        <v>0</v>
      </c>
      <c r="P44" s="43">
        <v>3</v>
      </c>
      <c r="Q44" s="116">
        <v>2</v>
      </c>
      <c r="R44" s="116">
        <v>1</v>
      </c>
      <c r="S44" s="116">
        <v>0</v>
      </c>
      <c r="T44" s="116">
        <v>2</v>
      </c>
      <c r="U44" s="116">
        <v>0</v>
      </c>
      <c r="V44" s="116">
        <v>0</v>
      </c>
      <c r="W44" s="116">
        <v>0</v>
      </c>
      <c r="X44" s="116">
        <v>0</v>
      </c>
      <c r="Y44" s="116">
        <v>0</v>
      </c>
      <c r="Z44" s="116">
        <v>4</v>
      </c>
      <c r="AA44" s="116">
        <v>0</v>
      </c>
      <c r="AB44" s="116">
        <v>0</v>
      </c>
      <c r="AC44" s="116">
        <v>0</v>
      </c>
      <c r="AD44" s="116">
        <v>0</v>
      </c>
      <c r="AE44" s="116">
        <v>0</v>
      </c>
      <c r="AF44" s="116">
        <v>1</v>
      </c>
      <c r="AG44" s="116">
        <v>2</v>
      </c>
      <c r="AH44" s="116">
        <v>0</v>
      </c>
      <c r="AI44" s="116">
        <v>1</v>
      </c>
      <c r="AJ44" s="117">
        <v>0</v>
      </c>
      <c r="AK44" s="117">
        <v>4</v>
      </c>
      <c r="AL44" s="117">
        <v>0</v>
      </c>
      <c r="AM44" s="117">
        <v>0</v>
      </c>
      <c r="AN44" s="117">
        <v>23</v>
      </c>
      <c r="AO44" s="117">
        <v>1</v>
      </c>
      <c r="AP44" s="117">
        <v>3</v>
      </c>
      <c r="AQ44" s="117">
        <v>23</v>
      </c>
      <c r="AR44" s="44"/>
      <c r="AS44" s="44"/>
      <c r="AT44" s="46"/>
      <c r="AU44" s="62" t="s">
        <v>900</v>
      </c>
    </row>
    <row r="45" spans="1:47" ht="16.5" customHeight="1">
      <c r="A45" s="76" t="s">
        <v>837</v>
      </c>
      <c r="B45" s="41" t="s">
        <v>882</v>
      </c>
      <c r="C45" s="5" t="s">
        <v>883</v>
      </c>
      <c r="D45" s="77" t="s">
        <v>884</v>
      </c>
      <c r="E45" s="47"/>
      <c r="F45" s="76" t="s">
        <v>838</v>
      </c>
      <c r="G45" s="121" t="s">
        <v>843</v>
      </c>
      <c r="H45" s="122"/>
      <c r="I45" s="123" t="s">
        <v>888</v>
      </c>
      <c r="J45" s="124">
        <v>2</v>
      </c>
      <c r="K45" s="117">
        <v>1</v>
      </c>
      <c r="L45" s="117">
        <v>1</v>
      </c>
      <c r="M45" s="116">
        <v>8</v>
      </c>
      <c r="N45" s="116">
        <v>2</v>
      </c>
      <c r="O45" s="116">
        <v>0</v>
      </c>
      <c r="P45" s="43">
        <v>6</v>
      </c>
      <c r="Q45" s="116">
        <v>2</v>
      </c>
      <c r="R45" s="116">
        <v>4</v>
      </c>
      <c r="S45" s="116">
        <v>0</v>
      </c>
      <c r="T45" s="116">
        <v>0</v>
      </c>
      <c r="U45" s="116">
        <v>1</v>
      </c>
      <c r="V45" s="116">
        <v>0</v>
      </c>
      <c r="W45" s="116">
        <v>0</v>
      </c>
      <c r="X45" s="116">
        <v>0</v>
      </c>
      <c r="Y45" s="116">
        <v>0</v>
      </c>
      <c r="Z45" s="116">
        <v>3</v>
      </c>
      <c r="AA45" s="116">
        <v>0</v>
      </c>
      <c r="AB45" s="116">
        <v>0</v>
      </c>
      <c r="AC45" s="116">
        <v>6</v>
      </c>
      <c r="AD45" s="116">
        <v>4</v>
      </c>
      <c r="AE45" s="116">
        <v>0</v>
      </c>
      <c r="AF45" s="116">
        <v>0</v>
      </c>
      <c r="AG45" s="116">
        <v>0</v>
      </c>
      <c r="AH45" s="116">
        <v>0</v>
      </c>
      <c r="AI45" s="116">
        <v>1</v>
      </c>
      <c r="AJ45" s="117">
        <v>1</v>
      </c>
      <c r="AK45" s="117">
        <v>6</v>
      </c>
      <c r="AL45" s="117">
        <v>0</v>
      </c>
      <c r="AM45" s="117">
        <v>9</v>
      </c>
      <c r="AN45" s="117">
        <v>22</v>
      </c>
      <c r="AO45" s="117">
        <v>0</v>
      </c>
      <c r="AP45" s="117">
        <v>6</v>
      </c>
      <c r="AQ45" s="117">
        <v>32</v>
      </c>
      <c r="AR45" s="44"/>
      <c r="AS45" s="44"/>
      <c r="AT45" s="46"/>
      <c r="AU45" s="62" t="s">
        <v>908</v>
      </c>
    </row>
    <row r="46" spans="1:47" ht="16.5" customHeight="1">
      <c r="A46" s="76" t="s">
        <v>589</v>
      </c>
      <c r="B46" s="41" t="s">
        <v>882</v>
      </c>
      <c r="C46" s="5" t="s">
        <v>883</v>
      </c>
      <c r="D46" s="77" t="s">
        <v>909</v>
      </c>
      <c r="E46" s="47"/>
      <c r="F46" s="76" t="s">
        <v>590</v>
      </c>
      <c r="G46" s="121" t="s">
        <v>843</v>
      </c>
      <c r="H46" s="122"/>
      <c r="I46" s="123" t="s">
        <v>888</v>
      </c>
      <c r="J46" s="124">
        <v>2</v>
      </c>
      <c r="K46" s="117">
        <v>1</v>
      </c>
      <c r="L46" s="117">
        <v>1</v>
      </c>
      <c r="M46" s="116">
        <v>7</v>
      </c>
      <c r="N46" s="116">
        <v>11</v>
      </c>
      <c r="O46" s="116">
        <v>0</v>
      </c>
      <c r="P46" s="43">
        <v>21</v>
      </c>
      <c r="Q46" s="116">
        <v>4</v>
      </c>
      <c r="R46" s="116">
        <v>17</v>
      </c>
      <c r="S46" s="116">
        <v>0</v>
      </c>
      <c r="T46" s="116">
        <v>1</v>
      </c>
      <c r="U46" s="116">
        <v>0</v>
      </c>
      <c r="V46" s="116">
        <v>0</v>
      </c>
      <c r="W46" s="116">
        <v>1</v>
      </c>
      <c r="X46" s="116">
        <v>1</v>
      </c>
      <c r="Y46" s="116">
        <v>0</v>
      </c>
      <c r="Z46" s="116">
        <v>0</v>
      </c>
      <c r="AA46" s="116">
        <v>0</v>
      </c>
      <c r="AB46" s="116">
        <v>0</v>
      </c>
      <c r="AC46" s="116">
        <v>0</v>
      </c>
      <c r="AD46" s="116">
        <v>0</v>
      </c>
      <c r="AE46" s="116">
        <v>0</v>
      </c>
      <c r="AF46" s="116">
        <v>8</v>
      </c>
      <c r="AG46" s="116">
        <v>26</v>
      </c>
      <c r="AH46" s="116">
        <v>0</v>
      </c>
      <c r="AI46" s="116">
        <v>1</v>
      </c>
      <c r="AJ46" s="117">
        <v>0</v>
      </c>
      <c r="AK46" s="117">
        <v>10</v>
      </c>
      <c r="AL46" s="117">
        <v>0</v>
      </c>
      <c r="AM46" s="117">
        <v>0</v>
      </c>
      <c r="AN46" s="117">
        <v>68</v>
      </c>
      <c r="AO46" s="117">
        <v>0</v>
      </c>
      <c r="AP46" s="117">
        <v>8</v>
      </c>
      <c r="AQ46" s="117">
        <v>70</v>
      </c>
      <c r="AR46" s="44"/>
      <c r="AS46" s="44"/>
      <c r="AT46" s="46"/>
      <c r="AU46" s="62" t="s">
        <v>910</v>
      </c>
    </row>
    <row r="47" spans="1:47" ht="16.5" customHeight="1">
      <c r="A47" s="76" t="s">
        <v>142</v>
      </c>
      <c r="B47" s="41" t="s">
        <v>882</v>
      </c>
      <c r="C47" s="5" t="s">
        <v>883</v>
      </c>
      <c r="D47" s="77" t="s">
        <v>909</v>
      </c>
      <c r="E47" s="48"/>
      <c r="F47" s="76" t="s">
        <v>143</v>
      </c>
      <c r="G47" s="121" t="s">
        <v>843</v>
      </c>
      <c r="H47" s="122"/>
      <c r="I47" s="123" t="s">
        <v>888</v>
      </c>
      <c r="J47" s="124">
        <v>2</v>
      </c>
      <c r="K47" s="117">
        <v>1</v>
      </c>
      <c r="L47" s="117">
        <v>0</v>
      </c>
      <c r="M47" s="116">
        <v>16</v>
      </c>
      <c r="N47" s="116">
        <v>0</v>
      </c>
      <c r="O47" s="116">
        <v>6</v>
      </c>
      <c r="P47" s="43">
        <v>5</v>
      </c>
      <c r="Q47" s="116">
        <v>3</v>
      </c>
      <c r="R47" s="116">
        <v>0</v>
      </c>
      <c r="S47" s="116">
        <v>2</v>
      </c>
      <c r="T47" s="116">
        <v>5</v>
      </c>
      <c r="U47" s="116">
        <v>0</v>
      </c>
      <c r="V47" s="116">
        <v>8</v>
      </c>
      <c r="W47" s="116">
        <v>0</v>
      </c>
      <c r="X47" s="116">
        <v>0</v>
      </c>
      <c r="Y47" s="116">
        <v>0</v>
      </c>
      <c r="Z47" s="116">
        <v>2</v>
      </c>
      <c r="AA47" s="116">
        <v>0</v>
      </c>
      <c r="AB47" s="116">
        <v>0</v>
      </c>
      <c r="AC47" s="116">
        <v>0</v>
      </c>
      <c r="AD47" s="116">
        <v>0</v>
      </c>
      <c r="AE47" s="116">
        <v>0</v>
      </c>
      <c r="AF47" s="116">
        <v>7</v>
      </c>
      <c r="AG47" s="116">
        <v>0</v>
      </c>
      <c r="AH47" s="116">
        <v>5</v>
      </c>
      <c r="AI47" s="116">
        <v>1</v>
      </c>
      <c r="AJ47" s="117">
        <v>0</v>
      </c>
      <c r="AK47" s="117">
        <v>6</v>
      </c>
      <c r="AL47" s="117">
        <v>0</v>
      </c>
      <c r="AM47" s="117">
        <v>0</v>
      </c>
      <c r="AN47" s="117">
        <v>39</v>
      </c>
      <c r="AO47" s="117">
        <v>3</v>
      </c>
      <c r="AP47" s="117">
        <v>2</v>
      </c>
      <c r="AQ47" s="117">
        <v>40</v>
      </c>
      <c r="AR47" s="44"/>
      <c r="AS47" s="44"/>
      <c r="AT47" s="46"/>
      <c r="AU47" s="62" t="s">
        <v>887</v>
      </c>
    </row>
    <row r="48" spans="1:47" ht="16.5" customHeight="1">
      <c r="A48" s="76" t="s">
        <v>601</v>
      </c>
      <c r="B48" s="41" t="s">
        <v>882</v>
      </c>
      <c r="C48" s="5" t="s">
        <v>883</v>
      </c>
      <c r="D48" s="77" t="s">
        <v>909</v>
      </c>
      <c r="E48" s="48"/>
      <c r="F48" s="76" t="s">
        <v>602</v>
      </c>
      <c r="G48" s="121" t="s">
        <v>843</v>
      </c>
      <c r="H48" s="122" t="s">
        <v>842</v>
      </c>
      <c r="I48" s="123" t="s">
        <v>888</v>
      </c>
      <c r="J48" s="124">
        <v>2</v>
      </c>
      <c r="K48" s="117">
        <v>2</v>
      </c>
      <c r="L48" s="117">
        <v>1</v>
      </c>
      <c r="M48" s="116">
        <v>7</v>
      </c>
      <c r="N48" s="116">
        <v>2</v>
      </c>
      <c r="O48" s="116">
        <v>0</v>
      </c>
      <c r="P48" s="43">
        <v>7</v>
      </c>
      <c r="Q48" s="116">
        <v>3</v>
      </c>
      <c r="R48" s="116">
        <v>4</v>
      </c>
      <c r="S48" s="116">
        <v>0</v>
      </c>
      <c r="T48" s="116">
        <v>0</v>
      </c>
      <c r="U48" s="116">
        <v>0</v>
      </c>
      <c r="V48" s="116">
        <v>0</v>
      </c>
      <c r="W48" s="116">
        <v>0</v>
      </c>
      <c r="X48" s="116">
        <v>0</v>
      </c>
      <c r="Y48" s="116">
        <v>0</v>
      </c>
      <c r="Z48" s="116">
        <v>12</v>
      </c>
      <c r="AA48" s="116">
        <v>5</v>
      </c>
      <c r="AB48" s="116">
        <v>0</v>
      </c>
      <c r="AC48" s="116">
        <v>0</v>
      </c>
      <c r="AD48" s="116">
        <v>0</v>
      </c>
      <c r="AE48" s="116">
        <v>0</v>
      </c>
      <c r="AF48" s="116">
        <v>0</v>
      </c>
      <c r="AG48" s="116">
        <v>0</v>
      </c>
      <c r="AH48" s="116">
        <v>0</v>
      </c>
      <c r="AI48" s="116">
        <v>1</v>
      </c>
      <c r="AJ48" s="117">
        <v>0</v>
      </c>
      <c r="AK48" s="117">
        <v>4</v>
      </c>
      <c r="AL48" s="117">
        <v>0</v>
      </c>
      <c r="AM48" s="117">
        <v>28</v>
      </c>
      <c r="AN48" s="117">
        <v>18</v>
      </c>
      <c r="AO48" s="117">
        <v>0</v>
      </c>
      <c r="AP48" s="117">
        <v>1</v>
      </c>
      <c r="AQ48" s="117">
        <v>49</v>
      </c>
      <c r="AR48" s="44"/>
      <c r="AS48" s="44"/>
      <c r="AT48" s="46"/>
      <c r="AU48" s="62" t="s">
        <v>899</v>
      </c>
    </row>
    <row r="49" spans="1:47" ht="16.5" customHeight="1">
      <c r="A49" s="76" t="s">
        <v>603</v>
      </c>
      <c r="B49" s="41" t="s">
        <v>882</v>
      </c>
      <c r="C49" s="5" t="s">
        <v>883</v>
      </c>
      <c r="D49" s="77" t="s">
        <v>909</v>
      </c>
      <c r="E49" s="48"/>
      <c r="F49" s="76" t="s">
        <v>604</v>
      </c>
      <c r="G49" s="121" t="s">
        <v>843</v>
      </c>
      <c r="H49" s="122" t="s">
        <v>842</v>
      </c>
      <c r="I49" s="123" t="s">
        <v>888</v>
      </c>
      <c r="J49" s="124">
        <v>2</v>
      </c>
      <c r="K49" s="117">
        <v>1</v>
      </c>
      <c r="L49" s="117">
        <v>1</v>
      </c>
      <c r="M49" s="116">
        <v>9</v>
      </c>
      <c r="N49" s="116">
        <v>3</v>
      </c>
      <c r="O49" s="116">
        <v>0</v>
      </c>
      <c r="P49" s="43">
        <v>7</v>
      </c>
      <c r="Q49" s="116">
        <v>5</v>
      </c>
      <c r="R49" s="116">
        <v>2</v>
      </c>
      <c r="S49" s="116">
        <v>0</v>
      </c>
      <c r="T49" s="116">
        <v>1</v>
      </c>
      <c r="U49" s="116">
        <v>1</v>
      </c>
      <c r="V49" s="116">
        <v>0</v>
      </c>
      <c r="W49" s="116">
        <v>0</v>
      </c>
      <c r="X49" s="116">
        <v>1</v>
      </c>
      <c r="Y49" s="116">
        <v>0</v>
      </c>
      <c r="Z49" s="116">
        <v>12</v>
      </c>
      <c r="AA49" s="116">
        <v>3</v>
      </c>
      <c r="AB49" s="116">
        <v>0</v>
      </c>
      <c r="AC49" s="116">
        <v>0</v>
      </c>
      <c r="AD49" s="116">
        <v>0</v>
      </c>
      <c r="AE49" s="116">
        <v>0</v>
      </c>
      <c r="AF49" s="116">
        <v>0</v>
      </c>
      <c r="AG49" s="116">
        <v>0</v>
      </c>
      <c r="AH49" s="116">
        <v>0</v>
      </c>
      <c r="AI49" s="116">
        <v>1</v>
      </c>
      <c r="AJ49" s="117">
        <v>0</v>
      </c>
      <c r="AK49" s="117">
        <v>7</v>
      </c>
      <c r="AL49" s="117">
        <v>0</v>
      </c>
      <c r="AM49" s="117">
        <v>0</v>
      </c>
      <c r="AN49" s="117">
        <v>45</v>
      </c>
      <c r="AO49" s="117">
        <v>0</v>
      </c>
      <c r="AP49" s="117">
        <v>6</v>
      </c>
      <c r="AQ49" s="117">
        <v>46</v>
      </c>
      <c r="AR49" s="44"/>
      <c r="AS49" s="44"/>
      <c r="AT49" s="46"/>
      <c r="AU49" s="62" t="s">
        <v>902</v>
      </c>
    </row>
    <row r="50" spans="1:47" ht="16.5" customHeight="1">
      <c r="A50" s="76" t="s">
        <v>605</v>
      </c>
      <c r="B50" s="41" t="s">
        <v>882</v>
      </c>
      <c r="C50" s="5" t="s">
        <v>883</v>
      </c>
      <c r="D50" s="77" t="s">
        <v>909</v>
      </c>
      <c r="E50" s="48"/>
      <c r="F50" s="76" t="s">
        <v>606</v>
      </c>
      <c r="G50" s="121" t="s">
        <v>843</v>
      </c>
      <c r="H50" s="122" t="s">
        <v>842</v>
      </c>
      <c r="I50" s="123" t="s">
        <v>888</v>
      </c>
      <c r="J50" s="124">
        <v>2</v>
      </c>
      <c r="K50" s="117">
        <v>0</v>
      </c>
      <c r="L50" s="117">
        <v>1</v>
      </c>
      <c r="M50" s="116">
        <v>12</v>
      </c>
      <c r="N50" s="116">
        <v>3</v>
      </c>
      <c r="O50" s="116">
        <v>1</v>
      </c>
      <c r="P50" s="43">
        <v>2</v>
      </c>
      <c r="Q50" s="116">
        <v>1</v>
      </c>
      <c r="R50" s="116">
        <v>1</v>
      </c>
      <c r="S50" s="116">
        <v>0</v>
      </c>
      <c r="T50" s="116">
        <v>0</v>
      </c>
      <c r="U50" s="116">
        <v>1</v>
      </c>
      <c r="V50" s="116">
        <v>0</v>
      </c>
      <c r="W50" s="116">
        <v>0</v>
      </c>
      <c r="X50" s="116">
        <v>0</v>
      </c>
      <c r="Y50" s="116">
        <v>0</v>
      </c>
      <c r="Z50" s="116">
        <v>11</v>
      </c>
      <c r="AA50" s="116">
        <v>2</v>
      </c>
      <c r="AB50" s="116">
        <v>4</v>
      </c>
      <c r="AC50" s="116">
        <v>0</v>
      </c>
      <c r="AD50" s="116">
        <v>0</v>
      </c>
      <c r="AE50" s="116">
        <v>0</v>
      </c>
      <c r="AF50" s="116">
        <v>0</v>
      </c>
      <c r="AG50" s="116">
        <v>0</v>
      </c>
      <c r="AH50" s="116">
        <v>0</v>
      </c>
      <c r="AI50" s="116">
        <v>1</v>
      </c>
      <c r="AJ50" s="117">
        <v>0</v>
      </c>
      <c r="AK50" s="117">
        <v>7</v>
      </c>
      <c r="AL50" s="117">
        <v>0</v>
      </c>
      <c r="AM50" s="117">
        <v>0</v>
      </c>
      <c r="AN50" s="117">
        <v>31</v>
      </c>
      <c r="AO50" s="117">
        <v>0</v>
      </c>
      <c r="AP50" s="117">
        <v>3</v>
      </c>
      <c r="AQ50" s="117">
        <v>33</v>
      </c>
      <c r="AR50" s="44"/>
      <c r="AS50" s="44"/>
      <c r="AT50" s="46"/>
      <c r="AU50" s="62" t="s">
        <v>887</v>
      </c>
    </row>
    <row r="51" spans="1:47" ht="16.5" customHeight="1">
      <c r="A51" s="76" t="s">
        <v>607</v>
      </c>
      <c r="B51" s="41" t="s">
        <v>882</v>
      </c>
      <c r="C51" s="5" t="s">
        <v>883</v>
      </c>
      <c r="D51" s="77" t="s">
        <v>909</v>
      </c>
      <c r="E51" s="48"/>
      <c r="F51" s="76" t="s">
        <v>608</v>
      </c>
      <c r="G51" s="121" t="s">
        <v>843</v>
      </c>
      <c r="H51" s="122" t="s">
        <v>842</v>
      </c>
      <c r="I51" s="123" t="s">
        <v>885</v>
      </c>
      <c r="J51" s="124">
        <v>2</v>
      </c>
      <c r="K51" s="117">
        <v>1</v>
      </c>
      <c r="L51" s="117">
        <v>1</v>
      </c>
      <c r="M51" s="116">
        <v>8</v>
      </c>
      <c r="N51" s="116">
        <v>1</v>
      </c>
      <c r="O51" s="116">
        <v>0</v>
      </c>
      <c r="P51" s="43">
        <v>10</v>
      </c>
      <c r="Q51" s="116">
        <v>6</v>
      </c>
      <c r="R51" s="116">
        <v>4</v>
      </c>
      <c r="S51" s="116">
        <v>0</v>
      </c>
      <c r="T51" s="116">
        <v>0</v>
      </c>
      <c r="U51" s="116">
        <v>0</v>
      </c>
      <c r="V51" s="116">
        <v>0</v>
      </c>
      <c r="W51" s="116">
        <v>0</v>
      </c>
      <c r="X51" s="116">
        <v>0</v>
      </c>
      <c r="Y51" s="116">
        <v>0</v>
      </c>
      <c r="Z51" s="116">
        <v>13</v>
      </c>
      <c r="AA51" s="116">
        <v>4</v>
      </c>
      <c r="AB51" s="116">
        <v>0</v>
      </c>
      <c r="AC51" s="116">
        <v>0</v>
      </c>
      <c r="AD51" s="116">
        <v>0</v>
      </c>
      <c r="AE51" s="116">
        <v>0</v>
      </c>
      <c r="AF51" s="116">
        <v>0</v>
      </c>
      <c r="AG51" s="116">
        <v>0</v>
      </c>
      <c r="AH51" s="116">
        <v>0</v>
      </c>
      <c r="AI51" s="116">
        <v>1</v>
      </c>
      <c r="AJ51" s="117">
        <v>0</v>
      </c>
      <c r="AK51" s="117">
        <v>8</v>
      </c>
      <c r="AL51" s="117">
        <v>0</v>
      </c>
      <c r="AM51" s="117">
        <v>25</v>
      </c>
      <c r="AN51" s="117">
        <v>26</v>
      </c>
      <c r="AO51" s="117">
        <v>0</v>
      </c>
      <c r="AP51" s="117">
        <v>6</v>
      </c>
      <c r="AQ51" s="117">
        <v>53</v>
      </c>
      <c r="AR51" s="44"/>
      <c r="AS51" s="44"/>
      <c r="AT51" s="46"/>
      <c r="AU51" s="62" t="s">
        <v>911</v>
      </c>
    </row>
    <row r="52" spans="1:47" ht="16.5" customHeight="1">
      <c r="A52" s="76" t="s">
        <v>199</v>
      </c>
      <c r="B52" s="41" t="s">
        <v>882</v>
      </c>
      <c r="C52" s="5" t="s">
        <v>883</v>
      </c>
      <c r="D52" s="77" t="s">
        <v>909</v>
      </c>
      <c r="E52" s="47"/>
      <c r="F52" s="76" t="s">
        <v>200</v>
      </c>
      <c r="G52" s="121" t="s">
        <v>843</v>
      </c>
      <c r="H52" s="122"/>
      <c r="I52" s="123" t="s">
        <v>888</v>
      </c>
      <c r="J52" s="124">
        <v>2</v>
      </c>
      <c r="K52" s="117">
        <v>3</v>
      </c>
      <c r="L52" s="117">
        <v>1</v>
      </c>
      <c r="M52" s="116">
        <v>9</v>
      </c>
      <c r="N52" s="116">
        <v>3</v>
      </c>
      <c r="O52" s="116">
        <v>0</v>
      </c>
      <c r="P52" s="43">
        <v>5</v>
      </c>
      <c r="Q52" s="116">
        <v>2</v>
      </c>
      <c r="R52" s="116">
        <v>3</v>
      </c>
      <c r="S52" s="116">
        <v>0</v>
      </c>
      <c r="T52" s="116">
        <v>0</v>
      </c>
      <c r="U52" s="116">
        <v>0</v>
      </c>
      <c r="V52" s="116">
        <v>0</v>
      </c>
      <c r="W52" s="116">
        <v>0</v>
      </c>
      <c r="X52" s="116">
        <v>0</v>
      </c>
      <c r="Y52" s="116">
        <v>0</v>
      </c>
      <c r="Z52" s="116">
        <v>11</v>
      </c>
      <c r="AA52" s="116">
        <v>5</v>
      </c>
      <c r="AB52" s="116">
        <v>0</v>
      </c>
      <c r="AC52" s="116">
        <v>0</v>
      </c>
      <c r="AD52" s="116">
        <v>0</v>
      </c>
      <c r="AE52" s="116">
        <v>0</v>
      </c>
      <c r="AF52" s="116">
        <v>0</v>
      </c>
      <c r="AG52" s="116">
        <v>0</v>
      </c>
      <c r="AH52" s="116">
        <v>0</v>
      </c>
      <c r="AI52" s="116">
        <v>1</v>
      </c>
      <c r="AJ52" s="117">
        <v>1</v>
      </c>
      <c r="AK52" s="117">
        <v>4</v>
      </c>
      <c r="AL52" s="117">
        <v>0</v>
      </c>
      <c r="AM52" s="117">
        <v>13</v>
      </c>
      <c r="AN52" s="117">
        <v>18</v>
      </c>
      <c r="AO52" s="117">
        <v>0</v>
      </c>
      <c r="AP52" s="117">
        <v>2</v>
      </c>
      <c r="AQ52" s="117">
        <v>32</v>
      </c>
      <c r="AR52" s="44"/>
      <c r="AS52" s="44"/>
      <c r="AT52" s="46"/>
      <c r="AU52" s="62" t="s">
        <v>891</v>
      </c>
    </row>
    <row r="53" spans="1:47" ht="16.5" customHeight="1">
      <c r="A53" s="76" t="s">
        <v>202</v>
      </c>
      <c r="B53" s="41" t="s">
        <v>882</v>
      </c>
      <c r="C53" s="5" t="s">
        <v>883</v>
      </c>
      <c r="D53" s="77" t="s">
        <v>909</v>
      </c>
      <c r="E53" s="48"/>
      <c r="F53" s="76" t="s">
        <v>203</v>
      </c>
      <c r="G53" s="121" t="s">
        <v>843</v>
      </c>
      <c r="H53" s="122" t="s">
        <v>842</v>
      </c>
      <c r="I53" s="123" t="s">
        <v>885</v>
      </c>
      <c r="J53" s="124">
        <v>2</v>
      </c>
      <c r="K53" s="117">
        <v>3</v>
      </c>
      <c r="L53" s="117">
        <v>1</v>
      </c>
      <c r="M53" s="116">
        <v>3</v>
      </c>
      <c r="N53" s="116">
        <v>3</v>
      </c>
      <c r="O53" s="116">
        <v>0</v>
      </c>
      <c r="P53" s="43">
        <v>7</v>
      </c>
      <c r="Q53" s="116">
        <v>7</v>
      </c>
      <c r="R53" s="116">
        <v>0</v>
      </c>
      <c r="S53" s="116">
        <v>0</v>
      </c>
      <c r="T53" s="116">
        <v>0</v>
      </c>
      <c r="U53" s="116">
        <v>0</v>
      </c>
      <c r="V53" s="116">
        <v>0</v>
      </c>
      <c r="W53" s="116">
        <v>0</v>
      </c>
      <c r="X53" s="116">
        <v>0</v>
      </c>
      <c r="Y53" s="116">
        <v>0</v>
      </c>
      <c r="Z53" s="116">
        <v>0</v>
      </c>
      <c r="AA53" s="116">
        <v>0</v>
      </c>
      <c r="AB53" s="116">
        <v>0</v>
      </c>
      <c r="AC53" s="116">
        <v>0</v>
      </c>
      <c r="AD53" s="116">
        <v>0</v>
      </c>
      <c r="AE53" s="116">
        <v>0</v>
      </c>
      <c r="AF53" s="116">
        <v>9</v>
      </c>
      <c r="AG53" s="116">
        <v>2</v>
      </c>
      <c r="AH53" s="116">
        <v>0</v>
      </c>
      <c r="AI53" s="116">
        <v>1</v>
      </c>
      <c r="AJ53" s="117">
        <v>1</v>
      </c>
      <c r="AK53" s="117">
        <v>4</v>
      </c>
      <c r="AL53" s="117">
        <v>1</v>
      </c>
      <c r="AM53" s="117">
        <v>11</v>
      </c>
      <c r="AN53" s="117">
        <v>21</v>
      </c>
      <c r="AO53" s="117">
        <v>0</v>
      </c>
      <c r="AP53" s="117">
        <v>4</v>
      </c>
      <c r="AQ53" s="117">
        <v>34</v>
      </c>
      <c r="AR53" s="44"/>
      <c r="AS53" s="44"/>
      <c r="AT53" s="46"/>
      <c r="AU53" s="62" t="s">
        <v>891</v>
      </c>
    </row>
    <row r="54" spans="1:47" ht="16.5" customHeight="1">
      <c r="A54" s="76" t="s">
        <v>139</v>
      </c>
      <c r="B54" s="41" t="s">
        <v>882</v>
      </c>
      <c r="C54" s="5" t="s">
        <v>883</v>
      </c>
      <c r="D54" s="77" t="s">
        <v>909</v>
      </c>
      <c r="E54" s="47"/>
      <c r="F54" s="76" t="s">
        <v>140</v>
      </c>
      <c r="G54" s="121" t="s">
        <v>843</v>
      </c>
      <c r="H54" s="122"/>
      <c r="I54" s="123" t="s">
        <v>888</v>
      </c>
      <c r="J54" s="124">
        <v>2</v>
      </c>
      <c r="K54" s="117">
        <v>2</v>
      </c>
      <c r="L54" s="117">
        <v>1</v>
      </c>
      <c r="M54" s="116">
        <v>16</v>
      </c>
      <c r="N54" s="116">
        <v>7</v>
      </c>
      <c r="O54" s="116">
        <v>0</v>
      </c>
      <c r="P54" s="43">
        <v>3</v>
      </c>
      <c r="Q54" s="116">
        <v>3</v>
      </c>
      <c r="R54" s="116">
        <v>0</v>
      </c>
      <c r="S54" s="116">
        <v>0</v>
      </c>
      <c r="T54" s="116">
        <v>1</v>
      </c>
      <c r="U54" s="116">
        <v>0</v>
      </c>
      <c r="V54" s="116">
        <v>0</v>
      </c>
      <c r="W54" s="116">
        <v>0</v>
      </c>
      <c r="X54" s="116">
        <v>0</v>
      </c>
      <c r="Y54" s="116">
        <v>0</v>
      </c>
      <c r="Z54" s="116">
        <v>17</v>
      </c>
      <c r="AA54" s="116">
        <v>6</v>
      </c>
      <c r="AB54" s="116">
        <v>0</v>
      </c>
      <c r="AC54" s="116">
        <v>0</v>
      </c>
      <c r="AD54" s="116">
        <v>0</v>
      </c>
      <c r="AE54" s="116">
        <v>0</v>
      </c>
      <c r="AF54" s="116">
        <v>0</v>
      </c>
      <c r="AG54" s="116">
        <v>0</v>
      </c>
      <c r="AH54" s="116">
        <v>0</v>
      </c>
      <c r="AI54" s="116">
        <v>1</v>
      </c>
      <c r="AJ54" s="117">
        <v>0</v>
      </c>
      <c r="AK54" s="117">
        <v>13</v>
      </c>
      <c r="AL54" s="117">
        <v>0</v>
      </c>
      <c r="AM54" s="117">
        <v>0</v>
      </c>
      <c r="AN54" s="117">
        <v>61</v>
      </c>
      <c r="AO54" s="117">
        <v>0</v>
      </c>
      <c r="AP54" s="117">
        <v>6</v>
      </c>
      <c r="AQ54" s="117">
        <v>68</v>
      </c>
      <c r="AR54" s="44"/>
      <c r="AS54" s="44"/>
      <c r="AT54" s="46"/>
      <c r="AU54" s="62" t="s">
        <v>912</v>
      </c>
    </row>
    <row r="55" spans="1:47" ht="16.5" customHeight="1">
      <c r="A55" s="76" t="s">
        <v>274</v>
      </c>
      <c r="B55" s="41" t="s">
        <v>882</v>
      </c>
      <c r="C55" s="5" t="s">
        <v>883</v>
      </c>
      <c r="D55" s="77" t="s">
        <v>909</v>
      </c>
      <c r="E55" s="48"/>
      <c r="F55" s="76" t="s">
        <v>275</v>
      </c>
      <c r="G55" s="121" t="s">
        <v>843</v>
      </c>
      <c r="H55" s="122"/>
      <c r="I55" s="123" t="s">
        <v>888</v>
      </c>
      <c r="J55" s="124">
        <v>2</v>
      </c>
      <c r="K55" s="117">
        <v>3</v>
      </c>
      <c r="L55" s="117">
        <v>1</v>
      </c>
      <c r="M55" s="116">
        <v>7</v>
      </c>
      <c r="N55" s="116">
        <v>4</v>
      </c>
      <c r="O55" s="116">
        <v>0</v>
      </c>
      <c r="P55" s="43">
        <v>5</v>
      </c>
      <c r="Q55" s="116">
        <v>5</v>
      </c>
      <c r="R55" s="116">
        <v>0</v>
      </c>
      <c r="S55" s="116">
        <v>0</v>
      </c>
      <c r="T55" s="116">
        <v>0</v>
      </c>
      <c r="U55" s="116">
        <v>0</v>
      </c>
      <c r="V55" s="116">
        <v>0</v>
      </c>
      <c r="W55" s="116">
        <v>0</v>
      </c>
      <c r="X55" s="116">
        <v>0</v>
      </c>
      <c r="Y55" s="116">
        <v>0</v>
      </c>
      <c r="Z55" s="116">
        <v>1</v>
      </c>
      <c r="AA55" s="116">
        <v>0</v>
      </c>
      <c r="AB55" s="116">
        <v>0</v>
      </c>
      <c r="AC55" s="116">
        <v>0</v>
      </c>
      <c r="AD55" s="116">
        <v>0</v>
      </c>
      <c r="AE55" s="116">
        <v>0</v>
      </c>
      <c r="AF55" s="116">
        <v>11</v>
      </c>
      <c r="AG55" s="116">
        <v>3</v>
      </c>
      <c r="AH55" s="116">
        <v>0</v>
      </c>
      <c r="AI55" s="116">
        <v>1</v>
      </c>
      <c r="AJ55" s="117">
        <v>0</v>
      </c>
      <c r="AK55" s="117">
        <v>5</v>
      </c>
      <c r="AL55" s="117">
        <v>0</v>
      </c>
      <c r="AM55" s="117">
        <v>0</v>
      </c>
      <c r="AN55" s="117">
        <v>28</v>
      </c>
      <c r="AO55" s="117">
        <v>0</v>
      </c>
      <c r="AP55" s="117">
        <v>4</v>
      </c>
      <c r="AQ55" s="117">
        <v>29</v>
      </c>
      <c r="AR55" s="44"/>
      <c r="AS55" s="44"/>
      <c r="AT55" s="46"/>
      <c r="AU55" s="62" t="s">
        <v>908</v>
      </c>
    </row>
    <row r="56" spans="1:47" ht="16.5" customHeight="1">
      <c r="A56" s="76" t="s">
        <v>629</v>
      </c>
      <c r="B56" s="41" t="s">
        <v>882</v>
      </c>
      <c r="C56" s="5" t="s">
        <v>883</v>
      </c>
      <c r="D56" s="77" t="s">
        <v>909</v>
      </c>
      <c r="E56" s="48"/>
      <c r="F56" s="76" t="s">
        <v>630</v>
      </c>
      <c r="G56" s="121" t="s">
        <v>843</v>
      </c>
      <c r="H56" s="122"/>
      <c r="I56" s="123" t="s">
        <v>888</v>
      </c>
      <c r="J56" s="124">
        <v>2</v>
      </c>
      <c r="K56" s="117">
        <v>2</v>
      </c>
      <c r="L56" s="117">
        <v>1</v>
      </c>
      <c r="M56" s="116">
        <v>9</v>
      </c>
      <c r="N56" s="116">
        <v>1</v>
      </c>
      <c r="O56" s="116">
        <v>0</v>
      </c>
      <c r="P56" s="43">
        <v>4</v>
      </c>
      <c r="Q56" s="116">
        <v>2</v>
      </c>
      <c r="R56" s="116">
        <v>2</v>
      </c>
      <c r="S56" s="116">
        <v>0</v>
      </c>
      <c r="T56" s="116">
        <v>0</v>
      </c>
      <c r="U56" s="116">
        <v>0</v>
      </c>
      <c r="V56" s="116">
        <v>0</v>
      </c>
      <c r="W56" s="116">
        <v>0</v>
      </c>
      <c r="X56" s="116">
        <v>0</v>
      </c>
      <c r="Y56" s="116">
        <v>0</v>
      </c>
      <c r="Z56" s="116">
        <v>0</v>
      </c>
      <c r="AA56" s="116">
        <v>0</v>
      </c>
      <c r="AB56" s="116">
        <v>0</v>
      </c>
      <c r="AC56" s="116">
        <v>10</v>
      </c>
      <c r="AD56" s="116">
        <v>2</v>
      </c>
      <c r="AE56" s="116">
        <v>0</v>
      </c>
      <c r="AF56" s="116">
        <v>0</v>
      </c>
      <c r="AG56" s="116">
        <v>0</v>
      </c>
      <c r="AH56" s="116">
        <v>0</v>
      </c>
      <c r="AI56" s="116">
        <v>1</v>
      </c>
      <c r="AJ56" s="117">
        <v>1</v>
      </c>
      <c r="AK56" s="117">
        <v>5</v>
      </c>
      <c r="AL56" s="117">
        <v>0</v>
      </c>
      <c r="AM56" s="117">
        <v>8</v>
      </c>
      <c r="AN56" s="117">
        <v>23</v>
      </c>
      <c r="AO56" s="117">
        <v>0</v>
      </c>
      <c r="AP56" s="117">
        <v>5</v>
      </c>
      <c r="AQ56" s="117">
        <v>32</v>
      </c>
      <c r="AR56" s="44"/>
      <c r="AS56" s="44"/>
      <c r="AT56" s="46"/>
      <c r="AU56" s="62" t="s">
        <v>891</v>
      </c>
    </row>
    <row r="57" spans="1:47" ht="16.5" customHeight="1">
      <c r="A57" s="76" t="s">
        <v>205</v>
      </c>
      <c r="B57" s="41" t="s">
        <v>882</v>
      </c>
      <c r="C57" s="5" t="s">
        <v>883</v>
      </c>
      <c r="D57" s="77" t="s">
        <v>909</v>
      </c>
      <c r="E57" s="47"/>
      <c r="F57" s="76" t="s">
        <v>206</v>
      </c>
      <c r="G57" s="121" t="s">
        <v>843</v>
      </c>
      <c r="H57" s="122"/>
      <c r="I57" s="123" t="s">
        <v>888</v>
      </c>
      <c r="J57" s="124">
        <v>2</v>
      </c>
      <c r="K57" s="117">
        <v>1</v>
      </c>
      <c r="L57" s="117">
        <v>1</v>
      </c>
      <c r="M57" s="116">
        <v>11</v>
      </c>
      <c r="N57" s="116">
        <v>1</v>
      </c>
      <c r="O57" s="116">
        <v>0</v>
      </c>
      <c r="P57" s="43">
        <v>6</v>
      </c>
      <c r="Q57" s="116">
        <v>3</v>
      </c>
      <c r="R57" s="116">
        <v>3</v>
      </c>
      <c r="S57" s="116">
        <v>0</v>
      </c>
      <c r="T57" s="116">
        <v>0</v>
      </c>
      <c r="U57" s="116">
        <v>0</v>
      </c>
      <c r="V57" s="116">
        <v>0</v>
      </c>
      <c r="W57" s="116">
        <v>0</v>
      </c>
      <c r="X57" s="116">
        <v>0</v>
      </c>
      <c r="Y57" s="116">
        <v>0</v>
      </c>
      <c r="Z57" s="116">
        <v>0</v>
      </c>
      <c r="AA57" s="116">
        <v>0</v>
      </c>
      <c r="AB57" s="116">
        <v>0</v>
      </c>
      <c r="AC57" s="116">
        <v>13</v>
      </c>
      <c r="AD57" s="116">
        <v>3</v>
      </c>
      <c r="AE57" s="116">
        <v>0</v>
      </c>
      <c r="AF57" s="116">
        <v>0</v>
      </c>
      <c r="AG57" s="116">
        <v>0</v>
      </c>
      <c r="AH57" s="116">
        <v>0</v>
      </c>
      <c r="AI57" s="116">
        <v>1</v>
      </c>
      <c r="AJ57" s="117">
        <v>1</v>
      </c>
      <c r="AK57" s="117">
        <v>5</v>
      </c>
      <c r="AL57" s="117">
        <v>0</v>
      </c>
      <c r="AM57" s="117">
        <v>7</v>
      </c>
      <c r="AN57" s="117">
        <v>20</v>
      </c>
      <c r="AO57" s="117">
        <v>0</v>
      </c>
      <c r="AP57" s="117">
        <v>4</v>
      </c>
      <c r="AQ57" s="117">
        <v>29</v>
      </c>
      <c r="AR57" s="44"/>
      <c r="AS57" s="44"/>
      <c r="AT57" s="46"/>
      <c r="AU57" s="62" t="s">
        <v>887</v>
      </c>
    </row>
    <row r="58" spans="1:47" ht="16.5" customHeight="1">
      <c r="A58" s="76" t="s">
        <v>645</v>
      </c>
      <c r="B58" s="41" t="s">
        <v>882</v>
      </c>
      <c r="C58" s="5" t="s">
        <v>883</v>
      </c>
      <c r="D58" s="77" t="s">
        <v>909</v>
      </c>
      <c r="E58" s="48"/>
      <c r="F58" s="76" t="s">
        <v>646</v>
      </c>
      <c r="G58" s="121" t="s">
        <v>843</v>
      </c>
      <c r="H58" s="122"/>
      <c r="I58" s="123" t="s">
        <v>888</v>
      </c>
      <c r="J58" s="124">
        <v>2</v>
      </c>
      <c r="K58" s="117">
        <v>1</v>
      </c>
      <c r="L58" s="117">
        <v>1</v>
      </c>
      <c r="M58" s="116">
        <v>10</v>
      </c>
      <c r="N58" s="116">
        <v>2</v>
      </c>
      <c r="O58" s="116">
        <v>0</v>
      </c>
      <c r="P58" s="43">
        <v>0</v>
      </c>
      <c r="Q58" s="116">
        <v>0</v>
      </c>
      <c r="R58" s="116">
        <v>0</v>
      </c>
      <c r="S58" s="116">
        <v>0</v>
      </c>
      <c r="T58" s="116">
        <v>0</v>
      </c>
      <c r="U58" s="116">
        <v>0</v>
      </c>
      <c r="V58" s="116">
        <v>0</v>
      </c>
      <c r="W58" s="116">
        <v>0</v>
      </c>
      <c r="X58" s="116">
        <v>0</v>
      </c>
      <c r="Y58" s="116">
        <v>0</v>
      </c>
      <c r="Z58" s="116">
        <v>0</v>
      </c>
      <c r="AA58" s="116">
        <v>0</v>
      </c>
      <c r="AB58" s="116">
        <v>0</v>
      </c>
      <c r="AC58" s="116">
        <v>0</v>
      </c>
      <c r="AD58" s="116">
        <v>0</v>
      </c>
      <c r="AE58" s="116">
        <v>0</v>
      </c>
      <c r="AF58" s="116">
        <v>9</v>
      </c>
      <c r="AG58" s="116">
        <v>1</v>
      </c>
      <c r="AH58" s="116">
        <v>0</v>
      </c>
      <c r="AI58" s="116">
        <v>1</v>
      </c>
      <c r="AJ58" s="117">
        <v>1</v>
      </c>
      <c r="AK58" s="117">
        <v>4</v>
      </c>
      <c r="AL58" s="117">
        <v>1</v>
      </c>
      <c r="AM58" s="117">
        <v>5</v>
      </c>
      <c r="AN58" s="117">
        <v>23</v>
      </c>
      <c r="AO58" s="117">
        <v>1</v>
      </c>
      <c r="AP58" s="117">
        <v>4</v>
      </c>
      <c r="AQ58" s="117">
        <v>31</v>
      </c>
      <c r="AR58" s="44"/>
      <c r="AS58" s="44"/>
      <c r="AT58" s="46"/>
      <c r="AU58" s="62" t="s">
        <v>898</v>
      </c>
    </row>
    <row r="59" spans="1:47" ht="16.5" customHeight="1">
      <c r="A59" s="76" t="s">
        <v>647</v>
      </c>
      <c r="B59" s="41" t="s">
        <v>882</v>
      </c>
      <c r="C59" s="5" t="s">
        <v>883</v>
      </c>
      <c r="D59" s="77" t="s">
        <v>909</v>
      </c>
      <c r="E59" s="47"/>
      <c r="F59" s="76" t="s">
        <v>648</v>
      </c>
      <c r="G59" s="121" t="s">
        <v>843</v>
      </c>
      <c r="H59" s="122"/>
      <c r="I59" s="123" t="s">
        <v>885</v>
      </c>
      <c r="J59" s="124">
        <v>2</v>
      </c>
      <c r="K59" s="117">
        <v>1</v>
      </c>
      <c r="L59" s="117">
        <v>1</v>
      </c>
      <c r="M59" s="116">
        <v>16</v>
      </c>
      <c r="N59" s="116">
        <v>12</v>
      </c>
      <c r="O59" s="116">
        <v>0</v>
      </c>
      <c r="P59" s="43">
        <v>7</v>
      </c>
      <c r="Q59" s="116">
        <v>3</v>
      </c>
      <c r="R59" s="116">
        <v>4</v>
      </c>
      <c r="S59" s="116">
        <v>0</v>
      </c>
      <c r="T59" s="116">
        <v>2</v>
      </c>
      <c r="U59" s="116">
        <v>2</v>
      </c>
      <c r="V59" s="116">
        <v>0</v>
      </c>
      <c r="W59" s="116">
        <v>0</v>
      </c>
      <c r="X59" s="116">
        <v>0</v>
      </c>
      <c r="Y59" s="116">
        <v>0</v>
      </c>
      <c r="Z59" s="116">
        <v>16</v>
      </c>
      <c r="AA59" s="116">
        <v>13</v>
      </c>
      <c r="AB59" s="116">
        <v>0</v>
      </c>
      <c r="AC59" s="116">
        <v>0</v>
      </c>
      <c r="AD59" s="116">
        <v>0</v>
      </c>
      <c r="AE59" s="116">
        <v>0</v>
      </c>
      <c r="AF59" s="116">
        <v>0</v>
      </c>
      <c r="AG59" s="116">
        <v>0</v>
      </c>
      <c r="AH59" s="116">
        <v>0</v>
      </c>
      <c r="AI59" s="116">
        <v>1</v>
      </c>
      <c r="AJ59" s="117">
        <v>0</v>
      </c>
      <c r="AK59" s="117">
        <v>6</v>
      </c>
      <c r="AL59" s="117">
        <v>0</v>
      </c>
      <c r="AM59" s="117">
        <v>0</v>
      </c>
      <c r="AN59" s="117">
        <v>51</v>
      </c>
      <c r="AO59" s="117">
        <v>1</v>
      </c>
      <c r="AP59" s="117">
        <v>5</v>
      </c>
      <c r="AQ59" s="117">
        <v>56</v>
      </c>
      <c r="AR59" s="44"/>
      <c r="AS59" s="44"/>
      <c r="AT59" s="46"/>
      <c r="AU59" s="62" t="s">
        <v>913</v>
      </c>
    </row>
    <row r="60" spans="1:47" ht="16.5" customHeight="1">
      <c r="A60" s="76" t="s">
        <v>661</v>
      </c>
      <c r="B60" s="41" t="s">
        <v>882</v>
      </c>
      <c r="C60" s="5" t="s">
        <v>883</v>
      </c>
      <c r="D60" s="77" t="s">
        <v>909</v>
      </c>
      <c r="E60" s="48"/>
      <c r="F60" s="76" t="s">
        <v>662</v>
      </c>
      <c r="G60" s="121" t="s">
        <v>843</v>
      </c>
      <c r="H60" s="122"/>
      <c r="I60" s="123" t="s">
        <v>885</v>
      </c>
      <c r="J60" s="124">
        <v>2</v>
      </c>
      <c r="K60" s="117">
        <v>2</v>
      </c>
      <c r="L60" s="117">
        <v>1</v>
      </c>
      <c r="M60" s="116">
        <v>8</v>
      </c>
      <c r="N60" s="116">
        <v>2</v>
      </c>
      <c r="O60" s="116">
        <v>0</v>
      </c>
      <c r="P60" s="43">
        <v>9</v>
      </c>
      <c r="Q60" s="116">
        <v>6</v>
      </c>
      <c r="R60" s="116">
        <v>3</v>
      </c>
      <c r="S60" s="116">
        <v>0</v>
      </c>
      <c r="T60" s="116">
        <v>1</v>
      </c>
      <c r="U60" s="116">
        <v>1</v>
      </c>
      <c r="V60" s="116">
        <v>0</v>
      </c>
      <c r="W60" s="116">
        <v>0</v>
      </c>
      <c r="X60" s="116">
        <v>0</v>
      </c>
      <c r="Y60" s="116">
        <v>0</v>
      </c>
      <c r="Z60" s="116">
        <v>0</v>
      </c>
      <c r="AA60" s="116">
        <v>0</v>
      </c>
      <c r="AB60" s="116">
        <v>0</v>
      </c>
      <c r="AC60" s="116">
        <v>12</v>
      </c>
      <c r="AD60" s="116">
        <v>3</v>
      </c>
      <c r="AE60" s="116">
        <v>0</v>
      </c>
      <c r="AF60" s="116">
        <v>0</v>
      </c>
      <c r="AG60" s="116">
        <v>0</v>
      </c>
      <c r="AH60" s="116">
        <v>0</v>
      </c>
      <c r="AI60" s="116">
        <v>1</v>
      </c>
      <c r="AJ60" s="117">
        <v>0</v>
      </c>
      <c r="AK60" s="117">
        <v>7</v>
      </c>
      <c r="AL60" s="117">
        <v>0</v>
      </c>
      <c r="AM60" s="117">
        <v>0</v>
      </c>
      <c r="AN60" s="117">
        <v>52</v>
      </c>
      <c r="AO60" s="117">
        <v>0</v>
      </c>
      <c r="AP60" s="117">
        <v>6</v>
      </c>
      <c r="AQ60" s="117">
        <v>53</v>
      </c>
      <c r="AR60" s="44"/>
      <c r="AS60" s="44"/>
      <c r="AT60" s="46"/>
      <c r="AU60" s="62" t="s">
        <v>887</v>
      </c>
    </row>
    <row r="61" spans="1:47" ht="16.5" customHeight="1">
      <c r="A61" s="76" t="s">
        <v>689</v>
      </c>
      <c r="B61" s="41" t="s">
        <v>882</v>
      </c>
      <c r="C61" s="5" t="s">
        <v>883</v>
      </c>
      <c r="D61" s="77" t="s">
        <v>909</v>
      </c>
      <c r="E61" s="49"/>
      <c r="F61" s="76" t="s">
        <v>690</v>
      </c>
      <c r="G61" s="121" t="s">
        <v>843</v>
      </c>
      <c r="H61" s="122"/>
      <c r="I61" s="123" t="s">
        <v>888</v>
      </c>
      <c r="J61" s="124">
        <v>2</v>
      </c>
      <c r="K61" s="117">
        <v>1</v>
      </c>
      <c r="L61" s="117">
        <v>1</v>
      </c>
      <c r="M61" s="116">
        <v>6</v>
      </c>
      <c r="N61" s="116">
        <v>3</v>
      </c>
      <c r="O61" s="116">
        <v>0</v>
      </c>
      <c r="P61" s="43">
        <v>8</v>
      </c>
      <c r="Q61" s="116">
        <v>4</v>
      </c>
      <c r="R61" s="116">
        <v>4</v>
      </c>
      <c r="S61" s="116">
        <v>0</v>
      </c>
      <c r="T61" s="116">
        <v>0</v>
      </c>
      <c r="U61" s="116">
        <v>0</v>
      </c>
      <c r="V61" s="116">
        <v>0</v>
      </c>
      <c r="W61" s="116">
        <v>0</v>
      </c>
      <c r="X61" s="116">
        <v>0</v>
      </c>
      <c r="Y61" s="116">
        <v>0</v>
      </c>
      <c r="Z61" s="116">
        <v>0</v>
      </c>
      <c r="AA61" s="116">
        <v>0</v>
      </c>
      <c r="AB61" s="116">
        <v>0</v>
      </c>
      <c r="AC61" s="116">
        <v>9</v>
      </c>
      <c r="AD61" s="116">
        <v>6</v>
      </c>
      <c r="AE61" s="116">
        <v>0</v>
      </c>
      <c r="AF61" s="116">
        <v>0</v>
      </c>
      <c r="AG61" s="116">
        <v>0</v>
      </c>
      <c r="AH61" s="116">
        <v>0</v>
      </c>
      <c r="AI61" s="116">
        <v>1</v>
      </c>
      <c r="AJ61" s="117">
        <v>0</v>
      </c>
      <c r="AK61" s="117">
        <v>5</v>
      </c>
      <c r="AL61" s="117">
        <v>1</v>
      </c>
      <c r="AM61" s="117">
        <v>1</v>
      </c>
      <c r="AN61" s="117">
        <v>19</v>
      </c>
      <c r="AO61" s="117">
        <v>1</v>
      </c>
      <c r="AP61" s="117">
        <v>3</v>
      </c>
      <c r="AQ61" s="117">
        <v>22</v>
      </c>
      <c r="AR61" s="44"/>
      <c r="AS61" s="44"/>
      <c r="AT61" s="46"/>
      <c r="AU61" s="62" t="s">
        <v>904</v>
      </c>
    </row>
    <row r="62" spans="1:47" ht="16.5" customHeight="1">
      <c r="A62" s="76" t="s">
        <v>229</v>
      </c>
      <c r="B62" s="41" t="s">
        <v>882</v>
      </c>
      <c r="C62" s="5" t="s">
        <v>883</v>
      </c>
      <c r="D62" s="77" t="s">
        <v>909</v>
      </c>
      <c r="E62" s="47"/>
      <c r="F62" s="76" t="s">
        <v>230</v>
      </c>
      <c r="G62" s="121" t="s">
        <v>843</v>
      </c>
      <c r="H62" s="122" t="s">
        <v>842</v>
      </c>
      <c r="I62" s="123" t="s">
        <v>888</v>
      </c>
      <c r="J62" s="124">
        <v>2</v>
      </c>
      <c r="K62" s="117">
        <v>1</v>
      </c>
      <c r="L62" s="117">
        <v>1</v>
      </c>
      <c r="M62" s="116">
        <v>11</v>
      </c>
      <c r="N62" s="116">
        <v>4</v>
      </c>
      <c r="O62" s="116">
        <v>0</v>
      </c>
      <c r="P62" s="43">
        <v>1</v>
      </c>
      <c r="Q62" s="116">
        <v>1</v>
      </c>
      <c r="R62" s="116">
        <v>0</v>
      </c>
      <c r="S62" s="116">
        <v>0</v>
      </c>
      <c r="T62" s="116">
        <v>0</v>
      </c>
      <c r="U62" s="116">
        <v>0</v>
      </c>
      <c r="V62" s="116">
        <v>0</v>
      </c>
      <c r="W62" s="116">
        <v>2</v>
      </c>
      <c r="X62" s="116">
        <v>2</v>
      </c>
      <c r="Y62" s="116">
        <v>0</v>
      </c>
      <c r="Z62" s="116">
        <v>0</v>
      </c>
      <c r="AA62" s="116">
        <v>0</v>
      </c>
      <c r="AB62" s="116">
        <v>0</v>
      </c>
      <c r="AC62" s="116">
        <v>9</v>
      </c>
      <c r="AD62" s="116">
        <v>1</v>
      </c>
      <c r="AE62" s="116">
        <v>0</v>
      </c>
      <c r="AF62" s="116">
        <v>0</v>
      </c>
      <c r="AG62" s="116">
        <v>0</v>
      </c>
      <c r="AH62" s="116">
        <v>0</v>
      </c>
      <c r="AI62" s="116">
        <v>1</v>
      </c>
      <c r="AJ62" s="117">
        <v>1</v>
      </c>
      <c r="AK62" s="117">
        <v>4</v>
      </c>
      <c r="AL62" s="117">
        <v>0</v>
      </c>
      <c r="AM62" s="117">
        <v>13</v>
      </c>
      <c r="AN62" s="117">
        <v>21</v>
      </c>
      <c r="AO62" s="117">
        <v>3</v>
      </c>
      <c r="AP62" s="117">
        <v>2</v>
      </c>
      <c r="AQ62" s="117">
        <v>34</v>
      </c>
      <c r="AR62" s="44"/>
      <c r="AS62" s="44"/>
      <c r="AT62" s="46"/>
      <c r="AU62" s="62" t="s">
        <v>908</v>
      </c>
    </row>
    <row r="63" spans="1:47" ht="16.5" customHeight="1">
      <c r="A63" s="76" t="s">
        <v>723</v>
      </c>
      <c r="B63" s="41" t="s">
        <v>882</v>
      </c>
      <c r="C63" s="5" t="s">
        <v>883</v>
      </c>
      <c r="D63" s="77" t="s">
        <v>909</v>
      </c>
      <c r="E63" s="48"/>
      <c r="F63" s="76" t="s">
        <v>724</v>
      </c>
      <c r="G63" s="121" t="s">
        <v>843</v>
      </c>
      <c r="H63" s="122" t="s">
        <v>844</v>
      </c>
      <c r="I63" s="123" t="s">
        <v>888</v>
      </c>
      <c r="J63" s="124">
        <v>2</v>
      </c>
      <c r="K63" s="117">
        <v>3</v>
      </c>
      <c r="L63" s="117">
        <v>1</v>
      </c>
      <c r="M63" s="116">
        <v>8</v>
      </c>
      <c r="N63" s="116">
        <v>6</v>
      </c>
      <c r="O63" s="116">
        <v>0</v>
      </c>
      <c r="P63" s="43">
        <v>2</v>
      </c>
      <c r="Q63" s="116">
        <v>2</v>
      </c>
      <c r="R63" s="116">
        <v>0</v>
      </c>
      <c r="S63" s="116">
        <v>0</v>
      </c>
      <c r="T63" s="116">
        <v>0</v>
      </c>
      <c r="U63" s="116">
        <v>0</v>
      </c>
      <c r="V63" s="116">
        <v>0</v>
      </c>
      <c r="W63" s="116">
        <v>0</v>
      </c>
      <c r="X63" s="116">
        <v>0</v>
      </c>
      <c r="Y63" s="116">
        <v>0</v>
      </c>
      <c r="Z63" s="116">
        <v>0</v>
      </c>
      <c r="AA63" s="116">
        <v>0</v>
      </c>
      <c r="AB63" s="116">
        <v>0</v>
      </c>
      <c r="AC63" s="116">
        <v>0</v>
      </c>
      <c r="AD63" s="116">
        <v>0</v>
      </c>
      <c r="AE63" s="116">
        <v>0</v>
      </c>
      <c r="AF63" s="116">
        <v>9</v>
      </c>
      <c r="AG63" s="116">
        <v>5</v>
      </c>
      <c r="AH63" s="116">
        <v>0</v>
      </c>
      <c r="AI63" s="116">
        <v>1</v>
      </c>
      <c r="AJ63" s="117">
        <v>2</v>
      </c>
      <c r="AK63" s="117">
        <v>12</v>
      </c>
      <c r="AL63" s="117">
        <v>0</v>
      </c>
      <c r="AM63" s="117">
        <v>5</v>
      </c>
      <c r="AN63" s="117">
        <v>63</v>
      </c>
      <c r="AO63" s="117">
        <v>0</v>
      </c>
      <c r="AP63" s="117">
        <v>11</v>
      </c>
      <c r="AQ63" s="117">
        <v>67</v>
      </c>
      <c r="AR63" s="44"/>
      <c r="AS63" s="44"/>
      <c r="AT63" s="46"/>
      <c r="AU63" s="62" t="s">
        <v>910</v>
      </c>
    </row>
    <row r="64" spans="1:47" ht="16.5" customHeight="1">
      <c r="A64" s="76" t="s">
        <v>27</v>
      </c>
      <c r="B64" s="41" t="s">
        <v>882</v>
      </c>
      <c r="C64" s="5" t="s">
        <v>883</v>
      </c>
      <c r="D64" s="77" t="s">
        <v>909</v>
      </c>
      <c r="E64" s="48"/>
      <c r="F64" s="76" t="s">
        <v>28</v>
      </c>
      <c r="G64" s="121" t="s">
        <v>843</v>
      </c>
      <c r="H64" s="122" t="s">
        <v>842</v>
      </c>
      <c r="I64" s="123" t="s">
        <v>885</v>
      </c>
      <c r="J64" s="124">
        <v>2</v>
      </c>
      <c r="K64" s="117">
        <v>7</v>
      </c>
      <c r="L64" s="117">
        <v>2</v>
      </c>
      <c r="M64" s="116">
        <v>13</v>
      </c>
      <c r="N64" s="116">
        <v>6</v>
      </c>
      <c r="O64" s="116">
        <v>1</v>
      </c>
      <c r="P64" s="43">
        <v>2</v>
      </c>
      <c r="Q64" s="116">
        <v>2</v>
      </c>
      <c r="R64" s="116">
        <v>0</v>
      </c>
      <c r="S64" s="116">
        <v>0</v>
      </c>
      <c r="T64" s="116">
        <v>2</v>
      </c>
      <c r="U64" s="116">
        <v>1</v>
      </c>
      <c r="V64" s="116">
        <v>0</v>
      </c>
      <c r="W64" s="116">
        <v>3</v>
      </c>
      <c r="X64" s="116">
        <v>2</v>
      </c>
      <c r="Y64" s="116">
        <v>0</v>
      </c>
      <c r="Z64" s="116">
        <v>8</v>
      </c>
      <c r="AA64" s="116">
        <v>2</v>
      </c>
      <c r="AB64" s="116">
        <v>4</v>
      </c>
      <c r="AC64" s="116">
        <v>0</v>
      </c>
      <c r="AD64" s="116">
        <v>0</v>
      </c>
      <c r="AE64" s="116">
        <v>0</v>
      </c>
      <c r="AF64" s="116">
        <v>0</v>
      </c>
      <c r="AG64" s="116">
        <v>0</v>
      </c>
      <c r="AH64" s="116">
        <v>0</v>
      </c>
      <c r="AI64" s="116">
        <v>1</v>
      </c>
      <c r="AJ64" s="117">
        <v>0</v>
      </c>
      <c r="AK64" s="117">
        <v>11</v>
      </c>
      <c r="AL64" s="117">
        <v>0</v>
      </c>
      <c r="AM64" s="117">
        <v>0</v>
      </c>
      <c r="AN64" s="117">
        <v>61</v>
      </c>
      <c r="AO64" s="117">
        <v>0</v>
      </c>
      <c r="AP64" s="117">
        <v>11</v>
      </c>
      <c r="AQ64" s="117">
        <v>61</v>
      </c>
      <c r="AR64" s="44"/>
      <c r="AS64" s="44"/>
      <c r="AT64" s="46"/>
      <c r="AU64" s="62" t="s">
        <v>914</v>
      </c>
    </row>
    <row r="65" spans="1:47" ht="16.5" customHeight="1">
      <c r="A65" s="76" t="s">
        <v>157</v>
      </c>
      <c r="B65" s="41" t="s">
        <v>882</v>
      </c>
      <c r="C65" s="5" t="s">
        <v>883</v>
      </c>
      <c r="D65" s="77" t="s">
        <v>909</v>
      </c>
      <c r="E65" s="49"/>
      <c r="F65" s="76" t="s">
        <v>158</v>
      </c>
      <c r="G65" s="121" t="s">
        <v>843</v>
      </c>
      <c r="H65" s="122"/>
      <c r="I65" s="123" t="s">
        <v>888</v>
      </c>
      <c r="J65" s="124">
        <v>2</v>
      </c>
      <c r="K65" s="117">
        <v>1</v>
      </c>
      <c r="L65" s="117">
        <v>1</v>
      </c>
      <c r="M65" s="116">
        <v>15</v>
      </c>
      <c r="N65" s="116">
        <v>3</v>
      </c>
      <c r="O65" s="116">
        <v>0</v>
      </c>
      <c r="P65" s="43">
        <v>0</v>
      </c>
      <c r="Q65" s="116">
        <v>0</v>
      </c>
      <c r="R65" s="116">
        <v>0</v>
      </c>
      <c r="S65" s="116">
        <v>0</v>
      </c>
      <c r="T65" s="116">
        <v>0</v>
      </c>
      <c r="U65" s="116">
        <v>0</v>
      </c>
      <c r="V65" s="116">
        <v>0</v>
      </c>
      <c r="W65" s="116">
        <v>1</v>
      </c>
      <c r="X65" s="116">
        <v>0</v>
      </c>
      <c r="Y65" s="116">
        <v>0</v>
      </c>
      <c r="Z65" s="116">
        <v>1</v>
      </c>
      <c r="AA65" s="116">
        <v>0</v>
      </c>
      <c r="AB65" s="116">
        <v>0</v>
      </c>
      <c r="AC65" s="116">
        <v>0</v>
      </c>
      <c r="AD65" s="116">
        <v>0</v>
      </c>
      <c r="AE65" s="116">
        <v>0</v>
      </c>
      <c r="AF65" s="116">
        <v>15</v>
      </c>
      <c r="AG65" s="116">
        <v>2</v>
      </c>
      <c r="AH65" s="116">
        <v>0</v>
      </c>
      <c r="AI65" s="116">
        <v>1</v>
      </c>
      <c r="AJ65" s="117">
        <v>0</v>
      </c>
      <c r="AK65" s="117">
        <v>7</v>
      </c>
      <c r="AL65" s="117">
        <v>0</v>
      </c>
      <c r="AM65" s="117">
        <v>0</v>
      </c>
      <c r="AN65" s="117">
        <v>32</v>
      </c>
      <c r="AO65" s="117">
        <v>0</v>
      </c>
      <c r="AP65" s="117">
        <v>6</v>
      </c>
      <c r="AQ65" s="117">
        <v>33</v>
      </c>
      <c r="AR65" s="44"/>
      <c r="AS65" s="44"/>
      <c r="AT65" s="46"/>
      <c r="AU65" s="62" t="s">
        <v>890</v>
      </c>
    </row>
    <row r="66" spans="1:47" ht="16.5" customHeight="1">
      <c r="A66" s="76" t="s">
        <v>741</v>
      </c>
      <c r="B66" s="41" t="s">
        <v>882</v>
      </c>
      <c r="C66" s="5" t="s">
        <v>883</v>
      </c>
      <c r="D66" s="77" t="s">
        <v>909</v>
      </c>
      <c r="E66" s="48"/>
      <c r="F66" s="76" t="s">
        <v>742</v>
      </c>
      <c r="G66" s="121" t="s">
        <v>843</v>
      </c>
      <c r="H66" s="122" t="s">
        <v>842</v>
      </c>
      <c r="I66" s="123" t="s">
        <v>888</v>
      </c>
      <c r="J66" s="124">
        <v>2</v>
      </c>
      <c r="K66" s="117">
        <v>1</v>
      </c>
      <c r="L66" s="117">
        <v>1</v>
      </c>
      <c r="M66" s="116">
        <v>9</v>
      </c>
      <c r="N66" s="116">
        <v>5</v>
      </c>
      <c r="O66" s="116">
        <v>0</v>
      </c>
      <c r="P66" s="43">
        <v>0</v>
      </c>
      <c r="Q66" s="116">
        <v>0</v>
      </c>
      <c r="R66" s="116">
        <v>0</v>
      </c>
      <c r="S66" s="116">
        <v>0</v>
      </c>
      <c r="T66" s="116">
        <v>1</v>
      </c>
      <c r="U66" s="116">
        <v>1</v>
      </c>
      <c r="V66" s="116">
        <v>0</v>
      </c>
      <c r="W66" s="116">
        <v>0</v>
      </c>
      <c r="X66" s="116">
        <v>0</v>
      </c>
      <c r="Y66" s="116">
        <v>0</v>
      </c>
      <c r="Z66" s="116">
        <v>7</v>
      </c>
      <c r="AA66" s="116">
        <v>4</v>
      </c>
      <c r="AB66" s="116">
        <v>0</v>
      </c>
      <c r="AC66" s="116">
        <v>0</v>
      </c>
      <c r="AD66" s="116">
        <v>0</v>
      </c>
      <c r="AE66" s="116">
        <v>0</v>
      </c>
      <c r="AF66" s="116">
        <v>0</v>
      </c>
      <c r="AG66" s="116">
        <v>0</v>
      </c>
      <c r="AH66" s="116">
        <v>0</v>
      </c>
      <c r="AI66" s="116">
        <v>1</v>
      </c>
      <c r="AJ66" s="117">
        <v>1</v>
      </c>
      <c r="AK66" s="117">
        <v>6</v>
      </c>
      <c r="AL66" s="117">
        <v>0</v>
      </c>
      <c r="AM66" s="117">
        <v>5</v>
      </c>
      <c r="AN66" s="117">
        <v>30</v>
      </c>
      <c r="AO66" s="117">
        <v>0</v>
      </c>
      <c r="AP66" s="117">
        <v>6</v>
      </c>
      <c r="AQ66" s="117">
        <v>36</v>
      </c>
      <c r="AR66" s="44"/>
      <c r="AS66" s="44"/>
      <c r="AT66" s="46"/>
      <c r="AU66" s="62" t="s">
        <v>915</v>
      </c>
    </row>
    <row r="67" spans="1:47" ht="16.5" customHeight="1">
      <c r="A67" s="76" t="s">
        <v>743</v>
      </c>
      <c r="B67" s="41" t="s">
        <v>882</v>
      </c>
      <c r="C67" s="5" t="s">
        <v>883</v>
      </c>
      <c r="D67" s="77" t="s">
        <v>909</v>
      </c>
      <c r="E67" s="48"/>
      <c r="F67" s="76" t="s">
        <v>744</v>
      </c>
      <c r="G67" s="121" t="s">
        <v>843</v>
      </c>
      <c r="H67" s="122" t="s">
        <v>842</v>
      </c>
      <c r="I67" s="123" t="s">
        <v>888</v>
      </c>
      <c r="J67" s="124">
        <v>2</v>
      </c>
      <c r="K67" s="117">
        <v>1</v>
      </c>
      <c r="L67" s="117">
        <v>1</v>
      </c>
      <c r="M67" s="116">
        <v>18</v>
      </c>
      <c r="N67" s="116">
        <v>5</v>
      </c>
      <c r="O67" s="116">
        <v>0</v>
      </c>
      <c r="P67" s="43">
        <v>0</v>
      </c>
      <c r="Q67" s="116">
        <v>0</v>
      </c>
      <c r="R67" s="116">
        <v>0</v>
      </c>
      <c r="S67" s="116">
        <v>0</v>
      </c>
      <c r="T67" s="116">
        <v>3</v>
      </c>
      <c r="U67" s="116">
        <v>1</v>
      </c>
      <c r="V67" s="116">
        <v>0</v>
      </c>
      <c r="W67" s="116">
        <v>1</v>
      </c>
      <c r="X67" s="116">
        <v>0</v>
      </c>
      <c r="Y67" s="116">
        <v>0</v>
      </c>
      <c r="Z67" s="116">
        <v>13</v>
      </c>
      <c r="AA67" s="116">
        <v>3</v>
      </c>
      <c r="AB67" s="116">
        <v>0</v>
      </c>
      <c r="AC67" s="116">
        <v>0</v>
      </c>
      <c r="AD67" s="116">
        <v>0</v>
      </c>
      <c r="AE67" s="116">
        <v>0</v>
      </c>
      <c r="AF67" s="116">
        <v>0</v>
      </c>
      <c r="AG67" s="116">
        <v>0</v>
      </c>
      <c r="AH67" s="116">
        <v>0</v>
      </c>
      <c r="AI67" s="116">
        <v>1</v>
      </c>
      <c r="AJ67" s="117">
        <v>1</v>
      </c>
      <c r="AK67" s="117">
        <v>6</v>
      </c>
      <c r="AL67" s="117">
        <v>0</v>
      </c>
      <c r="AM67" s="117">
        <v>24</v>
      </c>
      <c r="AN67" s="117">
        <v>30</v>
      </c>
      <c r="AO67" s="117">
        <v>0</v>
      </c>
      <c r="AP67" s="117">
        <v>3</v>
      </c>
      <c r="AQ67" s="117">
        <v>42</v>
      </c>
      <c r="AR67" s="44"/>
      <c r="AS67" s="44"/>
      <c r="AT67" s="46"/>
      <c r="AU67" s="62" t="s">
        <v>887</v>
      </c>
    </row>
    <row r="68" spans="1:47" ht="16.5" customHeight="1">
      <c r="A68" s="76" t="s">
        <v>755</v>
      </c>
      <c r="B68" s="41" t="s">
        <v>882</v>
      </c>
      <c r="C68" s="5" t="s">
        <v>883</v>
      </c>
      <c r="D68" s="77" t="s">
        <v>909</v>
      </c>
      <c r="E68" s="48"/>
      <c r="F68" s="76" t="s">
        <v>756</v>
      </c>
      <c r="G68" s="121" t="s">
        <v>843</v>
      </c>
      <c r="H68" s="122" t="s">
        <v>842</v>
      </c>
      <c r="I68" s="123" t="s">
        <v>885</v>
      </c>
      <c r="J68" s="124">
        <v>2</v>
      </c>
      <c r="K68" s="117">
        <v>2</v>
      </c>
      <c r="L68" s="117">
        <v>1</v>
      </c>
      <c r="M68" s="116">
        <v>11</v>
      </c>
      <c r="N68" s="116">
        <v>3</v>
      </c>
      <c r="O68" s="116">
        <v>0</v>
      </c>
      <c r="P68" s="43">
        <v>1</v>
      </c>
      <c r="Q68" s="116">
        <v>1</v>
      </c>
      <c r="R68" s="116">
        <v>0</v>
      </c>
      <c r="S68" s="116">
        <v>0</v>
      </c>
      <c r="T68" s="116">
        <v>0</v>
      </c>
      <c r="U68" s="116">
        <v>0</v>
      </c>
      <c r="V68" s="116">
        <v>0</v>
      </c>
      <c r="W68" s="116">
        <v>0</v>
      </c>
      <c r="X68" s="116">
        <v>0</v>
      </c>
      <c r="Y68" s="116">
        <v>0</v>
      </c>
      <c r="Z68" s="116">
        <v>1</v>
      </c>
      <c r="AA68" s="116">
        <v>0</v>
      </c>
      <c r="AB68" s="116">
        <v>0</v>
      </c>
      <c r="AC68" s="116">
        <v>11</v>
      </c>
      <c r="AD68" s="116">
        <v>2</v>
      </c>
      <c r="AE68" s="116">
        <v>0</v>
      </c>
      <c r="AF68" s="116">
        <v>0</v>
      </c>
      <c r="AG68" s="116">
        <v>0</v>
      </c>
      <c r="AH68" s="116">
        <v>0</v>
      </c>
      <c r="AI68" s="116">
        <v>1</v>
      </c>
      <c r="AJ68" s="117">
        <v>0</v>
      </c>
      <c r="AK68" s="117">
        <v>5</v>
      </c>
      <c r="AL68" s="117">
        <v>0</v>
      </c>
      <c r="AM68" s="117">
        <v>0</v>
      </c>
      <c r="AN68" s="117">
        <v>47</v>
      </c>
      <c r="AO68" s="117">
        <v>0</v>
      </c>
      <c r="AP68" s="117">
        <v>4</v>
      </c>
      <c r="AQ68" s="117">
        <v>48</v>
      </c>
      <c r="AR68" s="44"/>
      <c r="AS68" s="44"/>
      <c r="AT68" s="46"/>
      <c r="AU68" s="62" t="s">
        <v>887</v>
      </c>
    </row>
    <row r="69" spans="1:47" ht="16.5" customHeight="1">
      <c r="A69" s="76" t="s">
        <v>757</v>
      </c>
      <c r="B69" s="41" t="s">
        <v>882</v>
      </c>
      <c r="C69" s="5" t="s">
        <v>883</v>
      </c>
      <c r="D69" s="77" t="s">
        <v>909</v>
      </c>
      <c r="E69" s="49"/>
      <c r="F69" s="76" t="s">
        <v>758</v>
      </c>
      <c r="G69" s="121" t="s">
        <v>843</v>
      </c>
      <c r="H69" s="122" t="s">
        <v>844</v>
      </c>
      <c r="I69" s="123" t="s">
        <v>888</v>
      </c>
      <c r="J69" s="124">
        <v>2</v>
      </c>
      <c r="K69" s="117">
        <v>2</v>
      </c>
      <c r="L69" s="117">
        <v>1</v>
      </c>
      <c r="M69" s="116">
        <v>4</v>
      </c>
      <c r="N69" s="116">
        <v>5</v>
      </c>
      <c r="O69" s="116">
        <v>0</v>
      </c>
      <c r="P69" s="43">
        <v>5</v>
      </c>
      <c r="Q69" s="116">
        <v>1</v>
      </c>
      <c r="R69" s="116">
        <v>4</v>
      </c>
      <c r="S69" s="116">
        <v>0</v>
      </c>
      <c r="T69" s="116">
        <v>0</v>
      </c>
      <c r="U69" s="116">
        <v>1</v>
      </c>
      <c r="V69" s="116">
        <v>0</v>
      </c>
      <c r="W69" s="116">
        <v>1</v>
      </c>
      <c r="X69" s="116">
        <v>0</v>
      </c>
      <c r="Y69" s="116">
        <v>0</v>
      </c>
      <c r="Z69" s="116">
        <v>0</v>
      </c>
      <c r="AA69" s="116">
        <v>0</v>
      </c>
      <c r="AB69" s="116">
        <v>0</v>
      </c>
      <c r="AC69" s="116">
        <v>4</v>
      </c>
      <c r="AD69" s="116">
        <v>7</v>
      </c>
      <c r="AE69" s="116">
        <v>0</v>
      </c>
      <c r="AF69" s="116">
        <v>0</v>
      </c>
      <c r="AG69" s="116">
        <v>0</v>
      </c>
      <c r="AH69" s="116">
        <v>0</v>
      </c>
      <c r="AI69" s="116">
        <v>1</v>
      </c>
      <c r="AJ69" s="117">
        <v>2</v>
      </c>
      <c r="AK69" s="117">
        <v>8</v>
      </c>
      <c r="AL69" s="117">
        <v>0</v>
      </c>
      <c r="AM69" s="117">
        <v>5</v>
      </c>
      <c r="AN69" s="117">
        <v>55</v>
      </c>
      <c r="AO69" s="117">
        <v>0</v>
      </c>
      <c r="AP69" s="117">
        <v>8</v>
      </c>
      <c r="AQ69" s="117">
        <v>62</v>
      </c>
      <c r="AR69" s="44"/>
      <c r="AS69" s="44"/>
      <c r="AT69" s="46"/>
      <c r="AU69" s="62" t="s">
        <v>916</v>
      </c>
    </row>
    <row r="70" spans="1:47" ht="16.5" customHeight="1">
      <c r="A70" s="76" t="s">
        <v>241</v>
      </c>
      <c r="B70" s="41" t="s">
        <v>882</v>
      </c>
      <c r="C70" s="5" t="s">
        <v>883</v>
      </c>
      <c r="D70" s="77" t="s">
        <v>909</v>
      </c>
      <c r="E70" s="47"/>
      <c r="F70" s="76" t="s">
        <v>242</v>
      </c>
      <c r="G70" s="121" t="s">
        <v>843</v>
      </c>
      <c r="H70" s="122"/>
      <c r="I70" s="123" t="s">
        <v>888</v>
      </c>
      <c r="J70" s="124">
        <v>2</v>
      </c>
      <c r="K70" s="117">
        <v>1</v>
      </c>
      <c r="L70" s="117">
        <v>1</v>
      </c>
      <c r="M70" s="116">
        <v>8</v>
      </c>
      <c r="N70" s="116">
        <v>2</v>
      </c>
      <c r="O70" s="116">
        <v>0</v>
      </c>
      <c r="P70" s="43">
        <v>1</v>
      </c>
      <c r="Q70" s="116">
        <v>0</v>
      </c>
      <c r="R70" s="116">
        <v>1</v>
      </c>
      <c r="S70" s="116">
        <v>0</v>
      </c>
      <c r="T70" s="116">
        <v>0</v>
      </c>
      <c r="U70" s="116">
        <v>0</v>
      </c>
      <c r="V70" s="116">
        <v>0</v>
      </c>
      <c r="W70" s="116">
        <v>0</v>
      </c>
      <c r="X70" s="116">
        <v>0</v>
      </c>
      <c r="Y70" s="116">
        <v>0</v>
      </c>
      <c r="Z70" s="116">
        <v>9</v>
      </c>
      <c r="AA70" s="116">
        <v>3</v>
      </c>
      <c r="AB70" s="116">
        <v>0</v>
      </c>
      <c r="AC70" s="116">
        <v>0</v>
      </c>
      <c r="AD70" s="116">
        <v>0</v>
      </c>
      <c r="AE70" s="116">
        <v>0</v>
      </c>
      <c r="AF70" s="116">
        <v>0</v>
      </c>
      <c r="AG70" s="116">
        <v>0</v>
      </c>
      <c r="AH70" s="116">
        <v>0</v>
      </c>
      <c r="AI70" s="116">
        <v>1</v>
      </c>
      <c r="AJ70" s="117">
        <v>0</v>
      </c>
      <c r="AK70" s="117">
        <v>6</v>
      </c>
      <c r="AL70" s="117">
        <v>0</v>
      </c>
      <c r="AM70" s="117">
        <v>12</v>
      </c>
      <c r="AN70" s="117">
        <v>19</v>
      </c>
      <c r="AO70" s="117">
        <v>0</v>
      </c>
      <c r="AP70" s="117">
        <v>3</v>
      </c>
      <c r="AQ70" s="117">
        <v>32</v>
      </c>
      <c r="AR70" s="44"/>
      <c r="AS70" s="44"/>
      <c r="AT70" s="46"/>
      <c r="AU70" s="62" t="s">
        <v>891</v>
      </c>
    </row>
    <row r="71" spans="1:47" ht="16.5" customHeight="1">
      <c r="A71" s="76" t="s">
        <v>250</v>
      </c>
      <c r="B71" s="41" t="s">
        <v>882</v>
      </c>
      <c r="C71" s="5" t="s">
        <v>883</v>
      </c>
      <c r="D71" s="77" t="s">
        <v>909</v>
      </c>
      <c r="E71" s="48"/>
      <c r="F71" s="76" t="s">
        <v>251</v>
      </c>
      <c r="G71" s="121" t="s">
        <v>843</v>
      </c>
      <c r="H71" s="122" t="s">
        <v>842</v>
      </c>
      <c r="I71" s="123" t="s">
        <v>885</v>
      </c>
      <c r="J71" s="124">
        <v>2</v>
      </c>
      <c r="K71" s="117">
        <v>1</v>
      </c>
      <c r="L71" s="117">
        <v>0</v>
      </c>
      <c r="M71" s="116">
        <v>9</v>
      </c>
      <c r="N71" s="116">
        <v>5</v>
      </c>
      <c r="O71" s="116">
        <v>1</v>
      </c>
      <c r="P71" s="43">
        <v>1</v>
      </c>
      <c r="Q71" s="116">
        <v>1</v>
      </c>
      <c r="R71" s="116">
        <v>0</v>
      </c>
      <c r="S71" s="116">
        <v>0</v>
      </c>
      <c r="T71" s="116">
        <v>0</v>
      </c>
      <c r="U71" s="116">
        <v>0</v>
      </c>
      <c r="V71" s="116">
        <v>0</v>
      </c>
      <c r="W71" s="116">
        <v>2</v>
      </c>
      <c r="X71" s="116">
        <v>1</v>
      </c>
      <c r="Y71" s="116">
        <v>0</v>
      </c>
      <c r="Z71" s="116">
        <v>7</v>
      </c>
      <c r="AA71" s="116">
        <v>4</v>
      </c>
      <c r="AB71" s="116">
        <v>2</v>
      </c>
      <c r="AC71" s="116">
        <v>0</v>
      </c>
      <c r="AD71" s="116">
        <v>0</v>
      </c>
      <c r="AE71" s="116">
        <v>0</v>
      </c>
      <c r="AF71" s="116">
        <v>0</v>
      </c>
      <c r="AG71" s="116">
        <v>0</v>
      </c>
      <c r="AH71" s="116">
        <v>0</v>
      </c>
      <c r="AI71" s="116">
        <v>1</v>
      </c>
      <c r="AJ71" s="117">
        <v>0</v>
      </c>
      <c r="AK71" s="117">
        <v>9</v>
      </c>
      <c r="AL71" s="117">
        <v>0</v>
      </c>
      <c r="AM71" s="117">
        <v>33</v>
      </c>
      <c r="AN71" s="117">
        <v>24</v>
      </c>
      <c r="AO71" s="117">
        <v>0</v>
      </c>
      <c r="AP71" s="117">
        <v>8</v>
      </c>
      <c r="AQ71" s="117">
        <v>59</v>
      </c>
      <c r="AR71" s="44"/>
      <c r="AS71" s="44"/>
      <c r="AT71" s="46"/>
      <c r="AU71" s="62" t="s">
        <v>917</v>
      </c>
    </row>
    <row r="72" spans="1:47" ht="16.5" customHeight="1">
      <c r="A72" s="76" t="s">
        <v>256</v>
      </c>
      <c r="B72" s="41" t="s">
        <v>882</v>
      </c>
      <c r="C72" s="5" t="s">
        <v>883</v>
      </c>
      <c r="D72" s="77" t="s">
        <v>909</v>
      </c>
      <c r="E72" s="49"/>
      <c r="F72" s="76" t="s">
        <v>257</v>
      </c>
      <c r="G72" s="121" t="s">
        <v>843</v>
      </c>
      <c r="H72" s="122" t="s">
        <v>842</v>
      </c>
      <c r="I72" s="123" t="s">
        <v>888</v>
      </c>
      <c r="J72" s="124">
        <v>2</v>
      </c>
      <c r="K72" s="117">
        <v>2</v>
      </c>
      <c r="L72" s="117">
        <v>1</v>
      </c>
      <c r="M72" s="116">
        <v>7</v>
      </c>
      <c r="N72" s="116">
        <v>3</v>
      </c>
      <c r="O72" s="116">
        <v>0</v>
      </c>
      <c r="P72" s="43">
        <v>5</v>
      </c>
      <c r="Q72" s="116">
        <v>2</v>
      </c>
      <c r="R72" s="116">
        <v>3</v>
      </c>
      <c r="S72" s="116">
        <v>0</v>
      </c>
      <c r="T72" s="116">
        <v>0</v>
      </c>
      <c r="U72" s="116">
        <v>0</v>
      </c>
      <c r="V72" s="116">
        <v>0</v>
      </c>
      <c r="W72" s="116">
        <v>0</v>
      </c>
      <c r="X72" s="116">
        <v>0</v>
      </c>
      <c r="Y72" s="116">
        <v>0</v>
      </c>
      <c r="Z72" s="116">
        <v>9</v>
      </c>
      <c r="AA72" s="116">
        <v>5</v>
      </c>
      <c r="AB72" s="116">
        <v>0</v>
      </c>
      <c r="AC72" s="116">
        <v>0</v>
      </c>
      <c r="AD72" s="116">
        <v>0</v>
      </c>
      <c r="AE72" s="116">
        <v>0</v>
      </c>
      <c r="AF72" s="116">
        <v>0</v>
      </c>
      <c r="AG72" s="116">
        <v>0</v>
      </c>
      <c r="AH72" s="116">
        <v>0</v>
      </c>
      <c r="AI72" s="116">
        <v>1</v>
      </c>
      <c r="AJ72" s="117">
        <v>0</v>
      </c>
      <c r="AK72" s="117">
        <v>9</v>
      </c>
      <c r="AL72" s="117">
        <v>0</v>
      </c>
      <c r="AM72" s="117">
        <v>20</v>
      </c>
      <c r="AN72" s="117">
        <v>20</v>
      </c>
      <c r="AO72" s="117">
        <v>0</v>
      </c>
      <c r="AP72" s="117">
        <v>7</v>
      </c>
      <c r="AQ72" s="117">
        <v>41</v>
      </c>
      <c r="AR72" s="44"/>
      <c r="AS72" s="44"/>
      <c r="AT72" s="46"/>
      <c r="AU72" s="62" t="s">
        <v>897</v>
      </c>
    </row>
    <row r="73" spans="1:47" ht="16.5" customHeight="1">
      <c r="A73" s="76" t="s">
        <v>783</v>
      </c>
      <c r="B73" s="41" t="s">
        <v>882</v>
      </c>
      <c r="C73" s="5" t="s">
        <v>883</v>
      </c>
      <c r="D73" s="77" t="s">
        <v>909</v>
      </c>
      <c r="E73" s="49"/>
      <c r="F73" s="76" t="s">
        <v>784</v>
      </c>
      <c r="G73" s="121" t="s">
        <v>843</v>
      </c>
      <c r="H73" s="122"/>
      <c r="I73" s="123" t="s">
        <v>888</v>
      </c>
      <c r="J73" s="124">
        <v>2</v>
      </c>
      <c r="K73" s="117">
        <v>2</v>
      </c>
      <c r="L73" s="117">
        <v>0</v>
      </c>
      <c r="M73" s="116">
        <v>13</v>
      </c>
      <c r="N73" s="116">
        <v>1</v>
      </c>
      <c r="O73" s="116">
        <v>1</v>
      </c>
      <c r="P73" s="43">
        <v>6</v>
      </c>
      <c r="Q73" s="116">
        <v>6</v>
      </c>
      <c r="R73" s="116">
        <v>0</v>
      </c>
      <c r="S73" s="116">
        <v>0</v>
      </c>
      <c r="T73" s="116">
        <v>0</v>
      </c>
      <c r="U73" s="116">
        <v>0</v>
      </c>
      <c r="V73" s="116">
        <v>0</v>
      </c>
      <c r="W73" s="116">
        <v>0</v>
      </c>
      <c r="X73" s="116">
        <v>0</v>
      </c>
      <c r="Y73" s="116">
        <v>0</v>
      </c>
      <c r="Z73" s="116">
        <v>0</v>
      </c>
      <c r="AA73" s="116">
        <v>0</v>
      </c>
      <c r="AB73" s="116">
        <v>0</v>
      </c>
      <c r="AC73" s="116">
        <v>0</v>
      </c>
      <c r="AD73" s="116">
        <v>0</v>
      </c>
      <c r="AE73" s="116">
        <v>0</v>
      </c>
      <c r="AF73" s="116">
        <v>14</v>
      </c>
      <c r="AG73" s="116">
        <v>1</v>
      </c>
      <c r="AH73" s="116">
        <v>6</v>
      </c>
      <c r="AI73" s="116">
        <v>1</v>
      </c>
      <c r="AJ73" s="117">
        <v>0</v>
      </c>
      <c r="AK73" s="117">
        <v>4</v>
      </c>
      <c r="AL73" s="117">
        <v>0</v>
      </c>
      <c r="AM73" s="117">
        <v>9</v>
      </c>
      <c r="AN73" s="117">
        <v>9</v>
      </c>
      <c r="AO73" s="117">
        <v>0</v>
      </c>
      <c r="AP73" s="117">
        <v>2</v>
      </c>
      <c r="AQ73" s="117">
        <v>20</v>
      </c>
      <c r="AR73" s="44"/>
      <c r="AS73" s="44"/>
      <c r="AT73" s="46"/>
      <c r="AU73" s="62" t="s">
        <v>897</v>
      </c>
    </row>
    <row r="74" spans="1:47" ht="16.5" customHeight="1">
      <c r="A74" s="76" t="s">
        <v>78</v>
      </c>
      <c r="B74" s="41" t="s">
        <v>882</v>
      </c>
      <c r="C74" s="5" t="s">
        <v>883</v>
      </c>
      <c r="D74" s="77" t="s">
        <v>909</v>
      </c>
      <c r="E74" s="47"/>
      <c r="F74" s="76" t="s">
        <v>79</v>
      </c>
      <c r="G74" s="121" t="s">
        <v>843</v>
      </c>
      <c r="H74" s="122"/>
      <c r="I74" s="123" t="s">
        <v>885</v>
      </c>
      <c r="J74" s="124">
        <v>2</v>
      </c>
      <c r="K74" s="117">
        <v>1</v>
      </c>
      <c r="L74" s="117">
        <v>2</v>
      </c>
      <c r="M74" s="116">
        <v>7</v>
      </c>
      <c r="N74" s="116">
        <v>1</v>
      </c>
      <c r="O74" s="116">
        <v>0</v>
      </c>
      <c r="P74" s="43">
        <v>10</v>
      </c>
      <c r="Q74" s="116">
        <v>9</v>
      </c>
      <c r="R74" s="116">
        <v>1</v>
      </c>
      <c r="S74" s="116">
        <v>0</v>
      </c>
      <c r="T74" s="116">
        <v>0</v>
      </c>
      <c r="U74" s="116">
        <v>0</v>
      </c>
      <c r="V74" s="116">
        <v>0</v>
      </c>
      <c r="W74" s="116">
        <v>0</v>
      </c>
      <c r="X74" s="116">
        <v>0</v>
      </c>
      <c r="Y74" s="116">
        <v>0</v>
      </c>
      <c r="Z74" s="116">
        <v>15</v>
      </c>
      <c r="AA74" s="116">
        <v>1</v>
      </c>
      <c r="AB74" s="116">
        <v>0</v>
      </c>
      <c r="AC74" s="116">
        <v>0</v>
      </c>
      <c r="AD74" s="116">
        <v>0</v>
      </c>
      <c r="AE74" s="116">
        <v>0</v>
      </c>
      <c r="AF74" s="116">
        <v>0</v>
      </c>
      <c r="AG74" s="116">
        <v>0</v>
      </c>
      <c r="AH74" s="116">
        <v>0</v>
      </c>
      <c r="AI74" s="116">
        <v>1</v>
      </c>
      <c r="AJ74" s="117">
        <v>0</v>
      </c>
      <c r="AK74" s="117">
        <v>7</v>
      </c>
      <c r="AL74" s="117">
        <v>0</v>
      </c>
      <c r="AM74" s="117">
        <v>0</v>
      </c>
      <c r="AN74" s="117">
        <v>57</v>
      </c>
      <c r="AO74" s="117">
        <v>0</v>
      </c>
      <c r="AP74" s="117">
        <v>5</v>
      </c>
      <c r="AQ74" s="117">
        <v>59</v>
      </c>
      <c r="AR74" s="44"/>
      <c r="AS74" s="44"/>
      <c r="AT74" s="46"/>
      <c r="AU74" s="62" t="s">
        <v>892</v>
      </c>
    </row>
    <row r="75" spans="1:47" ht="16.5" customHeight="1">
      <c r="A75" s="76" t="s">
        <v>259</v>
      </c>
      <c r="B75" s="41" t="s">
        <v>882</v>
      </c>
      <c r="C75" s="5" t="s">
        <v>883</v>
      </c>
      <c r="D75" s="77" t="s">
        <v>909</v>
      </c>
      <c r="E75" s="48"/>
      <c r="F75" s="76" t="s">
        <v>260</v>
      </c>
      <c r="G75" s="121" t="s">
        <v>843</v>
      </c>
      <c r="H75" s="122"/>
      <c r="I75" s="123" t="s">
        <v>885</v>
      </c>
      <c r="J75" s="124">
        <v>2</v>
      </c>
      <c r="K75" s="117">
        <v>1</v>
      </c>
      <c r="L75" s="117">
        <v>1</v>
      </c>
      <c r="M75" s="116">
        <v>6</v>
      </c>
      <c r="N75" s="116">
        <v>1</v>
      </c>
      <c r="O75" s="116">
        <v>0</v>
      </c>
      <c r="P75" s="43">
        <v>7</v>
      </c>
      <c r="Q75" s="116">
        <v>4</v>
      </c>
      <c r="R75" s="116">
        <v>3</v>
      </c>
      <c r="S75" s="116">
        <v>0</v>
      </c>
      <c r="T75" s="116">
        <v>0</v>
      </c>
      <c r="U75" s="116">
        <v>0</v>
      </c>
      <c r="V75" s="116">
        <v>0</v>
      </c>
      <c r="W75" s="116">
        <v>0</v>
      </c>
      <c r="X75" s="116">
        <v>0</v>
      </c>
      <c r="Y75" s="116">
        <v>0</v>
      </c>
      <c r="Z75" s="116">
        <v>9</v>
      </c>
      <c r="AA75" s="116">
        <v>3</v>
      </c>
      <c r="AB75" s="116">
        <v>0</v>
      </c>
      <c r="AC75" s="116">
        <v>0</v>
      </c>
      <c r="AD75" s="116">
        <v>0</v>
      </c>
      <c r="AE75" s="116">
        <v>0</v>
      </c>
      <c r="AF75" s="116">
        <v>0</v>
      </c>
      <c r="AG75" s="116">
        <v>0</v>
      </c>
      <c r="AH75" s="116">
        <v>0</v>
      </c>
      <c r="AI75" s="116">
        <v>1</v>
      </c>
      <c r="AJ75" s="117">
        <v>0</v>
      </c>
      <c r="AK75" s="117">
        <v>4</v>
      </c>
      <c r="AL75" s="117">
        <v>0</v>
      </c>
      <c r="AM75" s="117">
        <v>24</v>
      </c>
      <c r="AN75" s="117">
        <v>12</v>
      </c>
      <c r="AO75" s="117">
        <v>1</v>
      </c>
      <c r="AP75" s="117">
        <v>2</v>
      </c>
      <c r="AQ75" s="117">
        <v>37</v>
      </c>
      <c r="AR75" s="44"/>
      <c r="AS75" s="44"/>
      <c r="AT75" s="46"/>
      <c r="AU75" s="62" t="s">
        <v>887</v>
      </c>
    </row>
    <row r="76" spans="1:47" ht="16.5" customHeight="1">
      <c r="A76" s="76" t="s">
        <v>172</v>
      </c>
      <c r="B76" s="41" t="s">
        <v>882</v>
      </c>
      <c r="C76" s="5" t="s">
        <v>883</v>
      </c>
      <c r="D76" s="77" t="s">
        <v>909</v>
      </c>
      <c r="E76" s="47"/>
      <c r="F76" s="76" t="s">
        <v>173</v>
      </c>
      <c r="G76" s="121" t="s">
        <v>843</v>
      </c>
      <c r="H76" s="122"/>
      <c r="I76" s="123" t="s">
        <v>888</v>
      </c>
      <c r="J76" s="124">
        <v>2</v>
      </c>
      <c r="K76" s="117">
        <v>0</v>
      </c>
      <c r="L76" s="117">
        <v>0</v>
      </c>
      <c r="M76" s="116">
        <v>13</v>
      </c>
      <c r="N76" s="116">
        <v>1</v>
      </c>
      <c r="O76" s="116">
        <v>1</v>
      </c>
      <c r="P76" s="43">
        <v>1</v>
      </c>
      <c r="Q76" s="116">
        <v>0</v>
      </c>
      <c r="R76" s="116">
        <v>1</v>
      </c>
      <c r="S76" s="116">
        <v>0</v>
      </c>
      <c r="T76" s="116">
        <v>0</v>
      </c>
      <c r="U76" s="116">
        <v>0</v>
      </c>
      <c r="V76" s="116">
        <v>0</v>
      </c>
      <c r="W76" s="116">
        <v>0</v>
      </c>
      <c r="X76" s="116">
        <v>0</v>
      </c>
      <c r="Y76" s="116">
        <v>0</v>
      </c>
      <c r="Z76" s="116">
        <v>12</v>
      </c>
      <c r="AA76" s="116">
        <v>1</v>
      </c>
      <c r="AB76" s="116">
        <v>3</v>
      </c>
      <c r="AC76" s="116">
        <v>0</v>
      </c>
      <c r="AD76" s="116">
        <v>0</v>
      </c>
      <c r="AE76" s="116">
        <v>0</v>
      </c>
      <c r="AF76" s="116">
        <v>0</v>
      </c>
      <c r="AG76" s="116">
        <v>0</v>
      </c>
      <c r="AH76" s="116">
        <v>0</v>
      </c>
      <c r="AI76" s="116">
        <v>1</v>
      </c>
      <c r="AJ76" s="117">
        <v>0</v>
      </c>
      <c r="AK76" s="117">
        <v>5</v>
      </c>
      <c r="AL76" s="117">
        <v>1</v>
      </c>
      <c r="AM76" s="117">
        <v>1</v>
      </c>
      <c r="AN76" s="117">
        <v>31</v>
      </c>
      <c r="AO76" s="117">
        <v>0</v>
      </c>
      <c r="AP76" s="117">
        <v>5</v>
      </c>
      <c r="AQ76" s="117">
        <v>33</v>
      </c>
      <c r="AR76" s="44"/>
      <c r="AS76" s="44"/>
      <c r="AT76" s="46"/>
      <c r="AU76" s="62" t="s">
        <v>887</v>
      </c>
    </row>
    <row r="77" spans="1:47" ht="16.5" customHeight="1">
      <c r="A77" s="76" t="s">
        <v>262</v>
      </c>
      <c r="B77" s="41" t="s">
        <v>882</v>
      </c>
      <c r="C77" s="5" t="s">
        <v>883</v>
      </c>
      <c r="D77" s="77" t="s">
        <v>909</v>
      </c>
      <c r="E77" s="48"/>
      <c r="F77" s="76" t="s">
        <v>263</v>
      </c>
      <c r="G77" s="121" t="s">
        <v>843</v>
      </c>
      <c r="H77" s="122" t="s">
        <v>842</v>
      </c>
      <c r="I77" s="123" t="s">
        <v>888</v>
      </c>
      <c r="J77" s="124">
        <v>2</v>
      </c>
      <c r="K77" s="117">
        <v>2</v>
      </c>
      <c r="L77" s="117">
        <v>2</v>
      </c>
      <c r="M77" s="116">
        <v>9</v>
      </c>
      <c r="N77" s="116">
        <v>3</v>
      </c>
      <c r="O77" s="116">
        <v>0</v>
      </c>
      <c r="P77" s="43">
        <v>11</v>
      </c>
      <c r="Q77" s="116">
        <v>6</v>
      </c>
      <c r="R77" s="116">
        <v>5</v>
      </c>
      <c r="S77" s="116">
        <v>0</v>
      </c>
      <c r="T77" s="116">
        <v>1</v>
      </c>
      <c r="U77" s="116">
        <v>1</v>
      </c>
      <c r="V77" s="116">
        <v>0</v>
      </c>
      <c r="W77" s="116">
        <v>1</v>
      </c>
      <c r="X77" s="116">
        <v>0</v>
      </c>
      <c r="Y77" s="116">
        <v>0</v>
      </c>
      <c r="Z77" s="116">
        <v>12</v>
      </c>
      <c r="AA77" s="116">
        <v>6</v>
      </c>
      <c r="AB77" s="116">
        <v>0</v>
      </c>
      <c r="AC77" s="116">
        <v>0</v>
      </c>
      <c r="AD77" s="116">
        <v>0</v>
      </c>
      <c r="AE77" s="116">
        <v>0</v>
      </c>
      <c r="AF77" s="116">
        <v>0</v>
      </c>
      <c r="AG77" s="116">
        <v>0</v>
      </c>
      <c r="AH77" s="116">
        <v>0</v>
      </c>
      <c r="AI77" s="116">
        <v>1</v>
      </c>
      <c r="AJ77" s="117">
        <v>0</v>
      </c>
      <c r="AK77" s="117">
        <v>11</v>
      </c>
      <c r="AL77" s="117">
        <v>0</v>
      </c>
      <c r="AM77" s="117">
        <v>29</v>
      </c>
      <c r="AN77" s="117">
        <v>30</v>
      </c>
      <c r="AO77" s="117">
        <v>1</v>
      </c>
      <c r="AP77" s="117">
        <v>9</v>
      </c>
      <c r="AQ77" s="117">
        <v>58</v>
      </c>
      <c r="AR77" s="44"/>
      <c r="AS77" s="44"/>
      <c r="AT77" s="46"/>
      <c r="AU77" s="62" t="s">
        <v>918</v>
      </c>
    </row>
    <row r="78" spans="1:47" ht="16.5" customHeight="1">
      <c r="A78" s="76" t="s">
        <v>787</v>
      </c>
      <c r="B78" s="41" t="s">
        <v>882</v>
      </c>
      <c r="C78" s="5" t="s">
        <v>883</v>
      </c>
      <c r="D78" s="77" t="s">
        <v>909</v>
      </c>
      <c r="E78" s="49"/>
      <c r="F78" s="76" t="s">
        <v>788</v>
      </c>
      <c r="G78" s="121" t="s">
        <v>843</v>
      </c>
      <c r="H78" s="122"/>
      <c r="I78" s="123" t="s">
        <v>888</v>
      </c>
      <c r="J78" s="124">
        <v>2</v>
      </c>
      <c r="K78" s="117">
        <v>1</v>
      </c>
      <c r="L78" s="117">
        <v>1</v>
      </c>
      <c r="M78" s="116">
        <v>3</v>
      </c>
      <c r="N78" s="116">
        <v>2</v>
      </c>
      <c r="O78" s="116">
        <v>0</v>
      </c>
      <c r="P78" s="43">
        <v>1</v>
      </c>
      <c r="Q78" s="116">
        <v>1</v>
      </c>
      <c r="R78" s="116">
        <v>0</v>
      </c>
      <c r="S78" s="116">
        <v>0</v>
      </c>
      <c r="T78" s="116">
        <v>1</v>
      </c>
      <c r="U78" s="116">
        <v>0</v>
      </c>
      <c r="V78" s="116">
        <v>0</v>
      </c>
      <c r="W78" s="116">
        <v>0</v>
      </c>
      <c r="X78" s="116">
        <v>0</v>
      </c>
      <c r="Y78" s="116">
        <v>0</v>
      </c>
      <c r="Z78" s="116">
        <v>2</v>
      </c>
      <c r="AA78" s="116">
        <v>1</v>
      </c>
      <c r="AB78" s="116">
        <v>0</v>
      </c>
      <c r="AC78" s="116">
        <v>0</v>
      </c>
      <c r="AD78" s="116">
        <v>0</v>
      </c>
      <c r="AE78" s="116">
        <v>0</v>
      </c>
      <c r="AF78" s="116">
        <v>0</v>
      </c>
      <c r="AG78" s="116">
        <v>0</v>
      </c>
      <c r="AH78" s="116">
        <v>0</v>
      </c>
      <c r="AI78" s="116">
        <v>1</v>
      </c>
      <c r="AJ78" s="117">
        <v>1</v>
      </c>
      <c r="AK78" s="117">
        <v>1</v>
      </c>
      <c r="AL78" s="117">
        <v>0</v>
      </c>
      <c r="AM78" s="117">
        <v>3</v>
      </c>
      <c r="AN78" s="117">
        <v>10</v>
      </c>
      <c r="AO78" s="117">
        <v>0</v>
      </c>
      <c r="AP78" s="117">
        <v>1</v>
      </c>
      <c r="AQ78" s="117">
        <v>14</v>
      </c>
      <c r="AR78" s="44"/>
      <c r="AS78" s="44"/>
      <c r="AT78" s="46"/>
      <c r="AU78" s="62" t="s">
        <v>901</v>
      </c>
    </row>
    <row r="79" spans="1:47" ht="16.5" customHeight="1">
      <c r="A79" s="76" t="s">
        <v>791</v>
      </c>
      <c r="B79" s="41" t="s">
        <v>882</v>
      </c>
      <c r="C79" s="5" t="s">
        <v>883</v>
      </c>
      <c r="D79" s="77" t="s">
        <v>909</v>
      </c>
      <c r="E79" s="48"/>
      <c r="F79" s="76" t="s">
        <v>792</v>
      </c>
      <c r="G79" s="121" t="s">
        <v>843</v>
      </c>
      <c r="H79" s="122"/>
      <c r="I79" s="123" t="s">
        <v>888</v>
      </c>
      <c r="J79" s="124">
        <v>2</v>
      </c>
      <c r="K79" s="117">
        <v>1</v>
      </c>
      <c r="L79" s="117">
        <v>1</v>
      </c>
      <c r="M79" s="116">
        <v>7</v>
      </c>
      <c r="N79" s="116">
        <v>7</v>
      </c>
      <c r="O79" s="116">
        <v>0</v>
      </c>
      <c r="P79" s="43">
        <v>11</v>
      </c>
      <c r="Q79" s="116">
        <v>9</v>
      </c>
      <c r="R79" s="116">
        <v>2</v>
      </c>
      <c r="S79" s="116">
        <v>0</v>
      </c>
      <c r="T79" s="116">
        <v>0</v>
      </c>
      <c r="U79" s="116">
        <v>0</v>
      </c>
      <c r="V79" s="116">
        <v>0</v>
      </c>
      <c r="W79" s="116">
        <v>0</v>
      </c>
      <c r="X79" s="116">
        <v>0</v>
      </c>
      <c r="Y79" s="116">
        <v>0</v>
      </c>
      <c r="Z79" s="116">
        <v>0</v>
      </c>
      <c r="AA79" s="116">
        <v>0</v>
      </c>
      <c r="AB79" s="116">
        <v>0</v>
      </c>
      <c r="AC79" s="116">
        <v>0</v>
      </c>
      <c r="AD79" s="116">
        <v>0</v>
      </c>
      <c r="AE79" s="116">
        <v>0</v>
      </c>
      <c r="AF79" s="116">
        <v>15</v>
      </c>
      <c r="AG79" s="116">
        <v>9</v>
      </c>
      <c r="AH79" s="116">
        <v>0</v>
      </c>
      <c r="AI79" s="116">
        <v>1</v>
      </c>
      <c r="AJ79" s="117">
        <v>0</v>
      </c>
      <c r="AK79" s="117">
        <v>4</v>
      </c>
      <c r="AL79" s="117">
        <v>0</v>
      </c>
      <c r="AM79" s="117">
        <v>0</v>
      </c>
      <c r="AN79" s="117">
        <v>29</v>
      </c>
      <c r="AO79" s="117">
        <v>0</v>
      </c>
      <c r="AP79" s="117">
        <v>3</v>
      </c>
      <c r="AQ79" s="117">
        <v>30</v>
      </c>
      <c r="AR79" s="44"/>
      <c r="AS79" s="44"/>
      <c r="AT79" s="46"/>
      <c r="AU79" s="62" t="s">
        <v>897</v>
      </c>
    </row>
    <row r="80" spans="1:47" ht="16.5" customHeight="1">
      <c r="A80" s="76" t="s">
        <v>127</v>
      </c>
      <c r="B80" s="41" t="s">
        <v>882</v>
      </c>
      <c r="C80" s="5" t="s">
        <v>883</v>
      </c>
      <c r="D80" s="77" t="s">
        <v>909</v>
      </c>
      <c r="E80" s="48"/>
      <c r="F80" s="76" t="s">
        <v>128</v>
      </c>
      <c r="G80" s="121" t="s">
        <v>843</v>
      </c>
      <c r="H80" s="122"/>
      <c r="I80" s="123" t="s">
        <v>888</v>
      </c>
      <c r="J80" s="124">
        <v>2</v>
      </c>
      <c r="K80" s="117">
        <v>2</v>
      </c>
      <c r="L80" s="117">
        <v>2</v>
      </c>
      <c r="M80" s="116">
        <v>13</v>
      </c>
      <c r="N80" s="116">
        <v>8</v>
      </c>
      <c r="O80" s="116">
        <v>0</v>
      </c>
      <c r="P80" s="43">
        <v>29</v>
      </c>
      <c r="Q80" s="116">
        <v>16</v>
      </c>
      <c r="R80" s="116">
        <v>13</v>
      </c>
      <c r="S80" s="116">
        <v>0</v>
      </c>
      <c r="T80" s="116">
        <v>1</v>
      </c>
      <c r="U80" s="116">
        <v>2</v>
      </c>
      <c r="V80" s="116">
        <v>0</v>
      </c>
      <c r="W80" s="116">
        <v>5</v>
      </c>
      <c r="X80" s="116">
        <v>2</v>
      </c>
      <c r="Y80" s="116">
        <v>0</v>
      </c>
      <c r="Z80" s="116">
        <v>22</v>
      </c>
      <c r="AA80" s="116">
        <v>16</v>
      </c>
      <c r="AB80" s="116">
        <v>0</v>
      </c>
      <c r="AC80" s="116">
        <v>0</v>
      </c>
      <c r="AD80" s="116">
        <v>0</v>
      </c>
      <c r="AE80" s="116">
        <v>0</v>
      </c>
      <c r="AF80" s="116">
        <v>0</v>
      </c>
      <c r="AG80" s="116">
        <v>0</v>
      </c>
      <c r="AH80" s="116">
        <v>0</v>
      </c>
      <c r="AI80" s="116">
        <v>1</v>
      </c>
      <c r="AJ80" s="117">
        <v>0</v>
      </c>
      <c r="AK80" s="117">
        <v>14</v>
      </c>
      <c r="AL80" s="117">
        <v>0</v>
      </c>
      <c r="AM80" s="117">
        <v>0</v>
      </c>
      <c r="AN80" s="117">
        <v>107</v>
      </c>
      <c r="AO80" s="117">
        <v>0</v>
      </c>
      <c r="AP80" s="117">
        <v>14</v>
      </c>
      <c r="AQ80" s="117">
        <v>107</v>
      </c>
      <c r="AR80" s="44"/>
      <c r="AS80" s="44"/>
      <c r="AT80" s="46"/>
      <c r="AU80" s="62" t="s">
        <v>908</v>
      </c>
    </row>
    <row r="81" spans="1:47" ht="16.5" customHeight="1">
      <c r="A81" s="76" t="s">
        <v>54</v>
      </c>
      <c r="B81" s="41" t="s">
        <v>882</v>
      </c>
      <c r="C81" s="5" t="s">
        <v>883</v>
      </c>
      <c r="D81" s="77" t="s">
        <v>909</v>
      </c>
      <c r="E81" s="48"/>
      <c r="F81" s="76" t="s">
        <v>55</v>
      </c>
      <c r="G81" s="121" t="s">
        <v>843</v>
      </c>
      <c r="H81" s="122" t="s">
        <v>842</v>
      </c>
      <c r="I81" s="123" t="s">
        <v>888</v>
      </c>
      <c r="J81" s="124">
        <v>2</v>
      </c>
      <c r="K81" s="117">
        <v>1</v>
      </c>
      <c r="L81" s="117">
        <v>1</v>
      </c>
      <c r="M81" s="116">
        <v>13</v>
      </c>
      <c r="N81" s="116">
        <v>2</v>
      </c>
      <c r="O81" s="116">
        <v>0</v>
      </c>
      <c r="P81" s="43">
        <v>3</v>
      </c>
      <c r="Q81" s="116">
        <v>0</v>
      </c>
      <c r="R81" s="116">
        <v>3</v>
      </c>
      <c r="S81" s="116">
        <v>0</v>
      </c>
      <c r="T81" s="116">
        <v>0</v>
      </c>
      <c r="U81" s="116">
        <v>0</v>
      </c>
      <c r="V81" s="116">
        <v>0</v>
      </c>
      <c r="W81" s="116">
        <v>0</v>
      </c>
      <c r="X81" s="116">
        <v>0</v>
      </c>
      <c r="Y81" s="116">
        <v>0</v>
      </c>
      <c r="Z81" s="116">
        <v>13</v>
      </c>
      <c r="AA81" s="116">
        <v>4</v>
      </c>
      <c r="AB81" s="116">
        <v>0</v>
      </c>
      <c r="AC81" s="116">
        <v>0</v>
      </c>
      <c r="AD81" s="116">
        <v>0</v>
      </c>
      <c r="AE81" s="116">
        <v>0</v>
      </c>
      <c r="AF81" s="116">
        <v>0</v>
      </c>
      <c r="AG81" s="116">
        <v>0</v>
      </c>
      <c r="AH81" s="116">
        <v>0</v>
      </c>
      <c r="AI81" s="116">
        <v>1</v>
      </c>
      <c r="AJ81" s="117">
        <v>0</v>
      </c>
      <c r="AK81" s="117">
        <v>6</v>
      </c>
      <c r="AL81" s="117">
        <v>0</v>
      </c>
      <c r="AM81" s="117">
        <v>0</v>
      </c>
      <c r="AN81" s="117">
        <v>36</v>
      </c>
      <c r="AO81" s="117">
        <v>0</v>
      </c>
      <c r="AP81" s="117">
        <v>6</v>
      </c>
      <c r="AQ81" s="117">
        <v>36</v>
      </c>
      <c r="AR81" s="44"/>
      <c r="AS81" s="44"/>
      <c r="AT81" s="46"/>
      <c r="AU81" s="62" t="s">
        <v>914</v>
      </c>
    </row>
    <row r="82" spans="1:47" ht="16.5" customHeight="1">
      <c r="A82" s="76" t="s">
        <v>57</v>
      </c>
      <c r="B82" s="41" t="s">
        <v>882</v>
      </c>
      <c r="C82" s="5" t="s">
        <v>883</v>
      </c>
      <c r="D82" s="77" t="s">
        <v>909</v>
      </c>
      <c r="E82" s="48"/>
      <c r="F82" s="76" t="s">
        <v>58</v>
      </c>
      <c r="G82" s="121" t="s">
        <v>843</v>
      </c>
      <c r="H82" s="122" t="s">
        <v>842</v>
      </c>
      <c r="I82" s="123" t="s">
        <v>885</v>
      </c>
      <c r="J82" s="124">
        <v>2</v>
      </c>
      <c r="K82" s="117">
        <v>1</v>
      </c>
      <c r="L82" s="117">
        <v>1</v>
      </c>
      <c r="M82" s="116">
        <v>9</v>
      </c>
      <c r="N82" s="116">
        <v>3</v>
      </c>
      <c r="O82" s="116">
        <v>0</v>
      </c>
      <c r="P82" s="43">
        <v>7</v>
      </c>
      <c r="Q82" s="116">
        <v>6</v>
      </c>
      <c r="R82" s="116">
        <v>1</v>
      </c>
      <c r="S82" s="116">
        <v>0</v>
      </c>
      <c r="T82" s="116">
        <v>0</v>
      </c>
      <c r="U82" s="116">
        <v>0</v>
      </c>
      <c r="V82" s="116">
        <v>0</v>
      </c>
      <c r="W82" s="116">
        <v>0</v>
      </c>
      <c r="X82" s="116">
        <v>0</v>
      </c>
      <c r="Y82" s="116">
        <v>0</v>
      </c>
      <c r="Z82" s="116">
        <v>14</v>
      </c>
      <c r="AA82" s="116">
        <v>3</v>
      </c>
      <c r="AB82" s="116">
        <v>0</v>
      </c>
      <c r="AC82" s="116">
        <v>0</v>
      </c>
      <c r="AD82" s="116">
        <v>0</v>
      </c>
      <c r="AE82" s="116">
        <v>0</v>
      </c>
      <c r="AF82" s="116">
        <v>0</v>
      </c>
      <c r="AG82" s="116">
        <v>0</v>
      </c>
      <c r="AH82" s="116">
        <v>0</v>
      </c>
      <c r="AI82" s="116">
        <v>1</v>
      </c>
      <c r="AJ82" s="117">
        <v>0</v>
      </c>
      <c r="AK82" s="117">
        <v>8</v>
      </c>
      <c r="AL82" s="117">
        <v>0</v>
      </c>
      <c r="AM82" s="117">
        <v>0</v>
      </c>
      <c r="AN82" s="117">
        <v>48</v>
      </c>
      <c r="AO82" s="117">
        <v>1</v>
      </c>
      <c r="AP82" s="117">
        <v>8</v>
      </c>
      <c r="AQ82" s="117">
        <v>48</v>
      </c>
      <c r="AR82" s="44"/>
      <c r="AS82" s="44"/>
      <c r="AT82" s="46"/>
      <c r="AU82" s="62" t="s">
        <v>919</v>
      </c>
    </row>
    <row r="83" spans="1:47" ht="16.5" customHeight="1">
      <c r="A83" s="76" t="s">
        <v>178</v>
      </c>
      <c r="B83" s="41" t="s">
        <v>882</v>
      </c>
      <c r="C83" s="5" t="s">
        <v>883</v>
      </c>
      <c r="D83" s="77" t="s">
        <v>909</v>
      </c>
      <c r="E83" s="47"/>
      <c r="F83" s="76" t="s">
        <v>179</v>
      </c>
      <c r="G83" s="121" t="s">
        <v>843</v>
      </c>
      <c r="H83" s="122"/>
      <c r="I83" s="123" t="s">
        <v>885</v>
      </c>
      <c r="J83" s="124">
        <v>2</v>
      </c>
      <c r="K83" s="117">
        <v>2</v>
      </c>
      <c r="L83" s="117">
        <v>1</v>
      </c>
      <c r="M83" s="116">
        <v>6</v>
      </c>
      <c r="N83" s="116">
        <v>4</v>
      </c>
      <c r="O83" s="116">
        <v>0</v>
      </c>
      <c r="P83" s="43">
        <v>4</v>
      </c>
      <c r="Q83" s="116">
        <v>3</v>
      </c>
      <c r="R83" s="116">
        <v>1</v>
      </c>
      <c r="S83" s="116">
        <v>0</v>
      </c>
      <c r="T83" s="116">
        <v>0</v>
      </c>
      <c r="U83" s="116">
        <v>0</v>
      </c>
      <c r="V83" s="116">
        <v>0</v>
      </c>
      <c r="W83" s="116">
        <v>0</v>
      </c>
      <c r="X83" s="116">
        <v>0</v>
      </c>
      <c r="Y83" s="116">
        <v>0</v>
      </c>
      <c r="Z83" s="116">
        <v>8</v>
      </c>
      <c r="AA83" s="116">
        <v>4</v>
      </c>
      <c r="AB83" s="116">
        <v>0</v>
      </c>
      <c r="AC83" s="116">
        <v>0</v>
      </c>
      <c r="AD83" s="116">
        <v>0</v>
      </c>
      <c r="AE83" s="116">
        <v>0</v>
      </c>
      <c r="AF83" s="116">
        <v>0</v>
      </c>
      <c r="AG83" s="116">
        <v>0</v>
      </c>
      <c r="AH83" s="116">
        <v>0</v>
      </c>
      <c r="AI83" s="116">
        <v>1</v>
      </c>
      <c r="AJ83" s="117">
        <v>0</v>
      </c>
      <c r="AK83" s="117">
        <v>4</v>
      </c>
      <c r="AL83" s="117">
        <v>0</v>
      </c>
      <c r="AM83" s="117">
        <v>0</v>
      </c>
      <c r="AN83" s="117">
        <v>21</v>
      </c>
      <c r="AO83" s="117">
        <v>0</v>
      </c>
      <c r="AP83" s="117">
        <v>3</v>
      </c>
      <c r="AQ83" s="117">
        <v>22</v>
      </c>
      <c r="AR83" s="44"/>
      <c r="AS83" s="44"/>
      <c r="AT83" s="46"/>
      <c r="AU83" s="62" t="s">
        <v>887</v>
      </c>
    </row>
    <row r="84" spans="1:47" ht="16.5" customHeight="1">
      <c r="A84" s="76" t="s">
        <v>797</v>
      </c>
      <c r="B84" s="41" t="s">
        <v>882</v>
      </c>
      <c r="C84" s="5" t="s">
        <v>883</v>
      </c>
      <c r="D84" s="77" t="s">
        <v>909</v>
      </c>
      <c r="E84" s="48"/>
      <c r="F84" s="76" t="s">
        <v>798</v>
      </c>
      <c r="G84" s="121" t="s">
        <v>843</v>
      </c>
      <c r="H84" s="122" t="s">
        <v>842</v>
      </c>
      <c r="I84" s="123" t="s">
        <v>888</v>
      </c>
      <c r="J84" s="124">
        <v>2</v>
      </c>
      <c r="K84" s="117">
        <v>2</v>
      </c>
      <c r="L84" s="117">
        <v>1</v>
      </c>
      <c r="M84" s="116">
        <v>8</v>
      </c>
      <c r="N84" s="116">
        <v>1</v>
      </c>
      <c r="O84" s="116">
        <v>0</v>
      </c>
      <c r="P84" s="43">
        <v>5</v>
      </c>
      <c r="Q84" s="116">
        <v>3</v>
      </c>
      <c r="R84" s="116">
        <v>2</v>
      </c>
      <c r="S84" s="116">
        <v>0</v>
      </c>
      <c r="T84" s="116">
        <v>0</v>
      </c>
      <c r="U84" s="116">
        <v>0</v>
      </c>
      <c r="V84" s="116">
        <v>0</v>
      </c>
      <c r="W84" s="116">
        <v>0</v>
      </c>
      <c r="X84" s="116">
        <v>0</v>
      </c>
      <c r="Y84" s="116">
        <v>0</v>
      </c>
      <c r="Z84" s="116">
        <v>0</v>
      </c>
      <c r="AA84" s="116">
        <v>0</v>
      </c>
      <c r="AB84" s="116">
        <v>0</v>
      </c>
      <c r="AC84" s="116">
        <v>10</v>
      </c>
      <c r="AD84" s="116">
        <v>2</v>
      </c>
      <c r="AE84" s="116">
        <v>0</v>
      </c>
      <c r="AF84" s="116">
        <v>0</v>
      </c>
      <c r="AG84" s="116">
        <v>0</v>
      </c>
      <c r="AH84" s="116">
        <v>0</v>
      </c>
      <c r="AI84" s="116">
        <v>1</v>
      </c>
      <c r="AJ84" s="117">
        <v>1</v>
      </c>
      <c r="AK84" s="117">
        <v>3</v>
      </c>
      <c r="AL84" s="117">
        <v>0</v>
      </c>
      <c r="AM84" s="117">
        <v>17</v>
      </c>
      <c r="AN84" s="117">
        <v>22</v>
      </c>
      <c r="AO84" s="117">
        <v>1</v>
      </c>
      <c r="AP84" s="117">
        <v>2</v>
      </c>
      <c r="AQ84" s="117">
        <v>42</v>
      </c>
      <c r="AR84" s="44"/>
      <c r="AS84" s="44"/>
      <c r="AT84" s="46"/>
      <c r="AU84" s="62" t="s">
        <v>887</v>
      </c>
    </row>
    <row r="85" spans="1:47" ht="16.5" customHeight="1">
      <c r="A85" s="76" t="s">
        <v>801</v>
      </c>
      <c r="B85" s="41" t="s">
        <v>882</v>
      </c>
      <c r="C85" s="5" t="s">
        <v>883</v>
      </c>
      <c r="D85" s="77" t="s">
        <v>909</v>
      </c>
      <c r="E85" s="47"/>
      <c r="F85" s="76" t="s">
        <v>802</v>
      </c>
      <c r="G85" s="121" t="s">
        <v>843</v>
      </c>
      <c r="H85" s="122"/>
      <c r="I85" s="123" t="s">
        <v>885</v>
      </c>
      <c r="J85" s="124">
        <v>2</v>
      </c>
      <c r="K85" s="117">
        <v>0</v>
      </c>
      <c r="L85" s="117">
        <v>0</v>
      </c>
      <c r="M85" s="116">
        <v>4</v>
      </c>
      <c r="N85" s="116">
        <v>1</v>
      </c>
      <c r="O85" s="116">
        <v>1</v>
      </c>
      <c r="P85" s="43">
        <v>1</v>
      </c>
      <c r="Q85" s="116">
        <v>1</v>
      </c>
      <c r="R85" s="116">
        <v>0</v>
      </c>
      <c r="S85" s="116">
        <v>0</v>
      </c>
      <c r="T85" s="116">
        <v>0</v>
      </c>
      <c r="U85" s="116">
        <v>0</v>
      </c>
      <c r="V85" s="116">
        <v>0</v>
      </c>
      <c r="W85" s="116">
        <v>0</v>
      </c>
      <c r="X85" s="116">
        <v>0</v>
      </c>
      <c r="Y85" s="116">
        <v>0</v>
      </c>
      <c r="Z85" s="116">
        <v>0</v>
      </c>
      <c r="AA85" s="116">
        <v>0</v>
      </c>
      <c r="AB85" s="116">
        <v>0</v>
      </c>
      <c r="AC85" s="116">
        <v>0</v>
      </c>
      <c r="AD85" s="116">
        <v>0</v>
      </c>
      <c r="AE85" s="116">
        <v>0</v>
      </c>
      <c r="AF85" s="116">
        <v>4</v>
      </c>
      <c r="AG85" s="116">
        <v>1</v>
      </c>
      <c r="AH85" s="116">
        <v>2</v>
      </c>
      <c r="AI85" s="116">
        <v>1</v>
      </c>
      <c r="AJ85" s="117">
        <v>0</v>
      </c>
      <c r="AK85" s="117">
        <v>2</v>
      </c>
      <c r="AL85" s="117">
        <v>0</v>
      </c>
      <c r="AM85" s="117">
        <v>0</v>
      </c>
      <c r="AN85" s="117">
        <v>13</v>
      </c>
      <c r="AO85" s="117">
        <v>1</v>
      </c>
      <c r="AP85" s="117">
        <v>1</v>
      </c>
      <c r="AQ85" s="117">
        <v>13</v>
      </c>
      <c r="AR85" s="44"/>
      <c r="AS85" s="44"/>
      <c r="AT85" s="46"/>
      <c r="AU85" s="62" t="s">
        <v>920</v>
      </c>
    </row>
    <row r="86" spans="1:47" ht="16.5" customHeight="1">
      <c r="A86" s="76" t="s">
        <v>809</v>
      </c>
      <c r="B86" s="41" t="s">
        <v>882</v>
      </c>
      <c r="C86" s="5" t="s">
        <v>883</v>
      </c>
      <c r="D86" s="77" t="s">
        <v>909</v>
      </c>
      <c r="E86" s="48"/>
      <c r="F86" s="76" t="s">
        <v>810</v>
      </c>
      <c r="G86" s="121" t="s">
        <v>843</v>
      </c>
      <c r="H86" s="122"/>
      <c r="I86" s="123" t="s">
        <v>888</v>
      </c>
      <c r="J86" s="124">
        <v>2</v>
      </c>
      <c r="K86" s="117">
        <v>2</v>
      </c>
      <c r="L86" s="117">
        <v>1</v>
      </c>
      <c r="M86" s="116">
        <v>4</v>
      </c>
      <c r="N86" s="116">
        <v>1</v>
      </c>
      <c r="O86" s="116">
        <v>0</v>
      </c>
      <c r="P86" s="43">
        <v>4</v>
      </c>
      <c r="Q86" s="116">
        <v>2</v>
      </c>
      <c r="R86" s="116">
        <v>2</v>
      </c>
      <c r="S86" s="116">
        <v>0</v>
      </c>
      <c r="T86" s="116">
        <v>0</v>
      </c>
      <c r="U86" s="116">
        <v>0</v>
      </c>
      <c r="V86" s="116">
        <v>0</v>
      </c>
      <c r="W86" s="116">
        <v>0</v>
      </c>
      <c r="X86" s="116">
        <v>0</v>
      </c>
      <c r="Y86" s="116">
        <v>0</v>
      </c>
      <c r="Z86" s="116">
        <v>0</v>
      </c>
      <c r="AA86" s="116">
        <v>0</v>
      </c>
      <c r="AB86" s="116">
        <v>0</v>
      </c>
      <c r="AC86" s="116">
        <v>0</v>
      </c>
      <c r="AD86" s="116">
        <v>0</v>
      </c>
      <c r="AE86" s="116">
        <v>0</v>
      </c>
      <c r="AF86" s="116">
        <v>5</v>
      </c>
      <c r="AG86" s="116">
        <v>2</v>
      </c>
      <c r="AH86" s="116">
        <v>0</v>
      </c>
      <c r="AI86" s="116">
        <v>1</v>
      </c>
      <c r="AJ86" s="117">
        <v>1</v>
      </c>
      <c r="AK86" s="117">
        <v>1</v>
      </c>
      <c r="AL86" s="117">
        <v>0</v>
      </c>
      <c r="AM86" s="117">
        <v>2</v>
      </c>
      <c r="AN86" s="117">
        <v>7</v>
      </c>
      <c r="AO86" s="117">
        <v>0</v>
      </c>
      <c r="AP86" s="117">
        <v>2</v>
      </c>
      <c r="AQ86" s="117">
        <v>9</v>
      </c>
      <c r="AR86" s="44"/>
      <c r="AS86" s="44"/>
      <c r="AT86" s="46"/>
      <c r="AU86" s="62" t="s">
        <v>889</v>
      </c>
    </row>
    <row r="87" spans="1:47" ht="16.5" customHeight="1">
      <c r="A87" s="76" t="s">
        <v>87</v>
      </c>
      <c r="B87" s="41" t="s">
        <v>882</v>
      </c>
      <c r="C87" s="5" t="s">
        <v>883</v>
      </c>
      <c r="D87" s="77" t="s">
        <v>909</v>
      </c>
      <c r="E87" s="48"/>
      <c r="F87" s="76" t="s">
        <v>88</v>
      </c>
      <c r="G87" s="121" t="s">
        <v>843</v>
      </c>
      <c r="H87" s="122" t="s">
        <v>842</v>
      </c>
      <c r="I87" s="123" t="s">
        <v>888</v>
      </c>
      <c r="J87" s="124">
        <v>2</v>
      </c>
      <c r="K87" s="117">
        <v>1</v>
      </c>
      <c r="L87" s="117">
        <v>1</v>
      </c>
      <c r="M87" s="116">
        <v>7</v>
      </c>
      <c r="N87" s="116">
        <v>7</v>
      </c>
      <c r="O87" s="116">
        <v>0</v>
      </c>
      <c r="P87" s="43">
        <v>8</v>
      </c>
      <c r="Q87" s="116">
        <v>7</v>
      </c>
      <c r="R87" s="116">
        <v>1</v>
      </c>
      <c r="S87" s="116">
        <v>0</v>
      </c>
      <c r="T87" s="116">
        <v>0</v>
      </c>
      <c r="U87" s="116">
        <v>1</v>
      </c>
      <c r="V87" s="116">
        <v>0</v>
      </c>
      <c r="W87" s="116">
        <v>0</v>
      </c>
      <c r="X87" s="116">
        <v>0</v>
      </c>
      <c r="Y87" s="116">
        <v>0</v>
      </c>
      <c r="Z87" s="116">
        <v>0</v>
      </c>
      <c r="AA87" s="116">
        <v>1</v>
      </c>
      <c r="AB87" s="116">
        <v>0</v>
      </c>
      <c r="AC87" s="116">
        <v>0</v>
      </c>
      <c r="AD87" s="116">
        <v>0</v>
      </c>
      <c r="AE87" s="116">
        <v>0</v>
      </c>
      <c r="AF87" s="116">
        <v>13</v>
      </c>
      <c r="AG87" s="116">
        <v>5</v>
      </c>
      <c r="AH87" s="116">
        <v>0</v>
      </c>
      <c r="AI87" s="116">
        <v>1</v>
      </c>
      <c r="AJ87" s="117">
        <v>0</v>
      </c>
      <c r="AK87" s="117">
        <v>9</v>
      </c>
      <c r="AL87" s="117">
        <v>0</v>
      </c>
      <c r="AM87" s="117">
        <v>0</v>
      </c>
      <c r="AN87" s="117">
        <v>64</v>
      </c>
      <c r="AO87" s="117">
        <v>1</v>
      </c>
      <c r="AP87" s="117">
        <v>5</v>
      </c>
      <c r="AQ87" s="117">
        <v>67</v>
      </c>
      <c r="AR87" s="44"/>
      <c r="AS87" s="44"/>
      <c r="AT87" s="46"/>
      <c r="AU87" s="62" t="s">
        <v>887</v>
      </c>
    </row>
    <row r="88" spans="1:47" ht="16.5" customHeight="1">
      <c r="A88" s="76" t="s">
        <v>190</v>
      </c>
      <c r="B88" s="41" t="s">
        <v>882</v>
      </c>
      <c r="C88" s="5" t="s">
        <v>883</v>
      </c>
      <c r="D88" s="77" t="s">
        <v>909</v>
      </c>
      <c r="E88" s="48"/>
      <c r="F88" s="76" t="s">
        <v>191</v>
      </c>
      <c r="G88" s="121" t="s">
        <v>843</v>
      </c>
      <c r="H88" s="122"/>
      <c r="I88" s="123" t="s">
        <v>888</v>
      </c>
      <c r="J88" s="124">
        <v>2</v>
      </c>
      <c r="K88" s="117">
        <v>2</v>
      </c>
      <c r="L88" s="117">
        <v>1</v>
      </c>
      <c r="M88" s="116">
        <v>13</v>
      </c>
      <c r="N88" s="116">
        <v>2</v>
      </c>
      <c r="O88" s="116">
        <v>0</v>
      </c>
      <c r="P88" s="43">
        <v>6</v>
      </c>
      <c r="Q88" s="116">
        <v>6</v>
      </c>
      <c r="R88" s="116">
        <v>0</v>
      </c>
      <c r="S88" s="116">
        <v>0</v>
      </c>
      <c r="T88" s="116">
        <v>0</v>
      </c>
      <c r="U88" s="116">
        <v>0</v>
      </c>
      <c r="V88" s="116">
        <v>0</v>
      </c>
      <c r="W88" s="116">
        <v>0</v>
      </c>
      <c r="X88" s="116">
        <v>0</v>
      </c>
      <c r="Y88" s="116">
        <v>0</v>
      </c>
      <c r="Z88" s="116">
        <v>0</v>
      </c>
      <c r="AA88" s="116">
        <v>0</v>
      </c>
      <c r="AB88" s="116">
        <v>0</v>
      </c>
      <c r="AC88" s="116">
        <v>0</v>
      </c>
      <c r="AD88" s="116">
        <v>0</v>
      </c>
      <c r="AE88" s="116">
        <v>0</v>
      </c>
      <c r="AF88" s="116">
        <v>18</v>
      </c>
      <c r="AG88" s="116">
        <v>1</v>
      </c>
      <c r="AH88" s="116">
        <v>0</v>
      </c>
      <c r="AI88" s="116">
        <v>1</v>
      </c>
      <c r="AJ88" s="117">
        <v>0</v>
      </c>
      <c r="AK88" s="117">
        <v>4</v>
      </c>
      <c r="AL88" s="117">
        <v>0</v>
      </c>
      <c r="AM88" s="117">
        <v>0</v>
      </c>
      <c r="AN88" s="117">
        <v>22</v>
      </c>
      <c r="AO88" s="117">
        <v>0</v>
      </c>
      <c r="AP88" s="117">
        <v>4</v>
      </c>
      <c r="AQ88" s="117">
        <v>22</v>
      </c>
      <c r="AR88" s="44"/>
      <c r="AS88" s="44"/>
      <c r="AT88" s="46"/>
      <c r="AU88" s="62" t="s">
        <v>921</v>
      </c>
    </row>
    <row r="89" spans="1:47" ht="16.5" customHeight="1">
      <c r="A89" s="76" t="s">
        <v>831</v>
      </c>
      <c r="B89" s="41" t="s">
        <v>882</v>
      </c>
      <c r="C89" s="5" t="s">
        <v>883</v>
      </c>
      <c r="D89" s="77" t="s">
        <v>909</v>
      </c>
      <c r="E89" s="48"/>
      <c r="F89" s="76" t="s">
        <v>832</v>
      </c>
      <c r="G89" s="121" t="s">
        <v>843</v>
      </c>
      <c r="H89" s="122" t="s">
        <v>842</v>
      </c>
      <c r="I89" s="123" t="s">
        <v>888</v>
      </c>
      <c r="J89" s="124">
        <v>2</v>
      </c>
      <c r="K89" s="117">
        <v>3</v>
      </c>
      <c r="L89" s="117">
        <v>1</v>
      </c>
      <c r="M89" s="116">
        <v>7</v>
      </c>
      <c r="N89" s="116">
        <v>3</v>
      </c>
      <c r="O89" s="116">
        <v>0</v>
      </c>
      <c r="P89" s="43">
        <v>15</v>
      </c>
      <c r="Q89" s="116">
        <v>13</v>
      </c>
      <c r="R89" s="116">
        <v>2</v>
      </c>
      <c r="S89" s="116">
        <v>0</v>
      </c>
      <c r="T89" s="116">
        <v>0</v>
      </c>
      <c r="U89" s="116">
        <v>0</v>
      </c>
      <c r="V89" s="116">
        <v>0</v>
      </c>
      <c r="W89" s="116">
        <v>0</v>
      </c>
      <c r="X89" s="116">
        <v>0</v>
      </c>
      <c r="Y89" s="116">
        <v>0</v>
      </c>
      <c r="Z89" s="116">
        <v>19</v>
      </c>
      <c r="AA89" s="116">
        <v>4</v>
      </c>
      <c r="AB89" s="116">
        <v>0</v>
      </c>
      <c r="AC89" s="116">
        <v>0</v>
      </c>
      <c r="AD89" s="116">
        <v>0</v>
      </c>
      <c r="AE89" s="116">
        <v>0</v>
      </c>
      <c r="AF89" s="116">
        <v>0</v>
      </c>
      <c r="AG89" s="116">
        <v>0</v>
      </c>
      <c r="AH89" s="116">
        <v>0</v>
      </c>
      <c r="AI89" s="116">
        <v>1</v>
      </c>
      <c r="AJ89" s="117">
        <v>1</v>
      </c>
      <c r="AK89" s="117">
        <v>8</v>
      </c>
      <c r="AL89" s="117">
        <v>0</v>
      </c>
      <c r="AM89" s="117">
        <v>12</v>
      </c>
      <c r="AN89" s="117">
        <v>35</v>
      </c>
      <c r="AO89" s="117">
        <v>0</v>
      </c>
      <c r="AP89" s="117">
        <v>8</v>
      </c>
      <c r="AQ89" s="117">
        <v>48</v>
      </c>
      <c r="AR89" s="44"/>
      <c r="AS89" s="44"/>
      <c r="AT89" s="46"/>
      <c r="AU89" s="62" t="s">
        <v>922</v>
      </c>
    </row>
    <row r="90" spans="1:47" ht="16.5" customHeight="1">
      <c r="A90" s="76" t="s">
        <v>193</v>
      </c>
      <c r="B90" s="41" t="s">
        <v>882</v>
      </c>
      <c r="C90" s="5" t="s">
        <v>883</v>
      </c>
      <c r="D90" s="77" t="s">
        <v>909</v>
      </c>
      <c r="E90" s="48"/>
      <c r="F90" s="76" t="s">
        <v>194</v>
      </c>
      <c r="G90" s="121" t="s">
        <v>843</v>
      </c>
      <c r="H90" s="122"/>
      <c r="I90" s="123" t="s">
        <v>888</v>
      </c>
      <c r="J90" s="124">
        <v>2</v>
      </c>
      <c r="K90" s="117">
        <v>1</v>
      </c>
      <c r="L90" s="117">
        <v>1</v>
      </c>
      <c r="M90" s="116">
        <v>7</v>
      </c>
      <c r="N90" s="116">
        <v>6</v>
      </c>
      <c r="O90" s="116">
        <v>0</v>
      </c>
      <c r="P90" s="43">
        <v>7</v>
      </c>
      <c r="Q90" s="116">
        <v>7</v>
      </c>
      <c r="R90" s="116">
        <v>0</v>
      </c>
      <c r="S90" s="116">
        <v>0</v>
      </c>
      <c r="T90" s="116">
        <v>0</v>
      </c>
      <c r="U90" s="116">
        <v>0</v>
      </c>
      <c r="V90" s="116">
        <v>0</v>
      </c>
      <c r="W90" s="116">
        <v>1</v>
      </c>
      <c r="X90" s="116">
        <v>1</v>
      </c>
      <c r="Y90" s="116">
        <v>0</v>
      </c>
      <c r="Z90" s="116">
        <v>3</v>
      </c>
      <c r="AA90" s="116">
        <v>3</v>
      </c>
      <c r="AB90" s="116">
        <v>0</v>
      </c>
      <c r="AC90" s="116">
        <v>0</v>
      </c>
      <c r="AD90" s="116">
        <v>0</v>
      </c>
      <c r="AE90" s="116">
        <v>0</v>
      </c>
      <c r="AF90" s="116">
        <v>9</v>
      </c>
      <c r="AG90" s="116">
        <v>1</v>
      </c>
      <c r="AH90" s="116">
        <v>0</v>
      </c>
      <c r="AI90" s="116">
        <v>1</v>
      </c>
      <c r="AJ90" s="117">
        <v>0</v>
      </c>
      <c r="AK90" s="117">
        <v>5</v>
      </c>
      <c r="AL90" s="117">
        <v>2</v>
      </c>
      <c r="AM90" s="117">
        <v>6</v>
      </c>
      <c r="AN90" s="117">
        <v>25</v>
      </c>
      <c r="AO90" s="117">
        <v>0</v>
      </c>
      <c r="AP90" s="117">
        <v>5</v>
      </c>
      <c r="AQ90" s="117">
        <v>33</v>
      </c>
      <c r="AR90" s="44"/>
      <c r="AS90" s="44"/>
      <c r="AT90" s="46"/>
      <c r="AU90" s="62" t="s">
        <v>887</v>
      </c>
    </row>
    <row r="91" spans="1:47" ht="16.5" customHeight="1">
      <c r="A91" s="76" t="s">
        <v>196</v>
      </c>
      <c r="B91" s="41" t="s">
        <v>882</v>
      </c>
      <c r="C91" s="5" t="s">
        <v>883</v>
      </c>
      <c r="D91" s="77" t="s">
        <v>909</v>
      </c>
      <c r="E91" s="47"/>
      <c r="F91" s="76" t="s">
        <v>197</v>
      </c>
      <c r="G91" s="121" t="s">
        <v>843</v>
      </c>
      <c r="H91" s="122"/>
      <c r="I91" s="123" t="s">
        <v>888</v>
      </c>
      <c r="J91" s="124">
        <v>2</v>
      </c>
      <c r="K91" s="117">
        <v>1</v>
      </c>
      <c r="L91" s="117">
        <v>1</v>
      </c>
      <c r="M91" s="116">
        <v>8</v>
      </c>
      <c r="N91" s="116">
        <v>4</v>
      </c>
      <c r="O91" s="116">
        <v>0</v>
      </c>
      <c r="P91" s="43">
        <v>1</v>
      </c>
      <c r="Q91" s="116">
        <v>1</v>
      </c>
      <c r="R91" s="116">
        <v>0</v>
      </c>
      <c r="S91" s="116">
        <v>0</v>
      </c>
      <c r="T91" s="116">
        <v>0</v>
      </c>
      <c r="U91" s="116">
        <v>0</v>
      </c>
      <c r="V91" s="116">
        <v>0</v>
      </c>
      <c r="W91" s="116">
        <v>0</v>
      </c>
      <c r="X91" s="116">
        <v>0</v>
      </c>
      <c r="Y91" s="116">
        <v>0</v>
      </c>
      <c r="Z91" s="116">
        <v>8</v>
      </c>
      <c r="AA91" s="116">
        <v>1</v>
      </c>
      <c r="AB91" s="116">
        <v>0</v>
      </c>
      <c r="AC91" s="116">
        <v>0</v>
      </c>
      <c r="AD91" s="116">
        <v>2</v>
      </c>
      <c r="AE91" s="116">
        <v>0</v>
      </c>
      <c r="AF91" s="116">
        <v>0</v>
      </c>
      <c r="AG91" s="116">
        <v>0</v>
      </c>
      <c r="AH91" s="116">
        <v>0</v>
      </c>
      <c r="AI91" s="116">
        <v>1</v>
      </c>
      <c r="AJ91" s="117">
        <v>0</v>
      </c>
      <c r="AK91" s="117">
        <v>3</v>
      </c>
      <c r="AL91" s="117">
        <v>0</v>
      </c>
      <c r="AM91" s="117">
        <v>0</v>
      </c>
      <c r="AN91" s="117">
        <v>22</v>
      </c>
      <c r="AO91" s="117">
        <v>0</v>
      </c>
      <c r="AP91" s="117">
        <v>4</v>
      </c>
      <c r="AQ91" s="117">
        <v>22</v>
      </c>
      <c r="AR91" s="44"/>
      <c r="AS91" s="44"/>
      <c r="AT91" s="46"/>
      <c r="AU91" s="62" t="s">
        <v>893</v>
      </c>
    </row>
    <row r="92" spans="1:47" ht="16.5" customHeight="1">
      <c r="A92" s="76" t="s">
        <v>283</v>
      </c>
      <c r="B92" s="41" t="s">
        <v>882</v>
      </c>
      <c r="C92" s="5" t="s">
        <v>883</v>
      </c>
      <c r="D92" s="77" t="s">
        <v>923</v>
      </c>
      <c r="E92" s="48"/>
      <c r="F92" s="76" t="s">
        <v>284</v>
      </c>
      <c r="G92" s="121" t="s">
        <v>843</v>
      </c>
      <c r="H92" s="122"/>
      <c r="I92" s="123" t="s">
        <v>888</v>
      </c>
      <c r="J92" s="124">
        <v>2</v>
      </c>
      <c r="K92" s="117">
        <v>1</v>
      </c>
      <c r="L92" s="117">
        <v>1</v>
      </c>
      <c r="M92" s="116">
        <v>6</v>
      </c>
      <c r="N92" s="116">
        <v>3</v>
      </c>
      <c r="O92" s="116">
        <v>0</v>
      </c>
      <c r="P92" s="43">
        <v>4</v>
      </c>
      <c r="Q92" s="116">
        <v>4</v>
      </c>
      <c r="R92" s="116">
        <v>0</v>
      </c>
      <c r="S92" s="116">
        <v>0</v>
      </c>
      <c r="T92" s="116">
        <v>0</v>
      </c>
      <c r="U92" s="116">
        <v>0</v>
      </c>
      <c r="V92" s="116">
        <v>0</v>
      </c>
      <c r="W92" s="116">
        <v>0</v>
      </c>
      <c r="X92" s="116">
        <v>0</v>
      </c>
      <c r="Y92" s="116">
        <v>0</v>
      </c>
      <c r="Z92" s="116">
        <v>0</v>
      </c>
      <c r="AA92" s="116">
        <v>0</v>
      </c>
      <c r="AB92" s="116">
        <v>0</v>
      </c>
      <c r="AC92" s="116">
        <v>9</v>
      </c>
      <c r="AD92" s="116">
        <v>2</v>
      </c>
      <c r="AE92" s="116">
        <v>0</v>
      </c>
      <c r="AF92" s="116">
        <v>0</v>
      </c>
      <c r="AG92" s="116">
        <v>0</v>
      </c>
      <c r="AH92" s="116">
        <v>0</v>
      </c>
      <c r="AI92" s="116">
        <v>1</v>
      </c>
      <c r="AJ92" s="117">
        <v>0</v>
      </c>
      <c r="AK92" s="117">
        <v>4</v>
      </c>
      <c r="AL92" s="117">
        <v>0</v>
      </c>
      <c r="AM92" s="117">
        <v>0</v>
      </c>
      <c r="AN92" s="117">
        <v>25</v>
      </c>
      <c r="AO92" s="117">
        <v>0</v>
      </c>
      <c r="AP92" s="117">
        <v>4</v>
      </c>
      <c r="AQ92" s="117">
        <v>25</v>
      </c>
      <c r="AR92" s="44"/>
      <c r="AS92" s="44"/>
      <c r="AT92" s="46"/>
      <c r="AU92" s="62" t="s">
        <v>893</v>
      </c>
    </row>
    <row r="93" spans="1:47" ht="16.5" customHeight="1">
      <c r="A93" s="76" t="s">
        <v>395</v>
      </c>
      <c r="B93" s="41" t="s">
        <v>882</v>
      </c>
      <c r="C93" s="5" t="s">
        <v>883</v>
      </c>
      <c r="D93" s="77" t="s">
        <v>923</v>
      </c>
      <c r="E93" s="47"/>
      <c r="F93" s="76" t="s">
        <v>396</v>
      </c>
      <c r="G93" s="121" t="s">
        <v>843</v>
      </c>
      <c r="H93" s="122" t="s">
        <v>842</v>
      </c>
      <c r="I93" s="123" t="s">
        <v>885</v>
      </c>
      <c r="J93" s="124">
        <v>2</v>
      </c>
      <c r="K93" s="117">
        <v>1</v>
      </c>
      <c r="L93" s="117">
        <v>0</v>
      </c>
      <c r="M93" s="116">
        <v>7</v>
      </c>
      <c r="N93" s="116">
        <v>3</v>
      </c>
      <c r="O93" s="116">
        <v>1</v>
      </c>
      <c r="P93" s="43">
        <v>4</v>
      </c>
      <c r="Q93" s="116">
        <v>4</v>
      </c>
      <c r="R93" s="116">
        <v>0</v>
      </c>
      <c r="S93" s="116">
        <v>0</v>
      </c>
      <c r="T93" s="116">
        <v>1</v>
      </c>
      <c r="U93" s="116">
        <v>0</v>
      </c>
      <c r="V93" s="116">
        <v>0</v>
      </c>
      <c r="W93" s="116">
        <v>0</v>
      </c>
      <c r="X93" s="116">
        <v>0</v>
      </c>
      <c r="Y93" s="116">
        <v>0</v>
      </c>
      <c r="Z93" s="116">
        <v>0</v>
      </c>
      <c r="AA93" s="116">
        <v>0</v>
      </c>
      <c r="AB93" s="116">
        <v>0</v>
      </c>
      <c r="AC93" s="116">
        <v>8</v>
      </c>
      <c r="AD93" s="116">
        <v>2</v>
      </c>
      <c r="AE93" s="116">
        <v>4</v>
      </c>
      <c r="AF93" s="116">
        <v>0</v>
      </c>
      <c r="AG93" s="116">
        <v>0</v>
      </c>
      <c r="AH93" s="116">
        <v>0</v>
      </c>
      <c r="AI93" s="116">
        <v>1</v>
      </c>
      <c r="AJ93" s="117">
        <v>0</v>
      </c>
      <c r="AK93" s="117">
        <v>6</v>
      </c>
      <c r="AL93" s="117">
        <v>0</v>
      </c>
      <c r="AM93" s="117">
        <v>16</v>
      </c>
      <c r="AN93" s="117">
        <v>23</v>
      </c>
      <c r="AO93" s="117">
        <v>1</v>
      </c>
      <c r="AP93" s="117">
        <v>4</v>
      </c>
      <c r="AQ93" s="117">
        <v>40</v>
      </c>
      <c r="AR93" s="44"/>
      <c r="AS93" s="44"/>
      <c r="AT93" s="46"/>
      <c r="AU93" s="62" t="s">
        <v>899</v>
      </c>
    </row>
    <row r="94" spans="1:47" ht="16.5" customHeight="1">
      <c r="A94" s="76" t="s">
        <v>587</v>
      </c>
      <c r="B94" s="41" t="s">
        <v>882</v>
      </c>
      <c r="C94" s="5" t="s">
        <v>883</v>
      </c>
      <c r="D94" s="77" t="s">
        <v>923</v>
      </c>
      <c r="E94" s="48"/>
      <c r="F94" s="76" t="s">
        <v>588</v>
      </c>
      <c r="G94" s="121" t="s">
        <v>843</v>
      </c>
      <c r="H94" s="122"/>
      <c r="I94" s="123" t="s">
        <v>885</v>
      </c>
      <c r="J94" s="124">
        <v>2</v>
      </c>
      <c r="K94" s="117">
        <v>0</v>
      </c>
      <c r="L94" s="117">
        <v>0</v>
      </c>
      <c r="M94" s="116">
        <v>13</v>
      </c>
      <c r="N94" s="116">
        <v>3</v>
      </c>
      <c r="O94" s="116">
        <v>1</v>
      </c>
      <c r="P94" s="43">
        <v>0</v>
      </c>
      <c r="Q94" s="116">
        <v>0</v>
      </c>
      <c r="R94" s="116">
        <v>0</v>
      </c>
      <c r="S94" s="116">
        <v>0</v>
      </c>
      <c r="T94" s="116">
        <v>0</v>
      </c>
      <c r="U94" s="116">
        <v>0</v>
      </c>
      <c r="V94" s="116">
        <v>0</v>
      </c>
      <c r="W94" s="116">
        <v>0</v>
      </c>
      <c r="X94" s="116">
        <v>0</v>
      </c>
      <c r="Y94" s="116">
        <v>0</v>
      </c>
      <c r="Z94" s="116">
        <v>9</v>
      </c>
      <c r="AA94" s="116">
        <v>1</v>
      </c>
      <c r="AB94" s="116">
        <v>4</v>
      </c>
      <c r="AC94" s="116">
        <v>0</v>
      </c>
      <c r="AD94" s="116">
        <v>0</v>
      </c>
      <c r="AE94" s="116">
        <v>0</v>
      </c>
      <c r="AF94" s="116">
        <v>1</v>
      </c>
      <c r="AG94" s="116">
        <v>1</v>
      </c>
      <c r="AH94" s="116">
        <v>1</v>
      </c>
      <c r="AI94" s="116">
        <v>1</v>
      </c>
      <c r="AJ94" s="117">
        <v>0</v>
      </c>
      <c r="AK94" s="117">
        <v>5</v>
      </c>
      <c r="AL94" s="117">
        <v>0</v>
      </c>
      <c r="AM94" s="117">
        <v>0</v>
      </c>
      <c r="AN94" s="117">
        <v>22</v>
      </c>
      <c r="AO94" s="117">
        <v>0</v>
      </c>
      <c r="AP94" s="117">
        <v>5</v>
      </c>
      <c r="AQ94" s="117">
        <v>22</v>
      </c>
      <c r="AR94" s="44"/>
      <c r="AS94" s="44"/>
      <c r="AT94" s="46"/>
      <c r="AU94" s="62" t="s">
        <v>924</v>
      </c>
    </row>
    <row r="95" spans="1:47" ht="16.5" customHeight="1">
      <c r="A95" s="76" t="s">
        <v>286</v>
      </c>
      <c r="B95" s="41" t="s">
        <v>882</v>
      </c>
      <c r="C95" s="5" t="s">
        <v>883</v>
      </c>
      <c r="D95" s="77" t="s">
        <v>923</v>
      </c>
      <c r="E95" s="47"/>
      <c r="F95" s="76" t="s">
        <v>287</v>
      </c>
      <c r="G95" s="121" t="s">
        <v>843</v>
      </c>
      <c r="H95" s="122"/>
      <c r="I95" s="123" t="s">
        <v>888</v>
      </c>
      <c r="J95" s="124">
        <v>2</v>
      </c>
      <c r="K95" s="117">
        <v>1</v>
      </c>
      <c r="L95" s="117">
        <v>1</v>
      </c>
      <c r="M95" s="116">
        <v>5</v>
      </c>
      <c r="N95" s="116">
        <v>3</v>
      </c>
      <c r="O95" s="116">
        <v>0</v>
      </c>
      <c r="P95" s="43">
        <v>3</v>
      </c>
      <c r="Q95" s="116">
        <v>1</v>
      </c>
      <c r="R95" s="116">
        <v>2</v>
      </c>
      <c r="S95" s="116">
        <v>0</v>
      </c>
      <c r="T95" s="116">
        <v>0</v>
      </c>
      <c r="U95" s="116">
        <v>0</v>
      </c>
      <c r="V95" s="116">
        <v>0</v>
      </c>
      <c r="W95" s="116">
        <v>0</v>
      </c>
      <c r="X95" s="116">
        <v>0</v>
      </c>
      <c r="Y95" s="116">
        <v>0</v>
      </c>
      <c r="Z95" s="116">
        <v>0</v>
      </c>
      <c r="AA95" s="116">
        <v>0</v>
      </c>
      <c r="AB95" s="116">
        <v>0</v>
      </c>
      <c r="AC95" s="116">
        <v>5</v>
      </c>
      <c r="AD95" s="116">
        <v>4</v>
      </c>
      <c r="AE95" s="116">
        <v>0</v>
      </c>
      <c r="AF95" s="116">
        <v>0</v>
      </c>
      <c r="AG95" s="116">
        <v>0</v>
      </c>
      <c r="AH95" s="116">
        <v>0</v>
      </c>
      <c r="AI95" s="116">
        <v>1</v>
      </c>
      <c r="AJ95" s="117">
        <v>0</v>
      </c>
      <c r="AK95" s="117">
        <v>4</v>
      </c>
      <c r="AL95" s="117">
        <v>0</v>
      </c>
      <c r="AM95" s="117">
        <v>0</v>
      </c>
      <c r="AN95" s="117">
        <v>13</v>
      </c>
      <c r="AO95" s="117">
        <v>0</v>
      </c>
      <c r="AP95" s="117">
        <v>3</v>
      </c>
      <c r="AQ95" s="117">
        <v>14</v>
      </c>
      <c r="AR95" s="44"/>
      <c r="AS95" s="44"/>
      <c r="AT95" s="46"/>
      <c r="AU95" s="62" t="s">
        <v>901</v>
      </c>
    </row>
    <row r="96" spans="1:47" ht="16.5" customHeight="1">
      <c r="A96" s="76" t="s">
        <v>593</v>
      </c>
      <c r="B96" s="41" t="s">
        <v>882</v>
      </c>
      <c r="C96" s="5" t="s">
        <v>883</v>
      </c>
      <c r="D96" s="77" t="s">
        <v>923</v>
      </c>
      <c r="E96" s="48"/>
      <c r="F96" s="76" t="s">
        <v>594</v>
      </c>
      <c r="G96" s="121" t="s">
        <v>843</v>
      </c>
      <c r="H96" s="122"/>
      <c r="I96" s="123" t="s">
        <v>888</v>
      </c>
      <c r="J96" s="124">
        <v>2</v>
      </c>
      <c r="K96" s="117">
        <v>1</v>
      </c>
      <c r="L96" s="117">
        <v>1</v>
      </c>
      <c r="M96" s="116">
        <v>7</v>
      </c>
      <c r="N96" s="116">
        <v>1</v>
      </c>
      <c r="O96" s="116">
        <v>0</v>
      </c>
      <c r="P96" s="43">
        <v>1</v>
      </c>
      <c r="Q96" s="116">
        <v>0</v>
      </c>
      <c r="R96" s="116">
        <v>1</v>
      </c>
      <c r="S96" s="116">
        <v>0</v>
      </c>
      <c r="T96" s="116">
        <v>0</v>
      </c>
      <c r="U96" s="116">
        <v>0</v>
      </c>
      <c r="V96" s="116">
        <v>0</v>
      </c>
      <c r="W96" s="116">
        <v>1</v>
      </c>
      <c r="X96" s="116">
        <v>0</v>
      </c>
      <c r="Y96" s="116">
        <v>0</v>
      </c>
      <c r="Z96" s="116">
        <v>0</v>
      </c>
      <c r="AA96" s="116">
        <v>0</v>
      </c>
      <c r="AB96" s="116">
        <v>0</v>
      </c>
      <c r="AC96" s="116">
        <v>5</v>
      </c>
      <c r="AD96" s="116">
        <v>1</v>
      </c>
      <c r="AE96" s="116">
        <v>0</v>
      </c>
      <c r="AF96" s="116">
        <v>0</v>
      </c>
      <c r="AG96" s="116">
        <v>0</v>
      </c>
      <c r="AH96" s="116">
        <v>0</v>
      </c>
      <c r="AI96" s="116">
        <v>1</v>
      </c>
      <c r="AJ96" s="117">
        <v>1</v>
      </c>
      <c r="AK96" s="117">
        <v>6</v>
      </c>
      <c r="AL96" s="117">
        <v>0</v>
      </c>
      <c r="AM96" s="117">
        <v>4</v>
      </c>
      <c r="AN96" s="117">
        <v>10</v>
      </c>
      <c r="AO96" s="117">
        <v>0</v>
      </c>
      <c r="AP96" s="117">
        <v>5</v>
      </c>
      <c r="AQ96" s="117">
        <v>17</v>
      </c>
      <c r="AR96" s="44"/>
      <c r="AS96" s="44"/>
      <c r="AT96" s="46"/>
      <c r="AU96" s="62" t="s">
        <v>901</v>
      </c>
    </row>
    <row r="97" spans="1:47" ht="16.5" customHeight="1">
      <c r="A97" s="76" t="s">
        <v>401</v>
      </c>
      <c r="B97" s="41" t="s">
        <v>882</v>
      </c>
      <c r="C97" s="5" t="s">
        <v>883</v>
      </c>
      <c r="D97" s="77" t="s">
        <v>923</v>
      </c>
      <c r="E97" s="47"/>
      <c r="F97" s="76" t="s">
        <v>402</v>
      </c>
      <c r="G97" s="121" t="s">
        <v>843</v>
      </c>
      <c r="H97" s="122"/>
      <c r="I97" s="123" t="s">
        <v>888</v>
      </c>
      <c r="J97" s="124">
        <v>2</v>
      </c>
      <c r="K97" s="117">
        <v>1</v>
      </c>
      <c r="L97" s="117">
        <v>1</v>
      </c>
      <c r="M97" s="116">
        <v>5</v>
      </c>
      <c r="N97" s="116">
        <v>1</v>
      </c>
      <c r="O97" s="116">
        <v>0</v>
      </c>
      <c r="P97" s="43">
        <v>1</v>
      </c>
      <c r="Q97" s="116">
        <v>0</v>
      </c>
      <c r="R97" s="116">
        <v>1</v>
      </c>
      <c r="S97" s="116">
        <v>0</v>
      </c>
      <c r="T97" s="116">
        <v>0</v>
      </c>
      <c r="U97" s="116">
        <v>0</v>
      </c>
      <c r="V97" s="116">
        <v>0</v>
      </c>
      <c r="W97" s="116">
        <v>0</v>
      </c>
      <c r="X97" s="116">
        <v>0</v>
      </c>
      <c r="Y97" s="116">
        <v>0</v>
      </c>
      <c r="Z97" s="116">
        <v>0</v>
      </c>
      <c r="AA97" s="116">
        <v>0</v>
      </c>
      <c r="AB97" s="116">
        <v>0</v>
      </c>
      <c r="AC97" s="116">
        <v>4</v>
      </c>
      <c r="AD97" s="116">
        <v>1</v>
      </c>
      <c r="AE97" s="116">
        <v>0</v>
      </c>
      <c r="AF97" s="116">
        <v>0</v>
      </c>
      <c r="AG97" s="116">
        <v>0</v>
      </c>
      <c r="AH97" s="116">
        <v>0</v>
      </c>
      <c r="AI97" s="116">
        <v>1</v>
      </c>
      <c r="AJ97" s="117">
        <v>1</v>
      </c>
      <c r="AK97" s="117">
        <v>3</v>
      </c>
      <c r="AL97" s="117">
        <v>0</v>
      </c>
      <c r="AM97" s="117">
        <v>2</v>
      </c>
      <c r="AN97" s="117">
        <v>6</v>
      </c>
      <c r="AO97" s="117">
        <v>0</v>
      </c>
      <c r="AP97" s="117">
        <v>2</v>
      </c>
      <c r="AQ97" s="117">
        <v>10</v>
      </c>
      <c r="AR97" s="44"/>
      <c r="AS97" s="44"/>
      <c r="AT97" s="46"/>
      <c r="AU97" s="62" t="s">
        <v>925</v>
      </c>
    </row>
    <row r="98" spans="1:47" ht="16.5" customHeight="1">
      <c r="A98" s="76" t="s">
        <v>609</v>
      </c>
      <c r="B98" s="41" t="s">
        <v>882</v>
      </c>
      <c r="C98" s="5" t="s">
        <v>883</v>
      </c>
      <c r="D98" s="77" t="s">
        <v>923</v>
      </c>
      <c r="E98" s="48"/>
      <c r="F98" s="76" t="s">
        <v>610</v>
      </c>
      <c r="G98" s="121" t="s">
        <v>843</v>
      </c>
      <c r="H98" s="122"/>
      <c r="I98" s="123" t="s">
        <v>885</v>
      </c>
      <c r="J98" s="124">
        <v>2</v>
      </c>
      <c r="K98" s="117">
        <v>1</v>
      </c>
      <c r="L98" s="117">
        <v>2</v>
      </c>
      <c r="M98" s="116">
        <v>8</v>
      </c>
      <c r="N98" s="116">
        <v>1</v>
      </c>
      <c r="O98" s="116">
        <v>0</v>
      </c>
      <c r="P98" s="43">
        <v>8</v>
      </c>
      <c r="Q98" s="116">
        <v>5</v>
      </c>
      <c r="R98" s="116">
        <v>3</v>
      </c>
      <c r="S98" s="116">
        <v>0</v>
      </c>
      <c r="T98" s="116">
        <v>2</v>
      </c>
      <c r="U98" s="116">
        <v>1</v>
      </c>
      <c r="V98" s="116">
        <v>0</v>
      </c>
      <c r="W98" s="116">
        <v>0</v>
      </c>
      <c r="X98" s="116">
        <v>0</v>
      </c>
      <c r="Y98" s="116">
        <v>0</v>
      </c>
      <c r="Z98" s="116">
        <v>0</v>
      </c>
      <c r="AA98" s="116">
        <v>0</v>
      </c>
      <c r="AB98" s="116">
        <v>0</v>
      </c>
      <c r="AC98" s="116">
        <v>0</v>
      </c>
      <c r="AD98" s="116">
        <v>0</v>
      </c>
      <c r="AE98" s="116">
        <v>0</v>
      </c>
      <c r="AF98" s="116">
        <v>10</v>
      </c>
      <c r="AG98" s="116">
        <v>2</v>
      </c>
      <c r="AH98" s="116">
        <v>0</v>
      </c>
      <c r="AI98" s="116">
        <v>1</v>
      </c>
      <c r="AJ98" s="117">
        <v>0</v>
      </c>
      <c r="AK98" s="117">
        <v>10</v>
      </c>
      <c r="AL98" s="117">
        <v>0</v>
      </c>
      <c r="AM98" s="117">
        <v>0</v>
      </c>
      <c r="AN98" s="117">
        <v>70</v>
      </c>
      <c r="AO98" s="117">
        <v>0</v>
      </c>
      <c r="AP98" s="117">
        <v>5</v>
      </c>
      <c r="AQ98" s="117">
        <v>75</v>
      </c>
      <c r="AR98" s="44"/>
      <c r="AS98" s="44"/>
      <c r="AT98" s="46"/>
      <c r="AU98" s="62" t="s">
        <v>887</v>
      </c>
    </row>
    <row r="99" spans="1:47" ht="16.5" customHeight="1">
      <c r="A99" s="76" t="s">
        <v>407</v>
      </c>
      <c r="B99" s="41" t="s">
        <v>882</v>
      </c>
      <c r="C99" s="5" t="s">
        <v>883</v>
      </c>
      <c r="D99" s="77" t="s">
        <v>923</v>
      </c>
      <c r="E99" s="48"/>
      <c r="F99" s="76" t="s">
        <v>408</v>
      </c>
      <c r="G99" s="121" t="s">
        <v>843</v>
      </c>
      <c r="H99" s="122" t="s">
        <v>842</v>
      </c>
      <c r="I99" s="123" t="s">
        <v>888</v>
      </c>
      <c r="J99" s="124">
        <v>2</v>
      </c>
      <c r="K99" s="117">
        <v>0</v>
      </c>
      <c r="L99" s="117">
        <v>1</v>
      </c>
      <c r="M99" s="116">
        <v>11</v>
      </c>
      <c r="N99" s="116">
        <v>2</v>
      </c>
      <c r="O99" s="116">
        <v>1</v>
      </c>
      <c r="P99" s="43">
        <v>3</v>
      </c>
      <c r="Q99" s="116">
        <v>1</v>
      </c>
      <c r="R99" s="116">
        <v>2</v>
      </c>
      <c r="S99" s="116">
        <v>0</v>
      </c>
      <c r="T99" s="116">
        <v>1</v>
      </c>
      <c r="U99" s="116">
        <v>0</v>
      </c>
      <c r="V99" s="116">
        <v>0</v>
      </c>
      <c r="W99" s="116">
        <v>1</v>
      </c>
      <c r="X99" s="116">
        <v>0</v>
      </c>
      <c r="Y99" s="116">
        <v>0</v>
      </c>
      <c r="Z99" s="116">
        <v>0</v>
      </c>
      <c r="AA99" s="116">
        <v>0</v>
      </c>
      <c r="AB99" s="116">
        <v>0</v>
      </c>
      <c r="AC99" s="116">
        <v>8</v>
      </c>
      <c r="AD99" s="116">
        <v>3</v>
      </c>
      <c r="AE99" s="116">
        <v>4</v>
      </c>
      <c r="AF99" s="116">
        <v>0</v>
      </c>
      <c r="AG99" s="116">
        <v>0</v>
      </c>
      <c r="AH99" s="116">
        <v>0</v>
      </c>
      <c r="AI99" s="116">
        <v>1</v>
      </c>
      <c r="AJ99" s="117">
        <v>1</v>
      </c>
      <c r="AK99" s="117">
        <v>7</v>
      </c>
      <c r="AL99" s="117">
        <v>0</v>
      </c>
      <c r="AM99" s="117">
        <v>18</v>
      </c>
      <c r="AN99" s="117">
        <v>38</v>
      </c>
      <c r="AO99" s="117">
        <v>0</v>
      </c>
      <c r="AP99" s="117">
        <v>5</v>
      </c>
      <c r="AQ99" s="117">
        <v>59</v>
      </c>
      <c r="AR99" s="44"/>
      <c r="AS99" s="44"/>
      <c r="AT99" s="46"/>
      <c r="AU99" s="62" t="s">
        <v>887</v>
      </c>
    </row>
    <row r="100" spans="1:47" ht="16.5" customHeight="1">
      <c r="A100" s="76" t="s">
        <v>410</v>
      </c>
      <c r="B100" s="41" t="s">
        <v>882</v>
      </c>
      <c r="C100" s="5" t="s">
        <v>883</v>
      </c>
      <c r="D100" s="77" t="s">
        <v>923</v>
      </c>
      <c r="E100" s="49"/>
      <c r="F100" s="76" t="s">
        <v>411</v>
      </c>
      <c r="G100" s="121" t="s">
        <v>843</v>
      </c>
      <c r="H100" s="122"/>
      <c r="I100" s="123" t="s">
        <v>885</v>
      </c>
      <c r="J100" s="124">
        <v>2</v>
      </c>
      <c r="K100" s="117">
        <v>1</v>
      </c>
      <c r="L100" s="117">
        <v>1</v>
      </c>
      <c r="M100" s="116">
        <v>5</v>
      </c>
      <c r="N100" s="116">
        <v>3</v>
      </c>
      <c r="O100" s="116">
        <v>0</v>
      </c>
      <c r="P100" s="43">
        <v>3</v>
      </c>
      <c r="Q100" s="116">
        <v>3</v>
      </c>
      <c r="R100" s="116">
        <v>0</v>
      </c>
      <c r="S100" s="116">
        <v>0</v>
      </c>
      <c r="T100" s="116">
        <v>0</v>
      </c>
      <c r="U100" s="116">
        <v>0</v>
      </c>
      <c r="V100" s="116">
        <v>0</v>
      </c>
      <c r="W100" s="116">
        <v>0</v>
      </c>
      <c r="X100" s="116">
        <v>0</v>
      </c>
      <c r="Y100" s="116">
        <v>0</v>
      </c>
      <c r="Z100" s="116">
        <v>7</v>
      </c>
      <c r="AA100" s="116">
        <v>2</v>
      </c>
      <c r="AB100" s="116">
        <v>0</v>
      </c>
      <c r="AC100" s="116">
        <v>0</v>
      </c>
      <c r="AD100" s="116">
        <v>0</v>
      </c>
      <c r="AE100" s="116">
        <v>0</v>
      </c>
      <c r="AF100" s="116">
        <v>0</v>
      </c>
      <c r="AG100" s="116">
        <v>0</v>
      </c>
      <c r="AH100" s="116">
        <v>0</v>
      </c>
      <c r="AI100" s="116">
        <v>1</v>
      </c>
      <c r="AJ100" s="117">
        <v>1</v>
      </c>
      <c r="AK100" s="117">
        <v>5</v>
      </c>
      <c r="AL100" s="117">
        <v>0</v>
      </c>
      <c r="AM100" s="117">
        <v>18</v>
      </c>
      <c r="AN100" s="117">
        <v>30</v>
      </c>
      <c r="AO100" s="117">
        <v>1</v>
      </c>
      <c r="AP100" s="117">
        <v>2</v>
      </c>
      <c r="AQ100" s="117">
        <v>51</v>
      </c>
      <c r="AR100" s="44"/>
      <c r="AS100" s="44"/>
      <c r="AT100" s="46"/>
      <c r="AU100" s="62" t="s">
        <v>891</v>
      </c>
    </row>
    <row r="101" spans="1:47" ht="16.5" customHeight="1">
      <c r="A101" s="76" t="s">
        <v>292</v>
      </c>
      <c r="B101" s="41" t="s">
        <v>882</v>
      </c>
      <c r="C101" s="5" t="s">
        <v>883</v>
      </c>
      <c r="D101" s="77" t="s">
        <v>923</v>
      </c>
      <c r="E101" s="48"/>
      <c r="F101" s="76" t="s">
        <v>293</v>
      </c>
      <c r="G101" s="121" t="s">
        <v>843</v>
      </c>
      <c r="H101" s="122" t="s">
        <v>842</v>
      </c>
      <c r="I101" s="123" t="s">
        <v>888</v>
      </c>
      <c r="J101" s="124">
        <v>2</v>
      </c>
      <c r="K101" s="117">
        <v>1</v>
      </c>
      <c r="L101" s="117">
        <v>1</v>
      </c>
      <c r="M101" s="116">
        <v>13</v>
      </c>
      <c r="N101" s="116">
        <v>3</v>
      </c>
      <c r="O101" s="116">
        <v>0</v>
      </c>
      <c r="P101" s="43">
        <v>0</v>
      </c>
      <c r="Q101" s="116">
        <v>0</v>
      </c>
      <c r="R101" s="116">
        <v>0</v>
      </c>
      <c r="S101" s="116">
        <v>0</v>
      </c>
      <c r="T101" s="116">
        <v>0</v>
      </c>
      <c r="U101" s="116">
        <v>0</v>
      </c>
      <c r="V101" s="116">
        <v>0</v>
      </c>
      <c r="W101" s="116">
        <v>0</v>
      </c>
      <c r="X101" s="116">
        <v>0</v>
      </c>
      <c r="Y101" s="116">
        <v>0</v>
      </c>
      <c r="Z101" s="116">
        <v>12</v>
      </c>
      <c r="AA101" s="116">
        <v>2</v>
      </c>
      <c r="AB101" s="116">
        <v>0</v>
      </c>
      <c r="AC101" s="116">
        <v>0</v>
      </c>
      <c r="AD101" s="116">
        <v>0</v>
      </c>
      <c r="AE101" s="116">
        <v>0</v>
      </c>
      <c r="AF101" s="116">
        <v>0</v>
      </c>
      <c r="AG101" s="116">
        <v>0</v>
      </c>
      <c r="AH101" s="116">
        <v>0</v>
      </c>
      <c r="AI101" s="116">
        <v>1</v>
      </c>
      <c r="AJ101" s="117">
        <v>0</v>
      </c>
      <c r="AK101" s="117">
        <v>4</v>
      </c>
      <c r="AL101" s="117">
        <v>2</v>
      </c>
      <c r="AM101" s="117">
        <v>8</v>
      </c>
      <c r="AN101" s="117">
        <v>34</v>
      </c>
      <c r="AO101" s="117">
        <v>2</v>
      </c>
      <c r="AP101" s="117">
        <v>3</v>
      </c>
      <c r="AQ101" s="117">
        <v>42</v>
      </c>
      <c r="AR101" s="44"/>
      <c r="AS101" s="44"/>
      <c r="AT101" s="46"/>
      <c r="AU101" s="62" t="s">
        <v>887</v>
      </c>
    </row>
    <row r="102" spans="1:47" ht="16.5" customHeight="1">
      <c r="A102" s="76" t="s">
        <v>611</v>
      </c>
      <c r="B102" s="41" t="s">
        <v>882</v>
      </c>
      <c r="C102" s="5" t="s">
        <v>883</v>
      </c>
      <c r="D102" s="77" t="s">
        <v>923</v>
      </c>
      <c r="E102" s="49"/>
      <c r="F102" s="76" t="s">
        <v>612</v>
      </c>
      <c r="G102" s="121" t="s">
        <v>843</v>
      </c>
      <c r="H102" s="122" t="s">
        <v>842</v>
      </c>
      <c r="I102" s="123" t="s">
        <v>885</v>
      </c>
      <c r="J102" s="124">
        <v>2</v>
      </c>
      <c r="K102" s="117">
        <v>1</v>
      </c>
      <c r="L102" s="117">
        <v>1</v>
      </c>
      <c r="M102" s="116">
        <v>5</v>
      </c>
      <c r="N102" s="116">
        <v>3</v>
      </c>
      <c r="O102" s="116">
        <v>0</v>
      </c>
      <c r="P102" s="43">
        <v>3</v>
      </c>
      <c r="Q102" s="116">
        <v>1</v>
      </c>
      <c r="R102" s="116">
        <v>2</v>
      </c>
      <c r="S102" s="116">
        <v>0</v>
      </c>
      <c r="T102" s="116">
        <v>0</v>
      </c>
      <c r="U102" s="116">
        <v>0</v>
      </c>
      <c r="V102" s="116">
        <v>0</v>
      </c>
      <c r="W102" s="116">
        <v>0</v>
      </c>
      <c r="X102" s="116">
        <v>0</v>
      </c>
      <c r="Y102" s="116">
        <v>0</v>
      </c>
      <c r="Z102" s="116">
        <v>6</v>
      </c>
      <c r="AA102" s="116">
        <v>4</v>
      </c>
      <c r="AB102" s="116">
        <v>0</v>
      </c>
      <c r="AC102" s="116">
        <v>0</v>
      </c>
      <c r="AD102" s="116">
        <v>0</v>
      </c>
      <c r="AE102" s="116">
        <v>0</v>
      </c>
      <c r="AF102" s="116">
        <v>0</v>
      </c>
      <c r="AG102" s="116">
        <v>0</v>
      </c>
      <c r="AH102" s="116">
        <v>0</v>
      </c>
      <c r="AI102" s="116">
        <v>1</v>
      </c>
      <c r="AJ102" s="117">
        <v>0</v>
      </c>
      <c r="AK102" s="117">
        <v>6</v>
      </c>
      <c r="AL102" s="117">
        <v>1</v>
      </c>
      <c r="AM102" s="117">
        <v>23</v>
      </c>
      <c r="AN102" s="117">
        <v>13</v>
      </c>
      <c r="AO102" s="117">
        <v>0</v>
      </c>
      <c r="AP102" s="117">
        <v>2</v>
      </c>
      <c r="AQ102" s="117">
        <v>40</v>
      </c>
      <c r="AR102" s="44"/>
      <c r="AS102" s="44"/>
      <c r="AT102" s="46"/>
      <c r="AU102" s="62" t="s">
        <v>926</v>
      </c>
    </row>
    <row r="103" spans="1:47" ht="16.5" customHeight="1">
      <c r="A103" s="76" t="s">
        <v>18</v>
      </c>
      <c r="B103" s="41" t="s">
        <v>882</v>
      </c>
      <c r="C103" s="5" t="s">
        <v>883</v>
      </c>
      <c r="D103" s="77" t="s">
        <v>923</v>
      </c>
      <c r="E103" s="47"/>
      <c r="F103" s="76" t="s">
        <v>19</v>
      </c>
      <c r="G103" s="121" t="s">
        <v>843</v>
      </c>
      <c r="H103" s="122" t="s">
        <v>842</v>
      </c>
      <c r="I103" s="123" t="s">
        <v>888</v>
      </c>
      <c r="J103" s="124">
        <v>2</v>
      </c>
      <c r="K103" s="117">
        <v>0</v>
      </c>
      <c r="L103" s="117">
        <v>0</v>
      </c>
      <c r="M103" s="116">
        <v>18</v>
      </c>
      <c r="N103" s="116">
        <v>3</v>
      </c>
      <c r="O103" s="116">
        <v>1</v>
      </c>
      <c r="P103" s="43">
        <v>2</v>
      </c>
      <c r="Q103" s="116">
        <v>2</v>
      </c>
      <c r="R103" s="116">
        <v>0</v>
      </c>
      <c r="S103" s="116">
        <v>0</v>
      </c>
      <c r="T103" s="116">
        <v>1</v>
      </c>
      <c r="U103" s="116">
        <v>1</v>
      </c>
      <c r="V103" s="116">
        <v>1</v>
      </c>
      <c r="W103" s="116">
        <v>0</v>
      </c>
      <c r="X103" s="116">
        <v>0</v>
      </c>
      <c r="Y103" s="116">
        <v>0</v>
      </c>
      <c r="Z103" s="116">
        <v>14</v>
      </c>
      <c r="AA103" s="116">
        <v>2</v>
      </c>
      <c r="AB103" s="116">
        <v>6</v>
      </c>
      <c r="AC103" s="116">
        <v>0</v>
      </c>
      <c r="AD103" s="116">
        <v>0</v>
      </c>
      <c r="AE103" s="116">
        <v>0</v>
      </c>
      <c r="AF103" s="116">
        <v>0</v>
      </c>
      <c r="AG103" s="116">
        <v>0</v>
      </c>
      <c r="AH103" s="116">
        <v>0</v>
      </c>
      <c r="AI103" s="116">
        <v>1</v>
      </c>
      <c r="AJ103" s="117">
        <v>0</v>
      </c>
      <c r="AK103" s="117">
        <v>8</v>
      </c>
      <c r="AL103" s="117">
        <v>0</v>
      </c>
      <c r="AM103" s="117">
        <v>0</v>
      </c>
      <c r="AN103" s="117">
        <v>50</v>
      </c>
      <c r="AO103" s="117">
        <v>0</v>
      </c>
      <c r="AP103" s="117">
        <v>5</v>
      </c>
      <c r="AQ103" s="117">
        <v>53</v>
      </c>
      <c r="AR103" s="44"/>
      <c r="AS103" s="44"/>
      <c r="AT103" s="46"/>
      <c r="AU103" s="62" t="s">
        <v>887</v>
      </c>
    </row>
    <row r="104" spans="1:47" ht="16.5" customHeight="1">
      <c r="A104" s="76" t="s">
        <v>295</v>
      </c>
      <c r="B104" s="41" t="s">
        <v>882</v>
      </c>
      <c r="C104" s="5" t="s">
        <v>883</v>
      </c>
      <c r="D104" s="77" t="s">
        <v>923</v>
      </c>
      <c r="E104" s="48"/>
      <c r="F104" s="76" t="s">
        <v>296</v>
      </c>
      <c r="G104" s="121" t="s">
        <v>843</v>
      </c>
      <c r="H104" s="122" t="s">
        <v>842</v>
      </c>
      <c r="I104" s="123" t="s">
        <v>888</v>
      </c>
      <c r="J104" s="124">
        <v>2</v>
      </c>
      <c r="K104" s="117">
        <v>0</v>
      </c>
      <c r="L104" s="117">
        <v>0</v>
      </c>
      <c r="M104" s="116">
        <v>10</v>
      </c>
      <c r="N104" s="116">
        <v>3</v>
      </c>
      <c r="O104" s="116">
        <v>1</v>
      </c>
      <c r="P104" s="43">
        <v>1</v>
      </c>
      <c r="Q104" s="116">
        <v>0</v>
      </c>
      <c r="R104" s="116">
        <v>1</v>
      </c>
      <c r="S104" s="116">
        <v>0</v>
      </c>
      <c r="T104" s="116">
        <v>0</v>
      </c>
      <c r="U104" s="116">
        <v>0</v>
      </c>
      <c r="V104" s="116">
        <v>0</v>
      </c>
      <c r="W104" s="116">
        <v>0</v>
      </c>
      <c r="X104" s="116">
        <v>0</v>
      </c>
      <c r="Y104" s="116">
        <v>0</v>
      </c>
      <c r="Z104" s="116">
        <v>6</v>
      </c>
      <c r="AA104" s="116">
        <v>3</v>
      </c>
      <c r="AB104" s="116">
        <v>6</v>
      </c>
      <c r="AC104" s="116">
        <v>0</v>
      </c>
      <c r="AD104" s="116">
        <v>0</v>
      </c>
      <c r="AE104" s="116">
        <v>0</v>
      </c>
      <c r="AF104" s="116">
        <v>0</v>
      </c>
      <c r="AG104" s="116">
        <v>0</v>
      </c>
      <c r="AH104" s="116">
        <v>0</v>
      </c>
      <c r="AI104" s="116">
        <v>1</v>
      </c>
      <c r="AJ104" s="117">
        <v>0</v>
      </c>
      <c r="AK104" s="117">
        <v>7</v>
      </c>
      <c r="AL104" s="117">
        <v>0</v>
      </c>
      <c r="AM104" s="117">
        <v>0</v>
      </c>
      <c r="AN104" s="117">
        <v>42</v>
      </c>
      <c r="AO104" s="117">
        <v>0</v>
      </c>
      <c r="AP104" s="117">
        <v>6</v>
      </c>
      <c r="AQ104" s="117">
        <v>44</v>
      </c>
      <c r="AR104" s="44"/>
      <c r="AS104" s="44"/>
      <c r="AT104" s="46"/>
      <c r="AU104" s="62" t="s">
        <v>891</v>
      </c>
    </row>
    <row r="105" spans="1:47" ht="16.5" customHeight="1">
      <c r="A105" s="76" t="s">
        <v>413</v>
      </c>
      <c r="B105" s="41" t="s">
        <v>882</v>
      </c>
      <c r="C105" s="5" t="s">
        <v>883</v>
      </c>
      <c r="D105" s="77" t="s">
        <v>923</v>
      </c>
      <c r="E105" s="47"/>
      <c r="F105" s="76" t="s">
        <v>414</v>
      </c>
      <c r="G105" s="121" t="s">
        <v>843</v>
      </c>
      <c r="H105" s="122" t="s">
        <v>842</v>
      </c>
      <c r="I105" s="123" t="s">
        <v>885</v>
      </c>
      <c r="J105" s="124">
        <v>2</v>
      </c>
      <c r="K105" s="117">
        <v>1</v>
      </c>
      <c r="L105" s="117">
        <v>2</v>
      </c>
      <c r="M105" s="116">
        <v>12</v>
      </c>
      <c r="N105" s="116">
        <v>1</v>
      </c>
      <c r="O105" s="116">
        <v>0</v>
      </c>
      <c r="P105" s="43">
        <v>4</v>
      </c>
      <c r="Q105" s="116">
        <v>1</v>
      </c>
      <c r="R105" s="116">
        <v>3</v>
      </c>
      <c r="S105" s="116">
        <v>0</v>
      </c>
      <c r="T105" s="116">
        <v>0</v>
      </c>
      <c r="U105" s="116">
        <v>0</v>
      </c>
      <c r="V105" s="116">
        <v>0</v>
      </c>
      <c r="W105" s="116">
        <v>0</v>
      </c>
      <c r="X105" s="116">
        <v>0</v>
      </c>
      <c r="Y105" s="116">
        <v>0</v>
      </c>
      <c r="Z105" s="116">
        <v>0</v>
      </c>
      <c r="AA105" s="116">
        <v>0</v>
      </c>
      <c r="AB105" s="116">
        <v>0</v>
      </c>
      <c r="AC105" s="116">
        <v>13</v>
      </c>
      <c r="AD105" s="116">
        <v>3</v>
      </c>
      <c r="AE105" s="116">
        <v>0</v>
      </c>
      <c r="AF105" s="116">
        <v>0</v>
      </c>
      <c r="AG105" s="116">
        <v>0</v>
      </c>
      <c r="AH105" s="116">
        <v>0</v>
      </c>
      <c r="AI105" s="116">
        <v>1</v>
      </c>
      <c r="AJ105" s="117">
        <v>1</v>
      </c>
      <c r="AK105" s="117">
        <v>5</v>
      </c>
      <c r="AL105" s="117">
        <v>0</v>
      </c>
      <c r="AM105" s="117">
        <v>13</v>
      </c>
      <c r="AN105" s="117">
        <v>25</v>
      </c>
      <c r="AO105" s="117">
        <v>0</v>
      </c>
      <c r="AP105" s="117">
        <v>5</v>
      </c>
      <c r="AQ105" s="117">
        <v>39</v>
      </c>
      <c r="AR105" s="44"/>
      <c r="AS105" s="44"/>
      <c r="AT105" s="46"/>
      <c r="AU105" s="62" t="s">
        <v>902</v>
      </c>
    </row>
    <row r="106" spans="1:47" ht="16.5" customHeight="1">
      <c r="A106" s="76" t="s">
        <v>106</v>
      </c>
      <c r="B106" s="41" t="s">
        <v>882</v>
      </c>
      <c r="C106" s="5" t="s">
        <v>883</v>
      </c>
      <c r="D106" s="77" t="s">
        <v>923</v>
      </c>
      <c r="E106" s="48"/>
      <c r="F106" s="76" t="s">
        <v>107</v>
      </c>
      <c r="G106" s="121" t="s">
        <v>843</v>
      </c>
      <c r="H106" s="122" t="s">
        <v>842</v>
      </c>
      <c r="I106" s="123" t="s">
        <v>888</v>
      </c>
      <c r="J106" s="124">
        <v>2</v>
      </c>
      <c r="K106" s="117">
        <v>1</v>
      </c>
      <c r="L106" s="117">
        <v>1</v>
      </c>
      <c r="M106" s="116">
        <v>8</v>
      </c>
      <c r="N106" s="116">
        <v>4</v>
      </c>
      <c r="O106" s="116">
        <v>0</v>
      </c>
      <c r="P106" s="43">
        <v>4</v>
      </c>
      <c r="Q106" s="116">
        <v>4</v>
      </c>
      <c r="R106" s="116">
        <v>0</v>
      </c>
      <c r="S106" s="116">
        <v>0</v>
      </c>
      <c r="T106" s="116">
        <v>2</v>
      </c>
      <c r="U106" s="116">
        <v>2</v>
      </c>
      <c r="V106" s="116">
        <v>0</v>
      </c>
      <c r="W106" s="116">
        <v>0</v>
      </c>
      <c r="X106" s="116">
        <v>0</v>
      </c>
      <c r="Y106" s="116">
        <v>0</v>
      </c>
      <c r="Z106" s="116">
        <v>9</v>
      </c>
      <c r="AA106" s="116">
        <v>1</v>
      </c>
      <c r="AB106" s="116">
        <v>0</v>
      </c>
      <c r="AC106" s="116">
        <v>0</v>
      </c>
      <c r="AD106" s="116">
        <v>0</v>
      </c>
      <c r="AE106" s="116">
        <v>0</v>
      </c>
      <c r="AF106" s="116">
        <v>0</v>
      </c>
      <c r="AG106" s="116">
        <v>0</v>
      </c>
      <c r="AH106" s="116">
        <v>0</v>
      </c>
      <c r="AI106" s="116">
        <v>1</v>
      </c>
      <c r="AJ106" s="117">
        <v>0</v>
      </c>
      <c r="AK106" s="117">
        <v>6</v>
      </c>
      <c r="AL106" s="117">
        <v>0</v>
      </c>
      <c r="AM106" s="117">
        <v>0</v>
      </c>
      <c r="AN106" s="117">
        <v>54</v>
      </c>
      <c r="AO106" s="117">
        <v>0</v>
      </c>
      <c r="AP106" s="117">
        <v>4</v>
      </c>
      <c r="AQ106" s="117">
        <v>56</v>
      </c>
      <c r="AR106" s="44"/>
      <c r="AS106" s="44"/>
      <c r="AT106" s="46"/>
      <c r="AU106" s="62" t="s">
        <v>891</v>
      </c>
    </row>
    <row r="107" spans="1:47" ht="16.5" customHeight="1">
      <c r="A107" s="76" t="s">
        <v>302</v>
      </c>
      <c r="B107" s="41" t="s">
        <v>882</v>
      </c>
      <c r="C107" s="5" t="s">
        <v>883</v>
      </c>
      <c r="D107" s="77" t="s">
        <v>923</v>
      </c>
      <c r="E107" s="49"/>
      <c r="F107" s="76" t="s">
        <v>303</v>
      </c>
      <c r="G107" s="121" t="s">
        <v>843</v>
      </c>
      <c r="H107" s="122" t="s">
        <v>842</v>
      </c>
      <c r="I107" s="123" t="s">
        <v>885</v>
      </c>
      <c r="J107" s="124">
        <v>2</v>
      </c>
      <c r="K107" s="117">
        <v>2</v>
      </c>
      <c r="L107" s="117">
        <v>1</v>
      </c>
      <c r="M107" s="116">
        <v>6</v>
      </c>
      <c r="N107" s="116">
        <v>1</v>
      </c>
      <c r="O107" s="116">
        <v>0</v>
      </c>
      <c r="P107" s="43">
        <v>4</v>
      </c>
      <c r="Q107" s="116">
        <v>2</v>
      </c>
      <c r="R107" s="116">
        <v>2</v>
      </c>
      <c r="S107" s="116">
        <v>0</v>
      </c>
      <c r="T107" s="116">
        <v>0</v>
      </c>
      <c r="U107" s="116">
        <v>1</v>
      </c>
      <c r="V107" s="116">
        <v>0</v>
      </c>
      <c r="W107" s="116">
        <v>1</v>
      </c>
      <c r="X107" s="116">
        <v>0</v>
      </c>
      <c r="Y107" s="116">
        <v>0</v>
      </c>
      <c r="Z107" s="116">
        <v>6</v>
      </c>
      <c r="AA107" s="116">
        <v>1</v>
      </c>
      <c r="AB107" s="116">
        <v>0</v>
      </c>
      <c r="AC107" s="116">
        <v>0</v>
      </c>
      <c r="AD107" s="116">
        <v>0</v>
      </c>
      <c r="AE107" s="116">
        <v>0</v>
      </c>
      <c r="AF107" s="116">
        <v>0</v>
      </c>
      <c r="AG107" s="116">
        <v>0</v>
      </c>
      <c r="AH107" s="116">
        <v>0</v>
      </c>
      <c r="AI107" s="116">
        <v>1</v>
      </c>
      <c r="AJ107" s="117">
        <v>0</v>
      </c>
      <c r="AK107" s="117">
        <v>8</v>
      </c>
      <c r="AL107" s="117">
        <v>0</v>
      </c>
      <c r="AM107" s="117">
        <v>0</v>
      </c>
      <c r="AN107" s="117">
        <v>40</v>
      </c>
      <c r="AO107" s="117">
        <v>0</v>
      </c>
      <c r="AP107" s="117">
        <v>7</v>
      </c>
      <c r="AQ107" s="117">
        <v>41</v>
      </c>
      <c r="AR107" s="44"/>
      <c r="AS107" s="44"/>
      <c r="AT107" s="46"/>
      <c r="AU107" s="62" t="s">
        <v>891</v>
      </c>
    </row>
    <row r="108" spans="1:47" ht="16.5" customHeight="1">
      <c r="A108" s="76" t="s">
        <v>103</v>
      </c>
      <c r="B108" s="41" t="s">
        <v>882</v>
      </c>
      <c r="C108" s="5" t="s">
        <v>883</v>
      </c>
      <c r="D108" s="77" t="s">
        <v>923</v>
      </c>
      <c r="E108" s="47"/>
      <c r="F108" s="76" t="s">
        <v>104</v>
      </c>
      <c r="G108" s="121" t="s">
        <v>843</v>
      </c>
      <c r="H108" s="122" t="s">
        <v>842</v>
      </c>
      <c r="I108" s="123" t="s">
        <v>888</v>
      </c>
      <c r="J108" s="124">
        <v>2</v>
      </c>
      <c r="K108" s="117">
        <v>2</v>
      </c>
      <c r="L108" s="117">
        <v>1</v>
      </c>
      <c r="M108" s="116">
        <v>11</v>
      </c>
      <c r="N108" s="116">
        <v>3</v>
      </c>
      <c r="O108" s="116">
        <v>0</v>
      </c>
      <c r="P108" s="43">
        <v>6</v>
      </c>
      <c r="Q108" s="116">
        <v>4</v>
      </c>
      <c r="R108" s="116">
        <v>2</v>
      </c>
      <c r="S108" s="116">
        <v>0</v>
      </c>
      <c r="T108" s="116">
        <v>3</v>
      </c>
      <c r="U108" s="116">
        <v>2</v>
      </c>
      <c r="V108" s="116">
        <v>0</v>
      </c>
      <c r="W108" s="116">
        <v>0</v>
      </c>
      <c r="X108" s="116">
        <v>0</v>
      </c>
      <c r="Y108" s="116">
        <v>0</v>
      </c>
      <c r="Z108" s="116">
        <v>12</v>
      </c>
      <c r="AA108" s="116">
        <v>2</v>
      </c>
      <c r="AB108" s="116">
        <v>0</v>
      </c>
      <c r="AC108" s="116">
        <v>0</v>
      </c>
      <c r="AD108" s="116">
        <v>0</v>
      </c>
      <c r="AE108" s="116">
        <v>0</v>
      </c>
      <c r="AF108" s="116">
        <v>0</v>
      </c>
      <c r="AG108" s="116">
        <v>0</v>
      </c>
      <c r="AH108" s="116">
        <v>0</v>
      </c>
      <c r="AI108" s="116">
        <v>1</v>
      </c>
      <c r="AJ108" s="117">
        <v>0</v>
      </c>
      <c r="AK108" s="117">
        <v>5</v>
      </c>
      <c r="AL108" s="117">
        <v>0</v>
      </c>
      <c r="AM108" s="117">
        <v>0</v>
      </c>
      <c r="AN108" s="117">
        <v>58</v>
      </c>
      <c r="AO108" s="117">
        <v>0</v>
      </c>
      <c r="AP108" s="117">
        <v>5</v>
      </c>
      <c r="AQ108" s="117">
        <v>60</v>
      </c>
      <c r="AR108" s="44"/>
      <c r="AS108" s="44"/>
      <c r="AT108" s="46"/>
      <c r="AU108" s="62" t="s">
        <v>889</v>
      </c>
    </row>
    <row r="109" spans="1:47" ht="16.5" customHeight="1">
      <c r="A109" s="76" t="s">
        <v>305</v>
      </c>
      <c r="B109" s="41" t="s">
        <v>882</v>
      </c>
      <c r="C109" s="5" t="s">
        <v>883</v>
      </c>
      <c r="D109" s="77" t="s">
        <v>923</v>
      </c>
      <c r="E109" s="47"/>
      <c r="F109" s="76" t="s">
        <v>306</v>
      </c>
      <c r="G109" s="121" t="s">
        <v>843</v>
      </c>
      <c r="H109" s="122" t="s">
        <v>842</v>
      </c>
      <c r="I109" s="123" t="s">
        <v>888</v>
      </c>
      <c r="J109" s="124">
        <v>2</v>
      </c>
      <c r="K109" s="117">
        <v>3</v>
      </c>
      <c r="L109" s="117">
        <v>1</v>
      </c>
      <c r="M109" s="116">
        <v>7</v>
      </c>
      <c r="N109" s="116">
        <v>1</v>
      </c>
      <c r="O109" s="116">
        <v>0</v>
      </c>
      <c r="P109" s="43">
        <v>7</v>
      </c>
      <c r="Q109" s="116">
        <v>5</v>
      </c>
      <c r="R109" s="116">
        <v>2</v>
      </c>
      <c r="S109" s="116">
        <v>0</v>
      </c>
      <c r="T109" s="116">
        <v>2</v>
      </c>
      <c r="U109" s="116">
        <v>1</v>
      </c>
      <c r="V109" s="116">
        <v>0</v>
      </c>
      <c r="W109" s="116">
        <v>0</v>
      </c>
      <c r="X109" s="116">
        <v>0</v>
      </c>
      <c r="Y109" s="116">
        <v>0</v>
      </c>
      <c r="Z109" s="116">
        <v>9</v>
      </c>
      <c r="AA109" s="116">
        <v>1</v>
      </c>
      <c r="AB109" s="116">
        <v>0</v>
      </c>
      <c r="AC109" s="116">
        <v>0</v>
      </c>
      <c r="AD109" s="116">
        <v>0</v>
      </c>
      <c r="AE109" s="116">
        <v>0</v>
      </c>
      <c r="AF109" s="116">
        <v>0</v>
      </c>
      <c r="AG109" s="116">
        <v>0</v>
      </c>
      <c r="AH109" s="116">
        <v>0</v>
      </c>
      <c r="AI109" s="116">
        <v>1</v>
      </c>
      <c r="AJ109" s="117">
        <v>0</v>
      </c>
      <c r="AK109" s="117">
        <v>7</v>
      </c>
      <c r="AL109" s="117">
        <v>0</v>
      </c>
      <c r="AM109" s="117">
        <v>0</v>
      </c>
      <c r="AN109" s="117">
        <v>44</v>
      </c>
      <c r="AO109" s="117">
        <v>0</v>
      </c>
      <c r="AP109" s="117">
        <v>5</v>
      </c>
      <c r="AQ109" s="117">
        <v>46</v>
      </c>
      <c r="AR109" s="44"/>
      <c r="AS109" s="44"/>
      <c r="AT109" s="46"/>
      <c r="AU109" s="62" t="s">
        <v>887</v>
      </c>
    </row>
    <row r="110" spans="1:47" ht="16.5" customHeight="1">
      <c r="A110" s="76" t="s">
        <v>422</v>
      </c>
      <c r="B110" s="41" t="s">
        <v>882</v>
      </c>
      <c r="C110" s="5" t="s">
        <v>883</v>
      </c>
      <c r="D110" s="77" t="s">
        <v>923</v>
      </c>
      <c r="E110" s="48"/>
      <c r="F110" s="76" t="s">
        <v>423</v>
      </c>
      <c r="G110" s="121" t="s">
        <v>843</v>
      </c>
      <c r="H110" s="122" t="s">
        <v>842</v>
      </c>
      <c r="I110" s="123" t="s">
        <v>888</v>
      </c>
      <c r="J110" s="124">
        <v>2</v>
      </c>
      <c r="K110" s="117">
        <v>1</v>
      </c>
      <c r="L110" s="117">
        <v>1</v>
      </c>
      <c r="M110" s="116">
        <v>10</v>
      </c>
      <c r="N110" s="116">
        <v>3</v>
      </c>
      <c r="O110" s="116">
        <v>0</v>
      </c>
      <c r="P110" s="43">
        <v>4</v>
      </c>
      <c r="Q110" s="116">
        <v>2</v>
      </c>
      <c r="R110" s="116">
        <v>2</v>
      </c>
      <c r="S110" s="116">
        <v>0</v>
      </c>
      <c r="T110" s="116">
        <v>0</v>
      </c>
      <c r="U110" s="116">
        <v>0</v>
      </c>
      <c r="V110" s="116">
        <v>0</v>
      </c>
      <c r="W110" s="116">
        <v>1</v>
      </c>
      <c r="X110" s="116">
        <v>0</v>
      </c>
      <c r="Y110" s="116">
        <v>0</v>
      </c>
      <c r="Z110" s="116">
        <v>0</v>
      </c>
      <c r="AA110" s="116">
        <v>0</v>
      </c>
      <c r="AB110" s="116">
        <v>0</v>
      </c>
      <c r="AC110" s="116">
        <v>10</v>
      </c>
      <c r="AD110" s="116">
        <v>5</v>
      </c>
      <c r="AE110" s="116">
        <v>0</v>
      </c>
      <c r="AF110" s="116">
        <v>0</v>
      </c>
      <c r="AG110" s="116">
        <v>0</v>
      </c>
      <c r="AH110" s="116">
        <v>0</v>
      </c>
      <c r="AI110" s="116">
        <v>1</v>
      </c>
      <c r="AJ110" s="117">
        <v>3</v>
      </c>
      <c r="AK110" s="117">
        <v>3</v>
      </c>
      <c r="AL110" s="117">
        <v>0</v>
      </c>
      <c r="AM110" s="117">
        <v>3</v>
      </c>
      <c r="AN110" s="117">
        <v>36</v>
      </c>
      <c r="AO110" s="117">
        <v>0</v>
      </c>
      <c r="AP110" s="117">
        <v>5</v>
      </c>
      <c r="AQ110" s="117">
        <v>41</v>
      </c>
      <c r="AR110" s="44"/>
      <c r="AS110" s="44"/>
      <c r="AT110" s="46"/>
      <c r="AU110" s="62" t="s">
        <v>891</v>
      </c>
    </row>
    <row r="111" spans="1:47" ht="16.5" customHeight="1">
      <c r="A111" s="76" t="s">
        <v>619</v>
      </c>
      <c r="B111" s="41" t="s">
        <v>882</v>
      </c>
      <c r="C111" s="5" t="s">
        <v>883</v>
      </c>
      <c r="D111" s="77" t="s">
        <v>923</v>
      </c>
      <c r="E111" s="48"/>
      <c r="F111" s="76" t="s">
        <v>620</v>
      </c>
      <c r="G111" s="121" t="s">
        <v>843</v>
      </c>
      <c r="H111" s="122" t="s">
        <v>842</v>
      </c>
      <c r="I111" s="123" t="s">
        <v>888</v>
      </c>
      <c r="J111" s="124">
        <v>2</v>
      </c>
      <c r="K111" s="117">
        <v>1</v>
      </c>
      <c r="L111" s="117">
        <v>1</v>
      </c>
      <c r="M111" s="116">
        <v>7</v>
      </c>
      <c r="N111" s="116">
        <v>1</v>
      </c>
      <c r="O111" s="116">
        <v>0</v>
      </c>
      <c r="P111" s="43">
        <v>5</v>
      </c>
      <c r="Q111" s="116">
        <v>2</v>
      </c>
      <c r="R111" s="116">
        <v>3</v>
      </c>
      <c r="S111" s="116">
        <v>0</v>
      </c>
      <c r="T111" s="116">
        <v>0</v>
      </c>
      <c r="U111" s="116">
        <v>0</v>
      </c>
      <c r="V111" s="116">
        <v>0</v>
      </c>
      <c r="W111" s="116">
        <v>0</v>
      </c>
      <c r="X111" s="116">
        <v>0</v>
      </c>
      <c r="Y111" s="116">
        <v>0</v>
      </c>
      <c r="Z111" s="116">
        <v>0</v>
      </c>
      <c r="AA111" s="116">
        <v>0</v>
      </c>
      <c r="AB111" s="116">
        <v>0</v>
      </c>
      <c r="AC111" s="116">
        <v>8</v>
      </c>
      <c r="AD111" s="116">
        <v>3</v>
      </c>
      <c r="AE111" s="116">
        <v>0</v>
      </c>
      <c r="AF111" s="116">
        <v>0</v>
      </c>
      <c r="AG111" s="116">
        <v>0</v>
      </c>
      <c r="AH111" s="116">
        <v>0</v>
      </c>
      <c r="AI111" s="116">
        <v>1</v>
      </c>
      <c r="AJ111" s="117">
        <v>2</v>
      </c>
      <c r="AK111" s="117">
        <v>3</v>
      </c>
      <c r="AL111" s="117">
        <v>0</v>
      </c>
      <c r="AM111" s="117">
        <v>4</v>
      </c>
      <c r="AN111" s="117">
        <v>37</v>
      </c>
      <c r="AO111" s="117">
        <v>0</v>
      </c>
      <c r="AP111" s="117">
        <v>4</v>
      </c>
      <c r="AQ111" s="117">
        <v>42</v>
      </c>
      <c r="AR111" s="44"/>
      <c r="AS111" s="44"/>
      <c r="AT111" s="46"/>
      <c r="AU111" s="62" t="s">
        <v>886</v>
      </c>
    </row>
    <row r="112" spans="1:47" ht="16.5" customHeight="1">
      <c r="A112" s="76" t="s">
        <v>308</v>
      </c>
      <c r="B112" s="41" t="s">
        <v>882</v>
      </c>
      <c r="C112" s="5" t="s">
        <v>883</v>
      </c>
      <c r="D112" s="77" t="s">
        <v>923</v>
      </c>
      <c r="E112" s="47"/>
      <c r="F112" s="76" t="s">
        <v>309</v>
      </c>
      <c r="G112" s="121" t="s">
        <v>843</v>
      </c>
      <c r="H112" s="122"/>
      <c r="I112" s="123" t="s">
        <v>888</v>
      </c>
      <c r="J112" s="124">
        <v>2</v>
      </c>
      <c r="K112" s="117">
        <v>1</v>
      </c>
      <c r="L112" s="117">
        <v>1</v>
      </c>
      <c r="M112" s="116">
        <v>11</v>
      </c>
      <c r="N112" s="116">
        <v>2</v>
      </c>
      <c r="O112" s="116">
        <v>0</v>
      </c>
      <c r="P112" s="43">
        <v>1</v>
      </c>
      <c r="Q112" s="116">
        <v>1</v>
      </c>
      <c r="R112" s="116">
        <v>0</v>
      </c>
      <c r="S112" s="116">
        <v>0</v>
      </c>
      <c r="T112" s="116">
        <v>0</v>
      </c>
      <c r="U112" s="116">
        <v>0</v>
      </c>
      <c r="V112" s="116">
        <v>0</v>
      </c>
      <c r="W112" s="116">
        <v>0</v>
      </c>
      <c r="X112" s="116">
        <v>0</v>
      </c>
      <c r="Y112" s="116">
        <v>0</v>
      </c>
      <c r="Z112" s="116">
        <v>11</v>
      </c>
      <c r="AA112" s="116">
        <v>1</v>
      </c>
      <c r="AB112" s="116">
        <v>0</v>
      </c>
      <c r="AC112" s="116">
        <v>0</v>
      </c>
      <c r="AD112" s="116">
        <v>0</v>
      </c>
      <c r="AE112" s="116">
        <v>0</v>
      </c>
      <c r="AF112" s="116">
        <v>0</v>
      </c>
      <c r="AG112" s="116">
        <v>0</v>
      </c>
      <c r="AH112" s="116">
        <v>0</v>
      </c>
      <c r="AI112" s="116">
        <v>1</v>
      </c>
      <c r="AJ112" s="117">
        <v>0</v>
      </c>
      <c r="AK112" s="117">
        <v>7</v>
      </c>
      <c r="AL112" s="117">
        <v>0</v>
      </c>
      <c r="AM112" s="117">
        <v>0</v>
      </c>
      <c r="AN112" s="117">
        <v>35</v>
      </c>
      <c r="AO112" s="117">
        <v>0</v>
      </c>
      <c r="AP112" s="117">
        <v>6</v>
      </c>
      <c r="AQ112" s="117">
        <v>36</v>
      </c>
      <c r="AR112" s="44"/>
      <c r="AS112" s="44"/>
      <c r="AT112" s="46"/>
      <c r="AU112" s="62" t="s">
        <v>890</v>
      </c>
    </row>
    <row r="113" spans="1:47" ht="16.5" customHeight="1">
      <c r="A113" s="76" t="s">
        <v>311</v>
      </c>
      <c r="B113" s="41" t="s">
        <v>882</v>
      </c>
      <c r="C113" s="5" t="s">
        <v>883</v>
      </c>
      <c r="D113" s="77" t="s">
        <v>923</v>
      </c>
      <c r="E113" s="47"/>
      <c r="F113" s="76" t="s">
        <v>312</v>
      </c>
      <c r="G113" s="121" t="s">
        <v>843</v>
      </c>
      <c r="H113" s="122" t="s">
        <v>842</v>
      </c>
      <c r="I113" s="123" t="s">
        <v>888</v>
      </c>
      <c r="J113" s="124">
        <v>2</v>
      </c>
      <c r="K113" s="117">
        <v>1</v>
      </c>
      <c r="L113" s="117">
        <v>1</v>
      </c>
      <c r="M113" s="116">
        <v>5</v>
      </c>
      <c r="N113" s="116">
        <v>1</v>
      </c>
      <c r="O113" s="116">
        <v>0</v>
      </c>
      <c r="P113" s="43">
        <v>12</v>
      </c>
      <c r="Q113" s="116">
        <v>9</v>
      </c>
      <c r="R113" s="116">
        <v>3</v>
      </c>
      <c r="S113" s="116">
        <v>0</v>
      </c>
      <c r="T113" s="116">
        <v>0</v>
      </c>
      <c r="U113" s="116">
        <v>0</v>
      </c>
      <c r="V113" s="116">
        <v>0</v>
      </c>
      <c r="W113" s="116">
        <v>0</v>
      </c>
      <c r="X113" s="116">
        <v>0</v>
      </c>
      <c r="Y113" s="116">
        <v>0</v>
      </c>
      <c r="Z113" s="116">
        <v>13</v>
      </c>
      <c r="AA113" s="116">
        <v>3</v>
      </c>
      <c r="AB113" s="116">
        <v>0</v>
      </c>
      <c r="AC113" s="116">
        <v>0</v>
      </c>
      <c r="AD113" s="116">
        <v>0</v>
      </c>
      <c r="AE113" s="116">
        <v>0</v>
      </c>
      <c r="AF113" s="116">
        <v>0</v>
      </c>
      <c r="AG113" s="116">
        <v>0</v>
      </c>
      <c r="AH113" s="116">
        <v>0</v>
      </c>
      <c r="AI113" s="116">
        <v>1</v>
      </c>
      <c r="AJ113" s="117">
        <v>0</v>
      </c>
      <c r="AK113" s="117">
        <v>4</v>
      </c>
      <c r="AL113" s="117">
        <v>0</v>
      </c>
      <c r="AM113" s="117">
        <v>0</v>
      </c>
      <c r="AN113" s="117">
        <v>36</v>
      </c>
      <c r="AO113" s="117">
        <v>0</v>
      </c>
      <c r="AP113" s="117">
        <v>4</v>
      </c>
      <c r="AQ113" s="117">
        <v>36</v>
      </c>
      <c r="AR113" s="44"/>
      <c r="AS113" s="44"/>
      <c r="AT113" s="46"/>
      <c r="AU113" s="62" t="s">
        <v>927</v>
      </c>
    </row>
    <row r="114" spans="1:47" ht="16.5" customHeight="1">
      <c r="A114" s="76" t="s">
        <v>425</v>
      </c>
      <c r="B114" s="41" t="s">
        <v>882</v>
      </c>
      <c r="C114" s="5" t="s">
        <v>883</v>
      </c>
      <c r="D114" s="77" t="s">
        <v>923</v>
      </c>
      <c r="E114" s="48"/>
      <c r="F114" s="76" t="s">
        <v>426</v>
      </c>
      <c r="G114" s="121" t="s">
        <v>843</v>
      </c>
      <c r="H114" s="122" t="s">
        <v>842</v>
      </c>
      <c r="I114" s="123" t="s">
        <v>885</v>
      </c>
      <c r="J114" s="124">
        <v>2</v>
      </c>
      <c r="K114" s="117">
        <v>1</v>
      </c>
      <c r="L114" s="117">
        <v>1</v>
      </c>
      <c r="M114" s="116">
        <v>10</v>
      </c>
      <c r="N114" s="116">
        <v>3</v>
      </c>
      <c r="O114" s="116">
        <v>0</v>
      </c>
      <c r="P114" s="43">
        <v>5</v>
      </c>
      <c r="Q114" s="116">
        <v>3</v>
      </c>
      <c r="R114" s="116">
        <v>2</v>
      </c>
      <c r="S114" s="116">
        <v>0</v>
      </c>
      <c r="T114" s="116">
        <v>0</v>
      </c>
      <c r="U114" s="116">
        <v>0</v>
      </c>
      <c r="V114" s="116">
        <v>0</v>
      </c>
      <c r="W114" s="116">
        <v>0</v>
      </c>
      <c r="X114" s="116">
        <v>0</v>
      </c>
      <c r="Y114" s="116">
        <v>0</v>
      </c>
      <c r="Z114" s="116">
        <v>0</v>
      </c>
      <c r="AA114" s="116">
        <v>0</v>
      </c>
      <c r="AB114" s="116">
        <v>0</v>
      </c>
      <c r="AC114" s="116">
        <v>12</v>
      </c>
      <c r="AD114" s="116">
        <v>4</v>
      </c>
      <c r="AE114" s="116">
        <v>0</v>
      </c>
      <c r="AF114" s="116">
        <v>0</v>
      </c>
      <c r="AG114" s="116">
        <v>0</v>
      </c>
      <c r="AH114" s="116">
        <v>0</v>
      </c>
      <c r="AI114" s="116">
        <v>1</v>
      </c>
      <c r="AJ114" s="117">
        <v>2</v>
      </c>
      <c r="AK114" s="117">
        <v>10</v>
      </c>
      <c r="AL114" s="117">
        <v>1</v>
      </c>
      <c r="AM114" s="117">
        <v>9</v>
      </c>
      <c r="AN114" s="117">
        <v>59</v>
      </c>
      <c r="AO114" s="117">
        <v>0</v>
      </c>
      <c r="AP114" s="117">
        <v>9</v>
      </c>
      <c r="AQ114" s="117">
        <v>73</v>
      </c>
      <c r="AR114" s="44"/>
      <c r="AS114" s="44"/>
      <c r="AT114" s="46"/>
      <c r="AU114" s="62" t="s">
        <v>928</v>
      </c>
    </row>
    <row r="115" spans="1:47" ht="16.5" customHeight="1">
      <c r="A115" s="76" t="s">
        <v>314</v>
      </c>
      <c r="B115" s="41" t="s">
        <v>882</v>
      </c>
      <c r="C115" s="5" t="s">
        <v>883</v>
      </c>
      <c r="D115" s="77" t="s">
        <v>923</v>
      </c>
      <c r="E115" s="49"/>
      <c r="F115" s="76" t="s">
        <v>315</v>
      </c>
      <c r="G115" s="121" t="s">
        <v>843</v>
      </c>
      <c r="H115" s="122" t="s">
        <v>842</v>
      </c>
      <c r="I115" s="123" t="s">
        <v>888</v>
      </c>
      <c r="J115" s="124">
        <v>2</v>
      </c>
      <c r="K115" s="117">
        <v>1</v>
      </c>
      <c r="L115" s="117">
        <v>1</v>
      </c>
      <c r="M115" s="116">
        <v>23</v>
      </c>
      <c r="N115" s="116">
        <v>3</v>
      </c>
      <c r="O115" s="116">
        <v>0</v>
      </c>
      <c r="P115" s="43">
        <v>4</v>
      </c>
      <c r="Q115" s="116">
        <v>1</v>
      </c>
      <c r="R115" s="116">
        <v>3</v>
      </c>
      <c r="S115" s="116">
        <v>0</v>
      </c>
      <c r="T115" s="116">
        <v>5</v>
      </c>
      <c r="U115" s="116">
        <v>1</v>
      </c>
      <c r="V115" s="116">
        <v>0</v>
      </c>
      <c r="W115" s="116">
        <v>0</v>
      </c>
      <c r="X115" s="116">
        <v>0</v>
      </c>
      <c r="Y115" s="116">
        <v>0</v>
      </c>
      <c r="Z115" s="116">
        <v>18</v>
      </c>
      <c r="AA115" s="116">
        <v>4</v>
      </c>
      <c r="AB115" s="116">
        <v>0</v>
      </c>
      <c r="AC115" s="116">
        <v>0</v>
      </c>
      <c r="AD115" s="116">
        <v>0</v>
      </c>
      <c r="AE115" s="116">
        <v>0</v>
      </c>
      <c r="AF115" s="116">
        <v>0</v>
      </c>
      <c r="AG115" s="116">
        <v>0</v>
      </c>
      <c r="AH115" s="116">
        <v>0</v>
      </c>
      <c r="AI115" s="116">
        <v>1</v>
      </c>
      <c r="AJ115" s="117">
        <v>0</v>
      </c>
      <c r="AK115" s="117">
        <v>5</v>
      </c>
      <c r="AL115" s="117">
        <v>0</v>
      </c>
      <c r="AM115" s="117">
        <v>0</v>
      </c>
      <c r="AN115" s="117">
        <v>39</v>
      </c>
      <c r="AO115" s="117">
        <v>0</v>
      </c>
      <c r="AP115" s="117">
        <v>5</v>
      </c>
      <c r="AQ115" s="117">
        <v>43</v>
      </c>
      <c r="AR115" s="44"/>
      <c r="AS115" s="44"/>
      <c r="AT115" s="46"/>
      <c r="AU115" s="62" t="s">
        <v>893</v>
      </c>
    </row>
    <row r="116" spans="1:47" ht="16.5" customHeight="1">
      <c r="A116" s="76" t="s">
        <v>431</v>
      </c>
      <c r="B116" s="41" t="s">
        <v>882</v>
      </c>
      <c r="C116" s="5" t="s">
        <v>883</v>
      </c>
      <c r="D116" s="77" t="s">
        <v>923</v>
      </c>
      <c r="E116" s="49"/>
      <c r="F116" s="76" t="s">
        <v>432</v>
      </c>
      <c r="G116" s="121" t="s">
        <v>843</v>
      </c>
      <c r="H116" s="122" t="s">
        <v>842</v>
      </c>
      <c r="I116" s="123" t="s">
        <v>888</v>
      </c>
      <c r="J116" s="124">
        <v>2</v>
      </c>
      <c r="K116" s="117">
        <v>1</v>
      </c>
      <c r="L116" s="117">
        <v>1</v>
      </c>
      <c r="M116" s="116">
        <v>5</v>
      </c>
      <c r="N116" s="116">
        <v>1</v>
      </c>
      <c r="O116" s="116">
        <v>0</v>
      </c>
      <c r="P116" s="43">
        <v>18</v>
      </c>
      <c r="Q116" s="116">
        <v>11</v>
      </c>
      <c r="R116" s="116">
        <v>7</v>
      </c>
      <c r="S116" s="116">
        <v>0</v>
      </c>
      <c r="T116" s="116">
        <v>0</v>
      </c>
      <c r="U116" s="116">
        <v>0</v>
      </c>
      <c r="V116" s="116">
        <v>0</v>
      </c>
      <c r="W116" s="116">
        <v>0</v>
      </c>
      <c r="X116" s="116">
        <v>0</v>
      </c>
      <c r="Y116" s="116">
        <v>0</v>
      </c>
      <c r="Z116" s="116">
        <v>0</v>
      </c>
      <c r="AA116" s="116">
        <v>0</v>
      </c>
      <c r="AB116" s="116">
        <v>0</v>
      </c>
      <c r="AC116" s="116">
        <v>15</v>
      </c>
      <c r="AD116" s="116">
        <v>7</v>
      </c>
      <c r="AE116" s="116">
        <v>0</v>
      </c>
      <c r="AF116" s="116">
        <v>0</v>
      </c>
      <c r="AG116" s="116">
        <v>0</v>
      </c>
      <c r="AH116" s="116">
        <v>0</v>
      </c>
      <c r="AI116" s="116">
        <v>1</v>
      </c>
      <c r="AJ116" s="117">
        <v>3</v>
      </c>
      <c r="AK116" s="117">
        <v>9</v>
      </c>
      <c r="AL116" s="117">
        <v>0</v>
      </c>
      <c r="AM116" s="117">
        <v>16</v>
      </c>
      <c r="AN116" s="117">
        <v>53</v>
      </c>
      <c r="AO116" s="117">
        <v>0</v>
      </c>
      <c r="AP116" s="117">
        <v>11</v>
      </c>
      <c r="AQ116" s="117">
        <v>70</v>
      </c>
      <c r="AR116" s="44"/>
      <c r="AS116" s="44"/>
      <c r="AT116" s="46"/>
      <c r="AU116" s="62" t="s">
        <v>917</v>
      </c>
    </row>
    <row r="117" spans="1:47" ht="16.5" customHeight="1">
      <c r="A117" s="76" t="s">
        <v>625</v>
      </c>
      <c r="B117" s="41" t="s">
        <v>882</v>
      </c>
      <c r="C117" s="5" t="s">
        <v>883</v>
      </c>
      <c r="D117" s="77" t="s">
        <v>923</v>
      </c>
      <c r="E117" s="48"/>
      <c r="F117" s="76" t="s">
        <v>626</v>
      </c>
      <c r="G117" s="121" t="s">
        <v>843</v>
      </c>
      <c r="H117" s="122" t="s">
        <v>842</v>
      </c>
      <c r="I117" s="123" t="s">
        <v>888</v>
      </c>
      <c r="J117" s="124">
        <v>2</v>
      </c>
      <c r="K117" s="117">
        <v>2</v>
      </c>
      <c r="L117" s="117">
        <v>1</v>
      </c>
      <c r="M117" s="116">
        <v>21</v>
      </c>
      <c r="N117" s="116">
        <v>16</v>
      </c>
      <c r="O117" s="116">
        <v>0</v>
      </c>
      <c r="P117" s="43">
        <v>2</v>
      </c>
      <c r="Q117" s="116">
        <v>2</v>
      </c>
      <c r="R117" s="116">
        <v>0</v>
      </c>
      <c r="S117" s="116">
        <v>0</v>
      </c>
      <c r="T117" s="116">
        <v>0</v>
      </c>
      <c r="U117" s="116">
        <v>0</v>
      </c>
      <c r="V117" s="116">
        <v>0</v>
      </c>
      <c r="W117" s="116">
        <v>14</v>
      </c>
      <c r="X117" s="116">
        <v>12</v>
      </c>
      <c r="Y117" s="116">
        <v>0</v>
      </c>
      <c r="Z117" s="116">
        <v>4</v>
      </c>
      <c r="AA117" s="116">
        <v>3</v>
      </c>
      <c r="AB117" s="116">
        <v>0</v>
      </c>
      <c r="AC117" s="116">
        <v>0</v>
      </c>
      <c r="AD117" s="116">
        <v>0</v>
      </c>
      <c r="AE117" s="116">
        <v>0</v>
      </c>
      <c r="AF117" s="116">
        <v>4</v>
      </c>
      <c r="AG117" s="116">
        <v>0</v>
      </c>
      <c r="AH117" s="116">
        <v>0</v>
      </c>
      <c r="AI117" s="116">
        <v>1</v>
      </c>
      <c r="AJ117" s="117">
        <v>0</v>
      </c>
      <c r="AK117" s="117">
        <v>14</v>
      </c>
      <c r="AL117" s="117">
        <v>0</v>
      </c>
      <c r="AM117" s="117">
        <v>0</v>
      </c>
      <c r="AN117" s="117">
        <v>58</v>
      </c>
      <c r="AO117" s="117">
        <v>0</v>
      </c>
      <c r="AP117" s="117">
        <v>14</v>
      </c>
      <c r="AQ117" s="117">
        <v>57</v>
      </c>
      <c r="AR117" s="44"/>
      <c r="AS117" s="44"/>
      <c r="AT117" s="46"/>
      <c r="AU117" s="62" t="s">
        <v>929</v>
      </c>
    </row>
    <row r="118" spans="1:47" ht="16.5" customHeight="1">
      <c r="A118" s="76" t="s">
        <v>317</v>
      </c>
      <c r="B118" s="41" t="s">
        <v>882</v>
      </c>
      <c r="C118" s="5" t="s">
        <v>883</v>
      </c>
      <c r="D118" s="77" t="s">
        <v>923</v>
      </c>
      <c r="E118" s="49"/>
      <c r="F118" s="76" t="s">
        <v>318</v>
      </c>
      <c r="G118" s="121" t="s">
        <v>843</v>
      </c>
      <c r="H118" s="122"/>
      <c r="I118" s="123" t="s">
        <v>888</v>
      </c>
      <c r="J118" s="124">
        <v>2</v>
      </c>
      <c r="K118" s="117">
        <v>1</v>
      </c>
      <c r="L118" s="117">
        <v>1</v>
      </c>
      <c r="M118" s="116">
        <v>9</v>
      </c>
      <c r="N118" s="116">
        <v>2</v>
      </c>
      <c r="O118" s="116">
        <v>0</v>
      </c>
      <c r="P118" s="43">
        <v>3</v>
      </c>
      <c r="Q118" s="116">
        <v>0</v>
      </c>
      <c r="R118" s="116">
        <v>3</v>
      </c>
      <c r="S118" s="116">
        <v>0</v>
      </c>
      <c r="T118" s="116">
        <v>0</v>
      </c>
      <c r="U118" s="116">
        <v>0</v>
      </c>
      <c r="V118" s="116">
        <v>0</v>
      </c>
      <c r="W118" s="116">
        <v>0</v>
      </c>
      <c r="X118" s="116">
        <v>0</v>
      </c>
      <c r="Y118" s="116">
        <v>0</v>
      </c>
      <c r="Z118" s="116">
        <v>8</v>
      </c>
      <c r="AA118" s="116">
        <v>4</v>
      </c>
      <c r="AB118" s="116">
        <v>0</v>
      </c>
      <c r="AC118" s="116">
        <v>0</v>
      </c>
      <c r="AD118" s="116">
        <v>0</v>
      </c>
      <c r="AE118" s="116">
        <v>0</v>
      </c>
      <c r="AF118" s="116">
        <v>0</v>
      </c>
      <c r="AG118" s="116">
        <v>0</v>
      </c>
      <c r="AH118" s="116">
        <v>0</v>
      </c>
      <c r="AI118" s="116">
        <v>1</v>
      </c>
      <c r="AJ118" s="117">
        <v>0</v>
      </c>
      <c r="AK118" s="117">
        <v>6</v>
      </c>
      <c r="AL118" s="117">
        <v>0</v>
      </c>
      <c r="AM118" s="117">
        <v>0</v>
      </c>
      <c r="AN118" s="117">
        <v>25</v>
      </c>
      <c r="AO118" s="117">
        <v>0</v>
      </c>
      <c r="AP118" s="117">
        <v>6</v>
      </c>
      <c r="AQ118" s="117">
        <v>25</v>
      </c>
      <c r="AR118" s="44"/>
      <c r="AS118" s="44"/>
      <c r="AT118" s="46"/>
      <c r="AU118" s="62" t="s">
        <v>889</v>
      </c>
    </row>
    <row r="119" spans="1:47" ht="16.5" customHeight="1">
      <c r="A119" s="76" t="s">
        <v>320</v>
      </c>
      <c r="B119" s="41" t="s">
        <v>882</v>
      </c>
      <c r="C119" s="5" t="s">
        <v>883</v>
      </c>
      <c r="D119" s="77" t="s">
        <v>923</v>
      </c>
      <c r="E119" s="47"/>
      <c r="F119" s="76" t="s">
        <v>321</v>
      </c>
      <c r="G119" s="121" t="s">
        <v>843</v>
      </c>
      <c r="H119" s="122"/>
      <c r="I119" s="123" t="s">
        <v>888</v>
      </c>
      <c r="J119" s="124">
        <v>2</v>
      </c>
      <c r="K119" s="117">
        <v>1</v>
      </c>
      <c r="L119" s="117">
        <v>3</v>
      </c>
      <c r="M119" s="116">
        <v>5</v>
      </c>
      <c r="N119" s="116">
        <v>1</v>
      </c>
      <c r="O119" s="116">
        <v>0</v>
      </c>
      <c r="P119" s="43">
        <v>6</v>
      </c>
      <c r="Q119" s="116">
        <v>4</v>
      </c>
      <c r="R119" s="116">
        <v>2</v>
      </c>
      <c r="S119" s="116">
        <v>0</v>
      </c>
      <c r="T119" s="116">
        <v>1</v>
      </c>
      <c r="U119" s="116">
        <v>0</v>
      </c>
      <c r="V119" s="116">
        <v>0</v>
      </c>
      <c r="W119" s="116">
        <v>0</v>
      </c>
      <c r="X119" s="116">
        <v>0</v>
      </c>
      <c r="Y119" s="116">
        <v>0</v>
      </c>
      <c r="Z119" s="116">
        <v>7</v>
      </c>
      <c r="AA119" s="116">
        <v>2</v>
      </c>
      <c r="AB119" s="116">
        <v>0</v>
      </c>
      <c r="AC119" s="116">
        <v>0</v>
      </c>
      <c r="AD119" s="116">
        <v>0</v>
      </c>
      <c r="AE119" s="116">
        <v>0</v>
      </c>
      <c r="AF119" s="116">
        <v>0</v>
      </c>
      <c r="AG119" s="116">
        <v>0</v>
      </c>
      <c r="AH119" s="116">
        <v>0</v>
      </c>
      <c r="AI119" s="116">
        <v>1</v>
      </c>
      <c r="AJ119" s="117">
        <v>0</v>
      </c>
      <c r="AK119" s="117">
        <v>5</v>
      </c>
      <c r="AL119" s="117">
        <v>0</v>
      </c>
      <c r="AM119" s="117">
        <v>7</v>
      </c>
      <c r="AN119" s="117">
        <v>24</v>
      </c>
      <c r="AO119" s="117">
        <v>0</v>
      </c>
      <c r="AP119" s="117">
        <v>4</v>
      </c>
      <c r="AQ119" s="117">
        <v>32</v>
      </c>
      <c r="AR119" s="44"/>
      <c r="AS119" s="44"/>
      <c r="AT119" s="46"/>
      <c r="AU119" s="62" t="s">
        <v>887</v>
      </c>
    </row>
    <row r="120" spans="1:47" ht="16.5" customHeight="1">
      <c r="A120" s="76" t="s">
        <v>639</v>
      </c>
      <c r="B120" s="41" t="s">
        <v>882</v>
      </c>
      <c r="C120" s="5" t="s">
        <v>883</v>
      </c>
      <c r="D120" s="77" t="s">
        <v>923</v>
      </c>
      <c r="E120" s="48"/>
      <c r="F120" s="76" t="s">
        <v>640</v>
      </c>
      <c r="G120" s="121" t="s">
        <v>843</v>
      </c>
      <c r="H120" s="122" t="s">
        <v>842</v>
      </c>
      <c r="I120" s="123" t="s">
        <v>888</v>
      </c>
      <c r="J120" s="124">
        <v>2</v>
      </c>
      <c r="K120" s="117">
        <v>1</v>
      </c>
      <c r="L120" s="117">
        <v>1</v>
      </c>
      <c r="M120" s="116">
        <v>6</v>
      </c>
      <c r="N120" s="116">
        <v>1</v>
      </c>
      <c r="O120" s="116">
        <v>0</v>
      </c>
      <c r="P120" s="43">
        <v>11</v>
      </c>
      <c r="Q120" s="116">
        <v>9</v>
      </c>
      <c r="R120" s="116">
        <v>2</v>
      </c>
      <c r="S120" s="116">
        <v>0</v>
      </c>
      <c r="T120" s="116">
        <v>1</v>
      </c>
      <c r="U120" s="116">
        <v>0</v>
      </c>
      <c r="V120" s="116">
        <v>0</v>
      </c>
      <c r="W120" s="116">
        <v>0</v>
      </c>
      <c r="X120" s="116">
        <v>0</v>
      </c>
      <c r="Y120" s="116">
        <v>0</v>
      </c>
      <c r="Z120" s="116">
        <v>14</v>
      </c>
      <c r="AA120" s="116">
        <v>2</v>
      </c>
      <c r="AB120" s="116">
        <v>0</v>
      </c>
      <c r="AC120" s="116">
        <v>0</v>
      </c>
      <c r="AD120" s="116">
        <v>0</v>
      </c>
      <c r="AE120" s="116">
        <v>0</v>
      </c>
      <c r="AF120" s="116">
        <v>0</v>
      </c>
      <c r="AG120" s="116">
        <v>0</v>
      </c>
      <c r="AH120" s="116">
        <v>0</v>
      </c>
      <c r="AI120" s="116">
        <v>1</v>
      </c>
      <c r="AJ120" s="117">
        <v>0</v>
      </c>
      <c r="AK120" s="117">
        <v>10</v>
      </c>
      <c r="AL120" s="117">
        <v>0</v>
      </c>
      <c r="AM120" s="117">
        <v>23</v>
      </c>
      <c r="AN120" s="117">
        <v>27</v>
      </c>
      <c r="AO120" s="117">
        <v>0</v>
      </c>
      <c r="AP120" s="117">
        <v>7</v>
      </c>
      <c r="AQ120" s="117">
        <v>54</v>
      </c>
      <c r="AR120" s="44"/>
      <c r="AS120" s="44"/>
      <c r="AT120" s="46"/>
      <c r="AU120" s="62" t="s">
        <v>911</v>
      </c>
    </row>
    <row r="121" spans="1:47" ht="16.5" customHeight="1">
      <c r="A121" s="76" t="s">
        <v>557</v>
      </c>
      <c r="B121" s="41" t="s">
        <v>882</v>
      </c>
      <c r="C121" s="5" t="s">
        <v>883</v>
      </c>
      <c r="D121" s="77" t="s">
        <v>923</v>
      </c>
      <c r="E121" s="48"/>
      <c r="F121" s="76" t="s">
        <v>558</v>
      </c>
      <c r="G121" s="121" t="s">
        <v>843</v>
      </c>
      <c r="H121" s="122" t="s">
        <v>844</v>
      </c>
      <c r="I121" s="123" t="s">
        <v>885</v>
      </c>
      <c r="J121" s="124">
        <v>2</v>
      </c>
      <c r="K121" s="117">
        <v>3</v>
      </c>
      <c r="L121" s="117">
        <v>1</v>
      </c>
      <c r="M121" s="116">
        <v>8</v>
      </c>
      <c r="N121" s="116">
        <v>1</v>
      </c>
      <c r="O121" s="116">
        <v>0</v>
      </c>
      <c r="P121" s="43">
        <v>16</v>
      </c>
      <c r="Q121" s="116">
        <v>14</v>
      </c>
      <c r="R121" s="116">
        <v>2</v>
      </c>
      <c r="S121" s="116">
        <v>0</v>
      </c>
      <c r="T121" s="116">
        <v>6</v>
      </c>
      <c r="U121" s="116">
        <v>1</v>
      </c>
      <c r="V121" s="116">
        <v>0</v>
      </c>
      <c r="W121" s="116">
        <v>0</v>
      </c>
      <c r="X121" s="116">
        <v>0</v>
      </c>
      <c r="Y121" s="116">
        <v>0</v>
      </c>
      <c r="Z121" s="116">
        <v>17</v>
      </c>
      <c r="AA121" s="116">
        <v>2</v>
      </c>
      <c r="AB121" s="116">
        <v>0</v>
      </c>
      <c r="AC121" s="116">
        <v>0</v>
      </c>
      <c r="AD121" s="116">
        <v>0</v>
      </c>
      <c r="AE121" s="116">
        <v>0</v>
      </c>
      <c r="AF121" s="116">
        <v>0</v>
      </c>
      <c r="AG121" s="116">
        <v>0</v>
      </c>
      <c r="AH121" s="116">
        <v>0</v>
      </c>
      <c r="AI121" s="116">
        <v>1</v>
      </c>
      <c r="AJ121" s="117">
        <v>2</v>
      </c>
      <c r="AK121" s="117">
        <v>9</v>
      </c>
      <c r="AL121" s="117">
        <v>0</v>
      </c>
      <c r="AM121" s="117">
        <v>4</v>
      </c>
      <c r="AN121" s="117">
        <v>61</v>
      </c>
      <c r="AO121" s="117">
        <v>0</v>
      </c>
      <c r="AP121" s="117">
        <v>7</v>
      </c>
      <c r="AQ121" s="117">
        <v>70</v>
      </c>
      <c r="AR121" s="44"/>
      <c r="AS121" s="44"/>
      <c r="AT121" s="46"/>
      <c r="AU121" s="62" t="s">
        <v>890</v>
      </c>
    </row>
    <row r="122" spans="1:47" ht="16.5" customHeight="1">
      <c r="A122" s="76" t="s">
        <v>548</v>
      </c>
      <c r="B122" s="41" t="s">
        <v>882</v>
      </c>
      <c r="C122" s="5" t="s">
        <v>883</v>
      </c>
      <c r="D122" s="77" t="s">
        <v>923</v>
      </c>
      <c r="E122" s="48"/>
      <c r="F122" s="76" t="s">
        <v>549</v>
      </c>
      <c r="G122" s="121" t="s">
        <v>843</v>
      </c>
      <c r="H122" s="122" t="s">
        <v>842</v>
      </c>
      <c r="I122" s="123" t="s">
        <v>888</v>
      </c>
      <c r="J122" s="124">
        <v>2</v>
      </c>
      <c r="K122" s="117">
        <v>1</v>
      </c>
      <c r="L122" s="117">
        <v>1</v>
      </c>
      <c r="M122" s="116">
        <v>12</v>
      </c>
      <c r="N122" s="116">
        <v>3</v>
      </c>
      <c r="O122" s="116">
        <v>0</v>
      </c>
      <c r="P122" s="43">
        <v>4</v>
      </c>
      <c r="Q122" s="116">
        <v>4</v>
      </c>
      <c r="R122" s="116">
        <v>0</v>
      </c>
      <c r="S122" s="116">
        <v>0</v>
      </c>
      <c r="T122" s="116">
        <v>0</v>
      </c>
      <c r="U122" s="116">
        <v>1</v>
      </c>
      <c r="V122" s="116">
        <v>0</v>
      </c>
      <c r="W122" s="116">
        <v>0</v>
      </c>
      <c r="X122" s="116">
        <v>0</v>
      </c>
      <c r="Y122" s="116">
        <v>0</v>
      </c>
      <c r="Z122" s="116">
        <v>0</v>
      </c>
      <c r="AA122" s="116">
        <v>0</v>
      </c>
      <c r="AB122" s="116">
        <v>0</v>
      </c>
      <c r="AC122" s="116">
        <v>15</v>
      </c>
      <c r="AD122" s="116">
        <v>1</v>
      </c>
      <c r="AE122" s="116">
        <v>0</v>
      </c>
      <c r="AF122" s="116">
        <v>0</v>
      </c>
      <c r="AG122" s="116">
        <v>0</v>
      </c>
      <c r="AH122" s="116">
        <v>0</v>
      </c>
      <c r="AI122" s="116">
        <v>1</v>
      </c>
      <c r="AJ122" s="117">
        <v>0</v>
      </c>
      <c r="AK122" s="117">
        <v>9</v>
      </c>
      <c r="AL122" s="117">
        <v>0</v>
      </c>
      <c r="AM122" s="117">
        <v>0</v>
      </c>
      <c r="AN122" s="117">
        <v>46</v>
      </c>
      <c r="AO122" s="117">
        <v>0</v>
      </c>
      <c r="AP122" s="117">
        <v>6</v>
      </c>
      <c r="AQ122" s="117">
        <v>49</v>
      </c>
      <c r="AR122" s="44"/>
      <c r="AS122" s="44"/>
      <c r="AT122" s="46"/>
      <c r="AU122" s="62" t="s">
        <v>891</v>
      </c>
    </row>
    <row r="123" spans="1:47" ht="16.5" customHeight="1">
      <c r="A123" s="76" t="s">
        <v>542</v>
      </c>
      <c r="B123" s="41" t="s">
        <v>882</v>
      </c>
      <c r="C123" s="5" t="s">
        <v>883</v>
      </c>
      <c r="D123" s="77" t="s">
        <v>923</v>
      </c>
      <c r="E123" s="49"/>
      <c r="F123" s="76" t="s">
        <v>543</v>
      </c>
      <c r="G123" s="121" t="s">
        <v>843</v>
      </c>
      <c r="H123" s="122" t="s">
        <v>844</v>
      </c>
      <c r="I123" s="123" t="s">
        <v>885</v>
      </c>
      <c r="J123" s="124">
        <v>2</v>
      </c>
      <c r="K123" s="117">
        <v>1</v>
      </c>
      <c r="L123" s="117">
        <v>0</v>
      </c>
      <c r="M123" s="116">
        <v>10</v>
      </c>
      <c r="N123" s="116">
        <v>3</v>
      </c>
      <c r="O123" s="116">
        <v>1</v>
      </c>
      <c r="P123" s="43">
        <v>1</v>
      </c>
      <c r="Q123" s="116">
        <v>1</v>
      </c>
      <c r="R123" s="116">
        <v>0</v>
      </c>
      <c r="S123" s="116">
        <v>0</v>
      </c>
      <c r="T123" s="116">
        <v>4</v>
      </c>
      <c r="U123" s="116">
        <v>2</v>
      </c>
      <c r="V123" s="116">
        <v>0</v>
      </c>
      <c r="W123" s="116">
        <v>0</v>
      </c>
      <c r="X123" s="116">
        <v>0</v>
      </c>
      <c r="Y123" s="116">
        <v>0</v>
      </c>
      <c r="Z123" s="116">
        <v>0</v>
      </c>
      <c r="AA123" s="116">
        <v>0</v>
      </c>
      <c r="AB123" s="116">
        <v>0</v>
      </c>
      <c r="AC123" s="116">
        <v>0</v>
      </c>
      <c r="AD123" s="116">
        <v>0</v>
      </c>
      <c r="AE123" s="116">
        <v>0</v>
      </c>
      <c r="AF123" s="116">
        <v>5</v>
      </c>
      <c r="AG123" s="116">
        <v>1</v>
      </c>
      <c r="AH123" s="116">
        <v>3</v>
      </c>
      <c r="AI123" s="116">
        <v>1</v>
      </c>
      <c r="AJ123" s="117">
        <v>2</v>
      </c>
      <c r="AK123" s="117">
        <v>10</v>
      </c>
      <c r="AL123" s="117">
        <v>0</v>
      </c>
      <c r="AM123" s="117">
        <v>1</v>
      </c>
      <c r="AN123" s="117">
        <v>59</v>
      </c>
      <c r="AO123" s="117">
        <v>0</v>
      </c>
      <c r="AP123" s="117">
        <v>9</v>
      </c>
      <c r="AQ123" s="117">
        <v>63</v>
      </c>
      <c r="AR123" s="44"/>
      <c r="AS123" s="44"/>
      <c r="AT123" s="46"/>
      <c r="AU123" s="62" t="s">
        <v>887</v>
      </c>
    </row>
    <row r="124" spans="1:47" ht="16.5" customHeight="1">
      <c r="A124" s="76" t="s">
        <v>21</v>
      </c>
      <c r="B124" s="41" t="s">
        <v>882</v>
      </c>
      <c r="C124" s="5" t="s">
        <v>883</v>
      </c>
      <c r="D124" s="77" t="s">
        <v>923</v>
      </c>
      <c r="E124" s="49"/>
      <c r="F124" s="76" t="s">
        <v>22</v>
      </c>
      <c r="G124" s="121" t="s">
        <v>843</v>
      </c>
      <c r="H124" s="122" t="s">
        <v>842</v>
      </c>
      <c r="I124" s="123" t="s">
        <v>888</v>
      </c>
      <c r="J124" s="124">
        <v>2</v>
      </c>
      <c r="K124" s="117">
        <v>1</v>
      </c>
      <c r="L124" s="117">
        <v>1</v>
      </c>
      <c r="M124" s="116">
        <v>14</v>
      </c>
      <c r="N124" s="116">
        <v>7</v>
      </c>
      <c r="O124" s="116">
        <v>0</v>
      </c>
      <c r="P124" s="43">
        <v>22</v>
      </c>
      <c r="Q124" s="116">
        <v>22</v>
      </c>
      <c r="R124" s="116">
        <v>0</v>
      </c>
      <c r="S124" s="116">
        <v>0</v>
      </c>
      <c r="T124" s="116">
        <v>0</v>
      </c>
      <c r="U124" s="116">
        <v>0</v>
      </c>
      <c r="V124" s="116">
        <v>0</v>
      </c>
      <c r="W124" s="116">
        <v>0</v>
      </c>
      <c r="X124" s="116">
        <v>0</v>
      </c>
      <c r="Y124" s="116">
        <v>0</v>
      </c>
      <c r="Z124" s="116">
        <v>0</v>
      </c>
      <c r="AA124" s="116">
        <v>0</v>
      </c>
      <c r="AB124" s="116">
        <v>0</v>
      </c>
      <c r="AC124" s="116">
        <v>0</v>
      </c>
      <c r="AD124" s="116">
        <v>0</v>
      </c>
      <c r="AE124" s="116">
        <v>0</v>
      </c>
      <c r="AF124" s="116">
        <v>35</v>
      </c>
      <c r="AG124" s="116">
        <v>7</v>
      </c>
      <c r="AH124" s="116">
        <v>0</v>
      </c>
      <c r="AI124" s="116">
        <v>1</v>
      </c>
      <c r="AJ124" s="117">
        <v>0</v>
      </c>
      <c r="AK124" s="117">
        <v>8</v>
      </c>
      <c r="AL124" s="117">
        <v>0</v>
      </c>
      <c r="AM124" s="117">
        <v>0</v>
      </c>
      <c r="AN124" s="117">
        <v>56</v>
      </c>
      <c r="AO124" s="117">
        <v>0</v>
      </c>
      <c r="AP124" s="117">
        <v>5</v>
      </c>
      <c r="AQ124" s="117">
        <v>59</v>
      </c>
      <c r="AR124" s="44"/>
      <c r="AS124" s="44"/>
      <c r="AT124" s="46"/>
      <c r="AU124" s="62" t="s">
        <v>887</v>
      </c>
    </row>
    <row r="125" spans="1:47" ht="16.5" customHeight="1">
      <c r="A125" s="76" t="s">
        <v>329</v>
      </c>
      <c r="B125" s="41" t="s">
        <v>882</v>
      </c>
      <c r="C125" s="5" t="s">
        <v>883</v>
      </c>
      <c r="D125" s="77" t="s">
        <v>923</v>
      </c>
      <c r="E125" s="47"/>
      <c r="F125" s="76" t="s">
        <v>330</v>
      </c>
      <c r="G125" s="121" t="s">
        <v>843</v>
      </c>
      <c r="H125" s="122" t="s">
        <v>842</v>
      </c>
      <c r="I125" s="123" t="s">
        <v>888</v>
      </c>
      <c r="J125" s="124">
        <v>2</v>
      </c>
      <c r="K125" s="117">
        <v>1</v>
      </c>
      <c r="L125" s="117">
        <v>1</v>
      </c>
      <c r="M125" s="116">
        <v>5</v>
      </c>
      <c r="N125" s="116">
        <v>2</v>
      </c>
      <c r="O125" s="116">
        <v>0</v>
      </c>
      <c r="P125" s="43">
        <v>6</v>
      </c>
      <c r="Q125" s="116">
        <v>6</v>
      </c>
      <c r="R125" s="116">
        <v>0</v>
      </c>
      <c r="S125" s="116">
        <v>0</v>
      </c>
      <c r="T125" s="116">
        <v>0</v>
      </c>
      <c r="U125" s="116">
        <v>0</v>
      </c>
      <c r="V125" s="116">
        <v>0</v>
      </c>
      <c r="W125" s="116">
        <v>0</v>
      </c>
      <c r="X125" s="116">
        <v>0</v>
      </c>
      <c r="Y125" s="116">
        <v>0</v>
      </c>
      <c r="Z125" s="116">
        <v>10</v>
      </c>
      <c r="AA125" s="116">
        <v>1</v>
      </c>
      <c r="AB125" s="116">
        <v>0</v>
      </c>
      <c r="AC125" s="116">
        <v>0</v>
      </c>
      <c r="AD125" s="116">
        <v>0</v>
      </c>
      <c r="AE125" s="116">
        <v>0</v>
      </c>
      <c r="AF125" s="116">
        <v>0</v>
      </c>
      <c r="AG125" s="116">
        <v>0</v>
      </c>
      <c r="AH125" s="116">
        <v>0</v>
      </c>
      <c r="AI125" s="116">
        <v>1</v>
      </c>
      <c r="AJ125" s="117">
        <v>0</v>
      </c>
      <c r="AK125" s="117">
        <v>6</v>
      </c>
      <c r="AL125" s="117">
        <v>0</v>
      </c>
      <c r="AM125" s="117">
        <v>0</v>
      </c>
      <c r="AN125" s="117">
        <v>47</v>
      </c>
      <c r="AO125" s="117">
        <v>0</v>
      </c>
      <c r="AP125" s="117">
        <v>3</v>
      </c>
      <c r="AQ125" s="117">
        <v>47</v>
      </c>
      <c r="AR125" s="44"/>
      <c r="AS125" s="44"/>
      <c r="AT125" s="46"/>
      <c r="AU125" s="62" t="s">
        <v>921</v>
      </c>
    </row>
    <row r="126" spans="1:47" ht="16.5" customHeight="1">
      <c r="A126" s="76" t="s">
        <v>440</v>
      </c>
      <c r="B126" s="41" t="s">
        <v>882</v>
      </c>
      <c r="C126" s="5" t="s">
        <v>883</v>
      </c>
      <c r="D126" s="77" t="s">
        <v>923</v>
      </c>
      <c r="E126" s="48"/>
      <c r="F126" s="76" t="s">
        <v>441</v>
      </c>
      <c r="G126" s="121" t="s">
        <v>843</v>
      </c>
      <c r="H126" s="122" t="s">
        <v>842</v>
      </c>
      <c r="I126" s="123" t="s">
        <v>888</v>
      </c>
      <c r="J126" s="124">
        <v>2</v>
      </c>
      <c r="K126" s="117">
        <v>0</v>
      </c>
      <c r="L126" s="117">
        <v>0</v>
      </c>
      <c r="M126" s="116">
        <v>8</v>
      </c>
      <c r="N126" s="116">
        <v>3</v>
      </c>
      <c r="O126" s="116">
        <v>1</v>
      </c>
      <c r="P126" s="43">
        <v>1</v>
      </c>
      <c r="Q126" s="116">
        <v>1</v>
      </c>
      <c r="R126" s="116">
        <v>0</v>
      </c>
      <c r="S126" s="116">
        <v>0</v>
      </c>
      <c r="T126" s="116">
        <v>0</v>
      </c>
      <c r="U126" s="116">
        <v>0</v>
      </c>
      <c r="V126" s="116">
        <v>0</v>
      </c>
      <c r="W126" s="116">
        <v>0</v>
      </c>
      <c r="X126" s="116">
        <v>0</v>
      </c>
      <c r="Y126" s="116">
        <v>0</v>
      </c>
      <c r="Z126" s="116">
        <v>8</v>
      </c>
      <c r="AA126" s="116">
        <v>2</v>
      </c>
      <c r="AB126" s="116">
        <v>3</v>
      </c>
      <c r="AC126" s="116">
        <v>0</v>
      </c>
      <c r="AD126" s="116">
        <v>0</v>
      </c>
      <c r="AE126" s="116">
        <v>0</v>
      </c>
      <c r="AF126" s="116">
        <v>0</v>
      </c>
      <c r="AG126" s="116">
        <v>0</v>
      </c>
      <c r="AH126" s="116">
        <v>0</v>
      </c>
      <c r="AI126" s="116">
        <v>1</v>
      </c>
      <c r="AJ126" s="117">
        <v>1</v>
      </c>
      <c r="AK126" s="117">
        <v>12</v>
      </c>
      <c r="AL126" s="117">
        <v>0</v>
      </c>
      <c r="AM126" s="117">
        <v>13</v>
      </c>
      <c r="AN126" s="117">
        <v>43</v>
      </c>
      <c r="AO126" s="117">
        <v>2</v>
      </c>
      <c r="AP126" s="117">
        <v>4</v>
      </c>
      <c r="AQ126" s="117">
        <v>61</v>
      </c>
      <c r="AR126" s="44"/>
      <c r="AS126" s="44"/>
      <c r="AT126" s="46"/>
      <c r="AU126" s="62" t="s">
        <v>930</v>
      </c>
    </row>
    <row r="127" spans="1:47" ht="16.5" customHeight="1">
      <c r="A127" s="76" t="s">
        <v>90</v>
      </c>
      <c r="B127" s="41" t="s">
        <v>882</v>
      </c>
      <c r="C127" s="5" t="s">
        <v>883</v>
      </c>
      <c r="D127" s="77" t="s">
        <v>923</v>
      </c>
      <c r="E127" s="47"/>
      <c r="F127" s="76" t="s">
        <v>91</v>
      </c>
      <c r="G127" s="121" t="s">
        <v>843</v>
      </c>
      <c r="H127" s="122" t="s">
        <v>842</v>
      </c>
      <c r="I127" s="123" t="s">
        <v>888</v>
      </c>
      <c r="J127" s="124">
        <v>2</v>
      </c>
      <c r="K127" s="117">
        <v>0</v>
      </c>
      <c r="L127" s="117">
        <v>0</v>
      </c>
      <c r="M127" s="116">
        <v>14</v>
      </c>
      <c r="N127" s="116">
        <v>5</v>
      </c>
      <c r="O127" s="116">
        <v>1</v>
      </c>
      <c r="P127" s="43">
        <v>0</v>
      </c>
      <c r="Q127" s="116">
        <v>0</v>
      </c>
      <c r="R127" s="116">
        <v>0</v>
      </c>
      <c r="S127" s="116">
        <v>0</v>
      </c>
      <c r="T127" s="116">
        <v>4</v>
      </c>
      <c r="U127" s="116">
        <v>2</v>
      </c>
      <c r="V127" s="116">
        <v>0</v>
      </c>
      <c r="W127" s="116">
        <v>0</v>
      </c>
      <c r="X127" s="116">
        <v>0</v>
      </c>
      <c r="Y127" s="116">
        <v>0</v>
      </c>
      <c r="Z127" s="116">
        <v>8</v>
      </c>
      <c r="AA127" s="116">
        <v>2</v>
      </c>
      <c r="AB127" s="116">
        <v>4</v>
      </c>
      <c r="AC127" s="116">
        <v>0</v>
      </c>
      <c r="AD127" s="116">
        <v>0</v>
      </c>
      <c r="AE127" s="116">
        <v>0</v>
      </c>
      <c r="AF127" s="116">
        <v>0</v>
      </c>
      <c r="AG127" s="116">
        <v>0</v>
      </c>
      <c r="AH127" s="116">
        <v>0</v>
      </c>
      <c r="AI127" s="116">
        <v>1</v>
      </c>
      <c r="AJ127" s="117">
        <v>0</v>
      </c>
      <c r="AK127" s="117">
        <v>11</v>
      </c>
      <c r="AL127" s="117">
        <v>0</v>
      </c>
      <c r="AM127" s="117">
        <v>0</v>
      </c>
      <c r="AN127" s="117">
        <v>54</v>
      </c>
      <c r="AO127" s="117">
        <v>0</v>
      </c>
      <c r="AP127" s="117">
        <v>8</v>
      </c>
      <c r="AQ127" s="117">
        <v>57</v>
      </c>
      <c r="AR127" s="44"/>
      <c r="AS127" s="44"/>
      <c r="AT127" s="46"/>
      <c r="AU127" s="62" t="s">
        <v>887</v>
      </c>
    </row>
    <row r="128" spans="1:47" ht="16.5" customHeight="1">
      <c r="A128" s="76" t="s">
        <v>332</v>
      </c>
      <c r="B128" s="41" t="s">
        <v>882</v>
      </c>
      <c r="C128" s="5" t="s">
        <v>883</v>
      </c>
      <c r="D128" s="77" t="s">
        <v>923</v>
      </c>
      <c r="E128" s="48"/>
      <c r="F128" s="76" t="s">
        <v>333</v>
      </c>
      <c r="G128" s="121" t="s">
        <v>843</v>
      </c>
      <c r="H128" s="122" t="s">
        <v>842</v>
      </c>
      <c r="I128" s="123" t="s">
        <v>888</v>
      </c>
      <c r="J128" s="124">
        <v>2</v>
      </c>
      <c r="K128" s="117">
        <v>2</v>
      </c>
      <c r="L128" s="117">
        <v>0</v>
      </c>
      <c r="M128" s="116">
        <v>14</v>
      </c>
      <c r="N128" s="116">
        <v>3</v>
      </c>
      <c r="O128" s="116">
        <v>1</v>
      </c>
      <c r="P128" s="43">
        <v>2</v>
      </c>
      <c r="Q128" s="116">
        <v>2</v>
      </c>
      <c r="R128" s="116">
        <v>0</v>
      </c>
      <c r="S128" s="116">
        <v>0</v>
      </c>
      <c r="T128" s="116">
        <v>0</v>
      </c>
      <c r="U128" s="116">
        <v>0</v>
      </c>
      <c r="V128" s="116">
        <v>0</v>
      </c>
      <c r="W128" s="116">
        <v>0</v>
      </c>
      <c r="X128" s="116">
        <v>0</v>
      </c>
      <c r="Y128" s="116">
        <v>0</v>
      </c>
      <c r="Z128" s="116">
        <v>13</v>
      </c>
      <c r="AA128" s="116">
        <v>2</v>
      </c>
      <c r="AB128" s="116">
        <v>5</v>
      </c>
      <c r="AC128" s="116">
        <v>0</v>
      </c>
      <c r="AD128" s="116">
        <v>0</v>
      </c>
      <c r="AE128" s="116">
        <v>0</v>
      </c>
      <c r="AF128" s="116">
        <v>0</v>
      </c>
      <c r="AG128" s="116">
        <v>0</v>
      </c>
      <c r="AH128" s="116">
        <v>0</v>
      </c>
      <c r="AI128" s="116">
        <v>1</v>
      </c>
      <c r="AJ128" s="117">
        <v>0</v>
      </c>
      <c r="AK128" s="117">
        <v>6</v>
      </c>
      <c r="AL128" s="117">
        <v>0</v>
      </c>
      <c r="AM128" s="117">
        <v>0</v>
      </c>
      <c r="AN128" s="117">
        <v>41</v>
      </c>
      <c r="AO128" s="117">
        <v>0</v>
      </c>
      <c r="AP128" s="117">
        <v>4</v>
      </c>
      <c r="AQ128" s="117">
        <v>43</v>
      </c>
      <c r="AR128" s="44"/>
      <c r="AS128" s="44"/>
      <c r="AT128" s="46"/>
      <c r="AU128" s="62" t="s">
        <v>897</v>
      </c>
    </row>
    <row r="129" spans="1:47" ht="16.5" customHeight="1">
      <c r="A129" s="76" t="s">
        <v>443</v>
      </c>
      <c r="B129" s="41" t="s">
        <v>882</v>
      </c>
      <c r="C129" s="5" t="s">
        <v>883</v>
      </c>
      <c r="D129" s="77" t="s">
        <v>923</v>
      </c>
      <c r="E129" s="48"/>
      <c r="F129" s="76" t="s">
        <v>444</v>
      </c>
      <c r="G129" s="121" t="s">
        <v>843</v>
      </c>
      <c r="H129" s="122" t="s">
        <v>842</v>
      </c>
      <c r="I129" s="123" t="s">
        <v>888</v>
      </c>
      <c r="J129" s="124">
        <v>2</v>
      </c>
      <c r="K129" s="117">
        <v>1</v>
      </c>
      <c r="L129" s="117">
        <v>1</v>
      </c>
      <c r="M129" s="116">
        <v>4</v>
      </c>
      <c r="N129" s="116">
        <v>1</v>
      </c>
      <c r="O129" s="116">
        <v>0</v>
      </c>
      <c r="P129" s="43">
        <v>7</v>
      </c>
      <c r="Q129" s="116">
        <v>3</v>
      </c>
      <c r="R129" s="116">
        <v>4</v>
      </c>
      <c r="S129" s="116">
        <v>0</v>
      </c>
      <c r="T129" s="116">
        <v>1</v>
      </c>
      <c r="U129" s="116">
        <v>0</v>
      </c>
      <c r="V129" s="116">
        <v>0</v>
      </c>
      <c r="W129" s="116">
        <v>0</v>
      </c>
      <c r="X129" s="116">
        <v>0</v>
      </c>
      <c r="Y129" s="116">
        <v>0</v>
      </c>
      <c r="Z129" s="116">
        <v>2</v>
      </c>
      <c r="AA129" s="116">
        <v>2</v>
      </c>
      <c r="AB129" s="116">
        <v>0</v>
      </c>
      <c r="AC129" s="116">
        <v>0</v>
      </c>
      <c r="AD129" s="116">
        <v>0</v>
      </c>
      <c r="AE129" s="116">
        <v>0</v>
      </c>
      <c r="AF129" s="116">
        <v>4</v>
      </c>
      <c r="AG129" s="116">
        <v>2</v>
      </c>
      <c r="AH129" s="116">
        <v>0</v>
      </c>
      <c r="AI129" s="116">
        <v>1</v>
      </c>
      <c r="AJ129" s="117">
        <v>1</v>
      </c>
      <c r="AK129" s="117">
        <v>6</v>
      </c>
      <c r="AL129" s="117">
        <v>0</v>
      </c>
      <c r="AM129" s="117">
        <v>21</v>
      </c>
      <c r="AN129" s="117">
        <v>27</v>
      </c>
      <c r="AO129" s="117">
        <v>0</v>
      </c>
      <c r="AP129" s="117">
        <v>4</v>
      </c>
      <c r="AQ129" s="117">
        <v>51</v>
      </c>
      <c r="AR129" s="44"/>
      <c r="AS129" s="44"/>
      <c r="AT129" s="46"/>
      <c r="AU129" s="62" t="s">
        <v>894</v>
      </c>
    </row>
    <row r="130" spans="1:47" ht="16.5" customHeight="1">
      <c r="A130" s="76" t="s">
        <v>653</v>
      </c>
      <c r="B130" s="41" t="s">
        <v>882</v>
      </c>
      <c r="C130" s="5" t="s">
        <v>883</v>
      </c>
      <c r="D130" s="77" t="s">
        <v>923</v>
      </c>
      <c r="E130" s="48"/>
      <c r="F130" s="76" t="s">
        <v>654</v>
      </c>
      <c r="G130" s="121" t="s">
        <v>843</v>
      </c>
      <c r="H130" s="122"/>
      <c r="I130" s="123" t="s">
        <v>888</v>
      </c>
      <c r="J130" s="124">
        <v>2</v>
      </c>
      <c r="K130" s="117">
        <v>0</v>
      </c>
      <c r="L130" s="117">
        <v>0</v>
      </c>
      <c r="M130" s="116">
        <v>7</v>
      </c>
      <c r="N130" s="116">
        <v>1</v>
      </c>
      <c r="O130" s="116">
        <v>1</v>
      </c>
      <c r="P130" s="43">
        <v>0</v>
      </c>
      <c r="Q130" s="116">
        <v>0</v>
      </c>
      <c r="R130" s="116">
        <v>0</v>
      </c>
      <c r="S130" s="116">
        <v>0</v>
      </c>
      <c r="T130" s="116">
        <v>0</v>
      </c>
      <c r="U130" s="116">
        <v>0</v>
      </c>
      <c r="V130" s="116">
        <v>0</v>
      </c>
      <c r="W130" s="116">
        <v>0</v>
      </c>
      <c r="X130" s="116">
        <v>0</v>
      </c>
      <c r="Y130" s="116">
        <v>0</v>
      </c>
      <c r="Z130" s="116">
        <v>5</v>
      </c>
      <c r="AA130" s="116">
        <v>1</v>
      </c>
      <c r="AB130" s="116">
        <v>3</v>
      </c>
      <c r="AC130" s="116">
        <v>0</v>
      </c>
      <c r="AD130" s="116">
        <v>0</v>
      </c>
      <c r="AE130" s="116">
        <v>0</v>
      </c>
      <c r="AF130" s="116">
        <v>0</v>
      </c>
      <c r="AG130" s="116">
        <v>0</v>
      </c>
      <c r="AH130" s="116">
        <v>0</v>
      </c>
      <c r="AI130" s="116">
        <v>1</v>
      </c>
      <c r="AJ130" s="117">
        <v>0</v>
      </c>
      <c r="AK130" s="117">
        <v>4</v>
      </c>
      <c r="AL130" s="117">
        <v>0</v>
      </c>
      <c r="AM130" s="117">
        <v>15</v>
      </c>
      <c r="AN130" s="117">
        <v>16</v>
      </c>
      <c r="AO130" s="117">
        <v>0</v>
      </c>
      <c r="AP130" s="117">
        <v>2</v>
      </c>
      <c r="AQ130" s="117">
        <v>32</v>
      </c>
      <c r="AR130" s="44"/>
      <c r="AS130" s="44"/>
      <c r="AT130" s="46"/>
      <c r="AU130" s="62" t="s">
        <v>891</v>
      </c>
    </row>
    <row r="131" spans="1:47" ht="16.5" customHeight="1">
      <c r="A131" s="76" t="s">
        <v>24</v>
      </c>
      <c r="B131" s="41" t="s">
        <v>882</v>
      </c>
      <c r="C131" s="5" t="s">
        <v>883</v>
      </c>
      <c r="D131" s="77" t="s">
        <v>923</v>
      </c>
      <c r="E131" s="48"/>
      <c r="F131" s="76" t="s">
        <v>25</v>
      </c>
      <c r="G131" s="121" t="s">
        <v>843</v>
      </c>
      <c r="H131" s="122" t="s">
        <v>842</v>
      </c>
      <c r="I131" s="123" t="s">
        <v>888</v>
      </c>
      <c r="J131" s="124">
        <v>2</v>
      </c>
      <c r="K131" s="117">
        <v>1</v>
      </c>
      <c r="L131" s="117">
        <v>1</v>
      </c>
      <c r="M131" s="116">
        <v>10</v>
      </c>
      <c r="N131" s="116">
        <v>4</v>
      </c>
      <c r="O131" s="116">
        <v>0</v>
      </c>
      <c r="P131" s="43">
        <v>7</v>
      </c>
      <c r="Q131" s="116">
        <v>6</v>
      </c>
      <c r="R131" s="116">
        <v>1</v>
      </c>
      <c r="S131" s="116">
        <v>0</v>
      </c>
      <c r="T131" s="116">
        <v>0</v>
      </c>
      <c r="U131" s="116">
        <v>0</v>
      </c>
      <c r="V131" s="116">
        <v>0</v>
      </c>
      <c r="W131" s="116">
        <v>0</v>
      </c>
      <c r="X131" s="116">
        <v>0</v>
      </c>
      <c r="Y131" s="116">
        <v>0</v>
      </c>
      <c r="Z131" s="116">
        <v>8</v>
      </c>
      <c r="AA131" s="116">
        <v>2</v>
      </c>
      <c r="AB131" s="116">
        <v>0</v>
      </c>
      <c r="AC131" s="116">
        <v>0</v>
      </c>
      <c r="AD131" s="116">
        <v>0</v>
      </c>
      <c r="AE131" s="116">
        <v>0</v>
      </c>
      <c r="AF131" s="116">
        <v>8</v>
      </c>
      <c r="AG131" s="116">
        <v>2</v>
      </c>
      <c r="AH131" s="116">
        <v>0</v>
      </c>
      <c r="AI131" s="116">
        <v>1</v>
      </c>
      <c r="AJ131" s="117">
        <v>0</v>
      </c>
      <c r="AK131" s="117">
        <v>6</v>
      </c>
      <c r="AL131" s="117">
        <v>0</v>
      </c>
      <c r="AM131" s="117">
        <v>0</v>
      </c>
      <c r="AN131" s="117">
        <v>50</v>
      </c>
      <c r="AO131" s="117">
        <v>0</v>
      </c>
      <c r="AP131" s="117">
        <v>4</v>
      </c>
      <c r="AQ131" s="117">
        <v>52</v>
      </c>
      <c r="AR131" s="44"/>
      <c r="AS131" s="44"/>
      <c r="AT131" s="46"/>
      <c r="AU131" s="62" t="s">
        <v>887</v>
      </c>
    </row>
    <row r="132" spans="1:47" ht="16.5" customHeight="1">
      <c r="A132" s="76" t="s">
        <v>335</v>
      </c>
      <c r="B132" s="41" t="s">
        <v>882</v>
      </c>
      <c r="C132" s="5" t="s">
        <v>883</v>
      </c>
      <c r="D132" s="77" t="s">
        <v>923</v>
      </c>
      <c r="E132" s="48"/>
      <c r="F132" s="76" t="s">
        <v>336</v>
      </c>
      <c r="G132" s="121" t="s">
        <v>843</v>
      </c>
      <c r="H132" s="122"/>
      <c r="I132" s="123" t="s">
        <v>888</v>
      </c>
      <c r="J132" s="124">
        <v>2</v>
      </c>
      <c r="K132" s="117">
        <v>0</v>
      </c>
      <c r="L132" s="117">
        <v>0</v>
      </c>
      <c r="M132" s="116">
        <v>11</v>
      </c>
      <c r="N132" s="116">
        <v>3</v>
      </c>
      <c r="O132" s="116">
        <v>1</v>
      </c>
      <c r="P132" s="43">
        <v>2</v>
      </c>
      <c r="Q132" s="116">
        <v>2</v>
      </c>
      <c r="R132" s="116">
        <v>0</v>
      </c>
      <c r="S132" s="116">
        <v>0</v>
      </c>
      <c r="T132" s="116">
        <v>0</v>
      </c>
      <c r="U132" s="116">
        <v>0</v>
      </c>
      <c r="V132" s="116">
        <v>0</v>
      </c>
      <c r="W132" s="116">
        <v>0</v>
      </c>
      <c r="X132" s="116">
        <v>0</v>
      </c>
      <c r="Y132" s="116">
        <v>0</v>
      </c>
      <c r="Z132" s="116">
        <v>0</v>
      </c>
      <c r="AA132" s="116">
        <v>0</v>
      </c>
      <c r="AB132" s="116">
        <v>0</v>
      </c>
      <c r="AC132" s="116">
        <v>9</v>
      </c>
      <c r="AD132" s="116">
        <v>2</v>
      </c>
      <c r="AE132" s="116">
        <v>5</v>
      </c>
      <c r="AF132" s="116">
        <v>0</v>
      </c>
      <c r="AG132" s="116">
        <v>0</v>
      </c>
      <c r="AH132" s="116">
        <v>0</v>
      </c>
      <c r="AI132" s="116">
        <v>1</v>
      </c>
      <c r="AJ132" s="117">
        <v>0</v>
      </c>
      <c r="AK132" s="117">
        <v>7</v>
      </c>
      <c r="AL132" s="117">
        <v>0</v>
      </c>
      <c r="AM132" s="117">
        <v>0</v>
      </c>
      <c r="AN132" s="117">
        <v>39</v>
      </c>
      <c r="AO132" s="117">
        <v>0</v>
      </c>
      <c r="AP132" s="117">
        <v>6</v>
      </c>
      <c r="AQ132" s="117">
        <v>40</v>
      </c>
      <c r="AR132" s="44"/>
      <c r="AS132" s="44"/>
      <c r="AT132" s="46"/>
      <c r="AU132" s="62" t="s">
        <v>887</v>
      </c>
    </row>
    <row r="133" spans="1:47" ht="16.5" customHeight="1">
      <c r="A133" s="76" t="s">
        <v>655</v>
      </c>
      <c r="B133" s="41" t="s">
        <v>882</v>
      </c>
      <c r="C133" s="5" t="s">
        <v>883</v>
      </c>
      <c r="D133" s="77" t="s">
        <v>923</v>
      </c>
      <c r="E133" s="48"/>
      <c r="F133" s="76" t="s">
        <v>656</v>
      </c>
      <c r="G133" s="121" t="s">
        <v>843</v>
      </c>
      <c r="H133" s="122"/>
      <c r="I133" s="123" t="s">
        <v>888</v>
      </c>
      <c r="J133" s="124">
        <v>2</v>
      </c>
      <c r="K133" s="117">
        <v>2</v>
      </c>
      <c r="L133" s="117">
        <v>1</v>
      </c>
      <c r="M133" s="116">
        <v>9</v>
      </c>
      <c r="N133" s="116">
        <v>2</v>
      </c>
      <c r="O133" s="116">
        <v>0</v>
      </c>
      <c r="P133" s="43">
        <v>7</v>
      </c>
      <c r="Q133" s="116">
        <v>5</v>
      </c>
      <c r="R133" s="116">
        <v>2</v>
      </c>
      <c r="S133" s="116">
        <v>0</v>
      </c>
      <c r="T133" s="116">
        <v>0</v>
      </c>
      <c r="U133" s="116">
        <v>0</v>
      </c>
      <c r="V133" s="116">
        <v>0</v>
      </c>
      <c r="W133" s="116">
        <v>0</v>
      </c>
      <c r="X133" s="116">
        <v>0</v>
      </c>
      <c r="Y133" s="116">
        <v>0</v>
      </c>
      <c r="Z133" s="116">
        <v>13</v>
      </c>
      <c r="AA133" s="116">
        <v>3</v>
      </c>
      <c r="AB133" s="116">
        <v>0</v>
      </c>
      <c r="AC133" s="116">
        <v>0</v>
      </c>
      <c r="AD133" s="116">
        <v>0</v>
      </c>
      <c r="AE133" s="116">
        <v>0</v>
      </c>
      <c r="AF133" s="116">
        <v>0</v>
      </c>
      <c r="AG133" s="116">
        <v>0</v>
      </c>
      <c r="AH133" s="116">
        <v>0</v>
      </c>
      <c r="AI133" s="116">
        <v>1</v>
      </c>
      <c r="AJ133" s="117">
        <v>1</v>
      </c>
      <c r="AK133" s="117">
        <v>6</v>
      </c>
      <c r="AL133" s="117">
        <v>0</v>
      </c>
      <c r="AM133" s="117">
        <v>8</v>
      </c>
      <c r="AN133" s="117">
        <v>29</v>
      </c>
      <c r="AO133" s="117">
        <v>0</v>
      </c>
      <c r="AP133" s="117">
        <v>5</v>
      </c>
      <c r="AQ133" s="117">
        <v>38</v>
      </c>
      <c r="AR133" s="44"/>
      <c r="AS133" s="44"/>
      <c r="AT133" s="46"/>
      <c r="AU133" s="62" t="s">
        <v>886</v>
      </c>
    </row>
    <row r="134" spans="1:47" ht="16.5" customHeight="1">
      <c r="A134" s="76" t="s">
        <v>338</v>
      </c>
      <c r="B134" s="41" t="s">
        <v>882</v>
      </c>
      <c r="C134" s="5" t="s">
        <v>883</v>
      </c>
      <c r="D134" s="77" t="s">
        <v>923</v>
      </c>
      <c r="E134" s="50"/>
      <c r="F134" s="76" t="s">
        <v>339</v>
      </c>
      <c r="G134" s="121" t="s">
        <v>843</v>
      </c>
      <c r="H134" s="122" t="s">
        <v>842</v>
      </c>
      <c r="I134" s="123" t="s">
        <v>888</v>
      </c>
      <c r="J134" s="124">
        <v>2</v>
      </c>
      <c r="K134" s="117">
        <v>0</v>
      </c>
      <c r="L134" s="117">
        <v>0</v>
      </c>
      <c r="M134" s="116">
        <v>13</v>
      </c>
      <c r="N134" s="116">
        <v>5</v>
      </c>
      <c r="O134" s="116">
        <v>1</v>
      </c>
      <c r="P134" s="43">
        <v>2</v>
      </c>
      <c r="Q134" s="116">
        <v>1</v>
      </c>
      <c r="R134" s="116">
        <v>1</v>
      </c>
      <c r="S134" s="116">
        <v>0</v>
      </c>
      <c r="T134" s="116">
        <v>2</v>
      </c>
      <c r="U134" s="116">
        <v>1</v>
      </c>
      <c r="V134" s="116">
        <v>0</v>
      </c>
      <c r="W134" s="116">
        <v>0</v>
      </c>
      <c r="X134" s="116">
        <v>0</v>
      </c>
      <c r="Y134" s="116">
        <v>0</v>
      </c>
      <c r="Z134" s="116">
        <v>10</v>
      </c>
      <c r="AA134" s="116">
        <v>4</v>
      </c>
      <c r="AB134" s="116">
        <v>4</v>
      </c>
      <c r="AC134" s="116">
        <v>0</v>
      </c>
      <c r="AD134" s="116">
        <v>0</v>
      </c>
      <c r="AE134" s="116">
        <v>0</v>
      </c>
      <c r="AF134" s="116">
        <v>0</v>
      </c>
      <c r="AG134" s="116">
        <v>0</v>
      </c>
      <c r="AH134" s="116">
        <v>0</v>
      </c>
      <c r="AI134" s="116">
        <v>1</v>
      </c>
      <c r="AJ134" s="117">
        <v>0</v>
      </c>
      <c r="AK134" s="117">
        <v>9</v>
      </c>
      <c r="AL134" s="117">
        <v>0</v>
      </c>
      <c r="AM134" s="117">
        <v>8</v>
      </c>
      <c r="AN134" s="117">
        <v>58</v>
      </c>
      <c r="AO134" s="117">
        <v>0</v>
      </c>
      <c r="AP134" s="117">
        <v>5</v>
      </c>
      <c r="AQ134" s="117">
        <v>71</v>
      </c>
      <c r="AR134" s="44"/>
      <c r="AS134" s="44"/>
      <c r="AT134" s="46"/>
      <c r="AU134" s="62" t="s">
        <v>902</v>
      </c>
    </row>
    <row r="135" spans="1:47" ht="16.5" customHeight="1">
      <c r="A135" s="76" t="s">
        <v>446</v>
      </c>
      <c r="B135" s="41" t="s">
        <v>882</v>
      </c>
      <c r="C135" s="5" t="s">
        <v>883</v>
      </c>
      <c r="D135" s="77" t="s">
        <v>923</v>
      </c>
      <c r="E135" s="48"/>
      <c r="F135" s="76" t="s">
        <v>447</v>
      </c>
      <c r="G135" s="121" t="s">
        <v>843</v>
      </c>
      <c r="H135" s="122" t="s">
        <v>842</v>
      </c>
      <c r="I135" s="123" t="s">
        <v>888</v>
      </c>
      <c r="J135" s="124">
        <v>2</v>
      </c>
      <c r="K135" s="117">
        <v>2</v>
      </c>
      <c r="L135" s="117">
        <v>1</v>
      </c>
      <c r="M135" s="116">
        <v>6</v>
      </c>
      <c r="N135" s="116">
        <v>2</v>
      </c>
      <c r="O135" s="116">
        <v>0</v>
      </c>
      <c r="P135" s="43">
        <v>4</v>
      </c>
      <c r="Q135" s="116">
        <v>3</v>
      </c>
      <c r="R135" s="116">
        <v>1</v>
      </c>
      <c r="S135" s="116">
        <v>0</v>
      </c>
      <c r="T135" s="116">
        <v>0</v>
      </c>
      <c r="U135" s="116">
        <v>0</v>
      </c>
      <c r="V135" s="116">
        <v>0</v>
      </c>
      <c r="W135" s="116">
        <v>0</v>
      </c>
      <c r="X135" s="116">
        <v>0</v>
      </c>
      <c r="Y135" s="116">
        <v>0</v>
      </c>
      <c r="Z135" s="116">
        <v>8</v>
      </c>
      <c r="AA135" s="116">
        <v>2</v>
      </c>
      <c r="AB135" s="116">
        <v>0</v>
      </c>
      <c r="AC135" s="116">
        <v>0</v>
      </c>
      <c r="AD135" s="116">
        <v>0</v>
      </c>
      <c r="AE135" s="116">
        <v>0</v>
      </c>
      <c r="AF135" s="116">
        <v>0</v>
      </c>
      <c r="AG135" s="116">
        <v>0</v>
      </c>
      <c r="AH135" s="116">
        <v>0</v>
      </c>
      <c r="AI135" s="116">
        <v>1</v>
      </c>
      <c r="AJ135" s="117">
        <v>0</v>
      </c>
      <c r="AK135" s="117">
        <v>9</v>
      </c>
      <c r="AL135" s="117">
        <v>0</v>
      </c>
      <c r="AM135" s="117">
        <v>23</v>
      </c>
      <c r="AN135" s="117">
        <v>21</v>
      </c>
      <c r="AO135" s="117">
        <v>0</v>
      </c>
      <c r="AP135" s="117">
        <v>3</v>
      </c>
      <c r="AQ135" s="117">
        <v>48</v>
      </c>
      <c r="AR135" s="44"/>
      <c r="AS135" s="44"/>
      <c r="AT135" s="46"/>
      <c r="AU135" s="62" t="s">
        <v>895</v>
      </c>
    </row>
    <row r="136" spans="1:47" ht="16.5" customHeight="1">
      <c r="A136" s="76" t="s">
        <v>455</v>
      </c>
      <c r="B136" s="41" t="s">
        <v>882</v>
      </c>
      <c r="C136" s="5" t="s">
        <v>883</v>
      </c>
      <c r="D136" s="77" t="s">
        <v>923</v>
      </c>
      <c r="E136" s="48"/>
      <c r="F136" s="76" t="s">
        <v>456</v>
      </c>
      <c r="G136" s="121" t="s">
        <v>843</v>
      </c>
      <c r="H136" s="122" t="s">
        <v>842</v>
      </c>
      <c r="I136" s="123" t="s">
        <v>888</v>
      </c>
      <c r="J136" s="124">
        <v>2</v>
      </c>
      <c r="K136" s="117">
        <v>1</v>
      </c>
      <c r="L136" s="117">
        <v>1</v>
      </c>
      <c r="M136" s="116">
        <v>11</v>
      </c>
      <c r="N136" s="116">
        <v>2</v>
      </c>
      <c r="O136" s="116">
        <v>0</v>
      </c>
      <c r="P136" s="43">
        <v>6</v>
      </c>
      <c r="Q136" s="116">
        <v>2</v>
      </c>
      <c r="R136" s="116">
        <v>4</v>
      </c>
      <c r="S136" s="116">
        <v>0</v>
      </c>
      <c r="T136" s="116">
        <v>0</v>
      </c>
      <c r="U136" s="116">
        <v>0</v>
      </c>
      <c r="V136" s="116">
        <v>0</v>
      </c>
      <c r="W136" s="116">
        <v>1</v>
      </c>
      <c r="X136" s="116">
        <v>1</v>
      </c>
      <c r="Y136" s="116">
        <v>0</v>
      </c>
      <c r="Z136" s="116">
        <v>11</v>
      </c>
      <c r="AA136" s="116">
        <v>4</v>
      </c>
      <c r="AB136" s="116">
        <v>0</v>
      </c>
      <c r="AC136" s="116">
        <v>0</v>
      </c>
      <c r="AD136" s="116">
        <v>0</v>
      </c>
      <c r="AE136" s="116">
        <v>0</v>
      </c>
      <c r="AF136" s="116">
        <v>0</v>
      </c>
      <c r="AG136" s="116">
        <v>0</v>
      </c>
      <c r="AH136" s="116">
        <v>0</v>
      </c>
      <c r="AI136" s="116">
        <v>1</v>
      </c>
      <c r="AJ136" s="117">
        <v>1</v>
      </c>
      <c r="AK136" s="117">
        <v>8</v>
      </c>
      <c r="AL136" s="117">
        <v>0</v>
      </c>
      <c r="AM136" s="117">
        <v>18</v>
      </c>
      <c r="AN136" s="117">
        <v>28</v>
      </c>
      <c r="AO136" s="117">
        <v>1</v>
      </c>
      <c r="AP136" s="117">
        <v>7</v>
      </c>
      <c r="AQ136" s="117">
        <v>48</v>
      </c>
      <c r="AR136" s="44"/>
      <c r="AS136" s="44"/>
      <c r="AT136" s="46"/>
      <c r="AU136" s="62" t="s">
        <v>887</v>
      </c>
    </row>
    <row r="137" spans="1:47" ht="16.5" customHeight="1">
      <c r="A137" s="76" t="s">
        <v>344</v>
      </c>
      <c r="B137" s="41" t="s">
        <v>882</v>
      </c>
      <c r="C137" s="5" t="s">
        <v>883</v>
      </c>
      <c r="D137" s="77" t="s">
        <v>923</v>
      </c>
      <c r="E137" s="49"/>
      <c r="F137" s="76" t="s">
        <v>345</v>
      </c>
      <c r="G137" s="121" t="s">
        <v>843</v>
      </c>
      <c r="H137" s="122" t="s">
        <v>842</v>
      </c>
      <c r="I137" s="123" t="s">
        <v>888</v>
      </c>
      <c r="J137" s="124">
        <v>2</v>
      </c>
      <c r="K137" s="117">
        <v>0</v>
      </c>
      <c r="L137" s="117">
        <v>0</v>
      </c>
      <c r="M137" s="116">
        <v>10</v>
      </c>
      <c r="N137" s="116">
        <v>2</v>
      </c>
      <c r="O137" s="116">
        <v>1</v>
      </c>
      <c r="P137" s="43">
        <v>1</v>
      </c>
      <c r="Q137" s="116">
        <v>1</v>
      </c>
      <c r="R137" s="116">
        <v>0</v>
      </c>
      <c r="S137" s="116">
        <v>0</v>
      </c>
      <c r="T137" s="116">
        <v>1</v>
      </c>
      <c r="U137" s="116">
        <v>1</v>
      </c>
      <c r="V137" s="116">
        <v>1</v>
      </c>
      <c r="W137" s="116">
        <v>1</v>
      </c>
      <c r="X137" s="116">
        <v>0</v>
      </c>
      <c r="Y137" s="116">
        <v>0</v>
      </c>
      <c r="Z137" s="116">
        <v>7</v>
      </c>
      <c r="AA137" s="116">
        <v>1</v>
      </c>
      <c r="AB137" s="116">
        <v>3</v>
      </c>
      <c r="AC137" s="116">
        <v>0</v>
      </c>
      <c r="AD137" s="116">
        <v>0</v>
      </c>
      <c r="AE137" s="116">
        <v>0</v>
      </c>
      <c r="AF137" s="116">
        <v>0</v>
      </c>
      <c r="AG137" s="116">
        <v>0</v>
      </c>
      <c r="AH137" s="116">
        <v>0</v>
      </c>
      <c r="AI137" s="116">
        <v>1</v>
      </c>
      <c r="AJ137" s="117">
        <v>0</v>
      </c>
      <c r="AK137" s="117">
        <v>8</v>
      </c>
      <c r="AL137" s="117">
        <v>0</v>
      </c>
      <c r="AM137" s="117">
        <v>1</v>
      </c>
      <c r="AN137" s="117">
        <v>46</v>
      </c>
      <c r="AO137" s="117">
        <v>1</v>
      </c>
      <c r="AP137" s="117">
        <v>7</v>
      </c>
      <c r="AQ137" s="117">
        <v>55</v>
      </c>
      <c r="AR137" s="44"/>
      <c r="AS137" s="44"/>
      <c r="AT137" s="46"/>
      <c r="AU137" s="62" t="s">
        <v>889</v>
      </c>
    </row>
    <row r="138" spans="1:47" ht="16.5" customHeight="1">
      <c r="A138" s="76" t="s">
        <v>347</v>
      </c>
      <c r="B138" s="41" t="s">
        <v>882</v>
      </c>
      <c r="C138" s="5" t="s">
        <v>883</v>
      </c>
      <c r="D138" s="77" t="s">
        <v>923</v>
      </c>
      <c r="E138" s="47"/>
      <c r="F138" s="76" t="s">
        <v>348</v>
      </c>
      <c r="G138" s="121" t="s">
        <v>843</v>
      </c>
      <c r="H138" s="122"/>
      <c r="I138" s="123" t="s">
        <v>888</v>
      </c>
      <c r="J138" s="124">
        <v>2</v>
      </c>
      <c r="K138" s="117">
        <v>1</v>
      </c>
      <c r="L138" s="117">
        <v>1</v>
      </c>
      <c r="M138" s="116">
        <v>8</v>
      </c>
      <c r="N138" s="116">
        <v>1</v>
      </c>
      <c r="O138" s="116">
        <v>0</v>
      </c>
      <c r="P138" s="43">
        <v>4</v>
      </c>
      <c r="Q138" s="116">
        <v>2</v>
      </c>
      <c r="R138" s="116">
        <v>2</v>
      </c>
      <c r="S138" s="116">
        <v>0</v>
      </c>
      <c r="T138" s="116">
        <v>0</v>
      </c>
      <c r="U138" s="116">
        <v>1</v>
      </c>
      <c r="V138" s="116">
        <v>0</v>
      </c>
      <c r="W138" s="116">
        <v>0</v>
      </c>
      <c r="X138" s="116">
        <v>0</v>
      </c>
      <c r="Y138" s="116">
        <v>0</v>
      </c>
      <c r="Z138" s="116">
        <v>9</v>
      </c>
      <c r="AA138" s="116">
        <v>1</v>
      </c>
      <c r="AB138" s="116">
        <v>0</v>
      </c>
      <c r="AC138" s="116">
        <v>0</v>
      </c>
      <c r="AD138" s="116">
        <v>0</v>
      </c>
      <c r="AE138" s="116">
        <v>0</v>
      </c>
      <c r="AF138" s="116">
        <v>0</v>
      </c>
      <c r="AG138" s="116">
        <v>0</v>
      </c>
      <c r="AH138" s="116">
        <v>0</v>
      </c>
      <c r="AI138" s="116">
        <v>1</v>
      </c>
      <c r="AJ138" s="117">
        <v>0</v>
      </c>
      <c r="AK138" s="117">
        <v>9</v>
      </c>
      <c r="AL138" s="117">
        <v>0</v>
      </c>
      <c r="AM138" s="117">
        <v>0</v>
      </c>
      <c r="AN138" s="117">
        <v>36</v>
      </c>
      <c r="AO138" s="117">
        <v>0</v>
      </c>
      <c r="AP138" s="117">
        <v>9</v>
      </c>
      <c r="AQ138" s="117">
        <v>36</v>
      </c>
      <c r="AR138" s="44"/>
      <c r="AS138" s="44"/>
      <c r="AT138" s="46"/>
      <c r="AU138" s="62" t="s">
        <v>889</v>
      </c>
    </row>
    <row r="139" spans="1:47" ht="16.5" customHeight="1">
      <c r="A139" s="76" t="s">
        <v>677</v>
      </c>
      <c r="B139" s="41" t="s">
        <v>882</v>
      </c>
      <c r="C139" s="5" t="s">
        <v>883</v>
      </c>
      <c r="D139" s="77" t="s">
        <v>923</v>
      </c>
      <c r="E139" s="48"/>
      <c r="F139" s="76" t="s">
        <v>678</v>
      </c>
      <c r="G139" s="121" t="s">
        <v>843</v>
      </c>
      <c r="H139" s="122"/>
      <c r="I139" s="123" t="s">
        <v>888</v>
      </c>
      <c r="J139" s="124">
        <v>2</v>
      </c>
      <c r="K139" s="117">
        <v>1</v>
      </c>
      <c r="L139" s="117">
        <v>1</v>
      </c>
      <c r="M139" s="116">
        <v>9</v>
      </c>
      <c r="N139" s="116">
        <v>1</v>
      </c>
      <c r="O139" s="116">
        <v>0</v>
      </c>
      <c r="P139" s="43">
        <v>6</v>
      </c>
      <c r="Q139" s="116">
        <v>4</v>
      </c>
      <c r="R139" s="116">
        <v>2</v>
      </c>
      <c r="S139" s="116">
        <v>0</v>
      </c>
      <c r="T139" s="116">
        <v>0</v>
      </c>
      <c r="U139" s="116">
        <v>0</v>
      </c>
      <c r="V139" s="116">
        <v>0</v>
      </c>
      <c r="W139" s="116">
        <v>0</v>
      </c>
      <c r="X139" s="116">
        <v>0</v>
      </c>
      <c r="Y139" s="116">
        <v>0</v>
      </c>
      <c r="Z139" s="116">
        <v>0</v>
      </c>
      <c r="AA139" s="116">
        <v>0</v>
      </c>
      <c r="AB139" s="116">
        <v>0</v>
      </c>
      <c r="AC139" s="116">
        <v>0</v>
      </c>
      <c r="AD139" s="116">
        <v>0</v>
      </c>
      <c r="AE139" s="116">
        <v>0</v>
      </c>
      <c r="AF139" s="116">
        <v>12</v>
      </c>
      <c r="AG139" s="116">
        <v>2</v>
      </c>
      <c r="AH139" s="116">
        <v>0</v>
      </c>
      <c r="AI139" s="116">
        <v>1</v>
      </c>
      <c r="AJ139" s="117">
        <v>1</v>
      </c>
      <c r="AK139" s="117">
        <v>7</v>
      </c>
      <c r="AL139" s="117">
        <v>0</v>
      </c>
      <c r="AM139" s="117">
        <v>10</v>
      </c>
      <c r="AN139" s="117">
        <v>27</v>
      </c>
      <c r="AO139" s="117">
        <v>0</v>
      </c>
      <c r="AP139" s="117">
        <v>5</v>
      </c>
      <c r="AQ139" s="117">
        <v>40</v>
      </c>
      <c r="AR139" s="44"/>
      <c r="AS139" s="44"/>
      <c r="AT139" s="46"/>
      <c r="AU139" s="62" t="s">
        <v>897</v>
      </c>
    </row>
    <row r="140" spans="1:47" ht="16.5" customHeight="1">
      <c r="A140" s="76" t="s">
        <v>124</v>
      </c>
      <c r="B140" s="41" t="s">
        <v>882</v>
      </c>
      <c r="C140" s="5" t="s">
        <v>883</v>
      </c>
      <c r="D140" s="77" t="s">
        <v>923</v>
      </c>
      <c r="E140" s="49"/>
      <c r="F140" s="76" t="s">
        <v>125</v>
      </c>
      <c r="G140" s="121" t="s">
        <v>843</v>
      </c>
      <c r="H140" s="122" t="s">
        <v>842</v>
      </c>
      <c r="I140" s="123" t="s">
        <v>885</v>
      </c>
      <c r="J140" s="124">
        <v>2</v>
      </c>
      <c r="K140" s="117">
        <v>0</v>
      </c>
      <c r="L140" s="117">
        <v>0</v>
      </c>
      <c r="M140" s="116">
        <v>11</v>
      </c>
      <c r="N140" s="116">
        <v>11</v>
      </c>
      <c r="O140" s="116">
        <v>1</v>
      </c>
      <c r="P140" s="43">
        <v>0</v>
      </c>
      <c r="Q140" s="116">
        <v>0</v>
      </c>
      <c r="R140" s="116">
        <v>0</v>
      </c>
      <c r="S140" s="116">
        <v>0</v>
      </c>
      <c r="T140" s="116">
        <v>6</v>
      </c>
      <c r="U140" s="116">
        <v>4</v>
      </c>
      <c r="V140" s="116">
        <v>0</v>
      </c>
      <c r="W140" s="116">
        <v>0</v>
      </c>
      <c r="X140" s="116">
        <v>0</v>
      </c>
      <c r="Y140" s="116">
        <v>0</v>
      </c>
      <c r="Z140" s="116">
        <v>0</v>
      </c>
      <c r="AA140" s="116">
        <v>0</v>
      </c>
      <c r="AB140" s="116">
        <v>0</v>
      </c>
      <c r="AC140" s="116">
        <v>0</v>
      </c>
      <c r="AD140" s="116">
        <v>0</v>
      </c>
      <c r="AE140" s="116">
        <v>0</v>
      </c>
      <c r="AF140" s="116">
        <v>4</v>
      </c>
      <c r="AG140" s="116">
        <v>6</v>
      </c>
      <c r="AH140" s="116">
        <v>2</v>
      </c>
      <c r="AI140" s="116">
        <v>1</v>
      </c>
      <c r="AJ140" s="117">
        <v>0</v>
      </c>
      <c r="AK140" s="117">
        <v>8</v>
      </c>
      <c r="AL140" s="117">
        <v>0</v>
      </c>
      <c r="AM140" s="117">
        <v>0</v>
      </c>
      <c r="AN140" s="117">
        <v>48</v>
      </c>
      <c r="AO140" s="117">
        <v>0</v>
      </c>
      <c r="AP140" s="117">
        <v>8</v>
      </c>
      <c r="AQ140" s="117">
        <v>48</v>
      </c>
      <c r="AR140" s="44"/>
      <c r="AS140" s="44"/>
      <c r="AT140" s="46"/>
      <c r="AU140" s="62" t="s">
        <v>931</v>
      </c>
    </row>
    <row r="141" spans="1:47" ht="16.5" customHeight="1">
      <c r="A141" s="76" t="s">
        <v>681</v>
      </c>
      <c r="B141" s="41" t="s">
        <v>882</v>
      </c>
      <c r="C141" s="5" t="s">
        <v>883</v>
      </c>
      <c r="D141" s="77" t="s">
        <v>923</v>
      </c>
      <c r="E141" s="49"/>
      <c r="F141" s="76" t="s">
        <v>682</v>
      </c>
      <c r="G141" s="121" t="s">
        <v>843</v>
      </c>
      <c r="H141" s="122" t="s">
        <v>842</v>
      </c>
      <c r="I141" s="123" t="s">
        <v>888</v>
      </c>
      <c r="J141" s="124">
        <v>2</v>
      </c>
      <c r="K141" s="117">
        <v>2</v>
      </c>
      <c r="L141" s="117">
        <v>1</v>
      </c>
      <c r="M141" s="116">
        <v>6</v>
      </c>
      <c r="N141" s="116">
        <v>1</v>
      </c>
      <c r="O141" s="116">
        <v>0</v>
      </c>
      <c r="P141" s="43">
        <v>4</v>
      </c>
      <c r="Q141" s="116">
        <v>2</v>
      </c>
      <c r="R141" s="116">
        <v>2</v>
      </c>
      <c r="S141" s="116">
        <v>0</v>
      </c>
      <c r="T141" s="116">
        <v>2</v>
      </c>
      <c r="U141" s="116">
        <v>0</v>
      </c>
      <c r="V141" s="116">
        <v>0</v>
      </c>
      <c r="W141" s="116">
        <v>0</v>
      </c>
      <c r="X141" s="116">
        <v>0</v>
      </c>
      <c r="Y141" s="116">
        <v>0</v>
      </c>
      <c r="Z141" s="116">
        <v>0</v>
      </c>
      <c r="AA141" s="116">
        <v>0</v>
      </c>
      <c r="AB141" s="116">
        <v>0</v>
      </c>
      <c r="AC141" s="116">
        <v>0</v>
      </c>
      <c r="AD141" s="116">
        <v>0</v>
      </c>
      <c r="AE141" s="116">
        <v>0</v>
      </c>
      <c r="AF141" s="116">
        <v>5</v>
      </c>
      <c r="AG141" s="116">
        <v>2</v>
      </c>
      <c r="AH141" s="116">
        <v>0</v>
      </c>
      <c r="AI141" s="116">
        <v>1</v>
      </c>
      <c r="AJ141" s="117">
        <v>0</v>
      </c>
      <c r="AK141" s="117">
        <v>9</v>
      </c>
      <c r="AL141" s="117">
        <v>0</v>
      </c>
      <c r="AM141" s="117">
        <v>20</v>
      </c>
      <c r="AN141" s="117">
        <v>29</v>
      </c>
      <c r="AO141" s="117">
        <v>0</v>
      </c>
      <c r="AP141" s="117">
        <v>7</v>
      </c>
      <c r="AQ141" s="117">
        <v>52</v>
      </c>
      <c r="AR141" s="44"/>
      <c r="AS141" s="44"/>
      <c r="AT141" s="46"/>
      <c r="AU141" s="62" t="s">
        <v>932</v>
      </c>
    </row>
    <row r="142" spans="1:47" ht="16.5" customHeight="1">
      <c r="A142" s="76" t="s">
        <v>350</v>
      </c>
      <c r="B142" s="41" t="s">
        <v>882</v>
      </c>
      <c r="C142" s="5" t="s">
        <v>883</v>
      </c>
      <c r="D142" s="77" t="s">
        <v>923</v>
      </c>
      <c r="E142" s="47"/>
      <c r="F142" s="76" t="s">
        <v>351</v>
      </c>
      <c r="G142" s="121" t="s">
        <v>843</v>
      </c>
      <c r="H142" s="122"/>
      <c r="I142" s="123" t="s">
        <v>888</v>
      </c>
      <c r="J142" s="124">
        <v>2</v>
      </c>
      <c r="K142" s="117">
        <v>2</v>
      </c>
      <c r="L142" s="117">
        <v>1</v>
      </c>
      <c r="M142" s="116">
        <v>6</v>
      </c>
      <c r="N142" s="116">
        <v>2</v>
      </c>
      <c r="O142" s="116">
        <v>0</v>
      </c>
      <c r="P142" s="43">
        <v>6</v>
      </c>
      <c r="Q142" s="116">
        <v>2</v>
      </c>
      <c r="R142" s="116">
        <v>4</v>
      </c>
      <c r="S142" s="116">
        <v>0</v>
      </c>
      <c r="T142" s="116">
        <v>0</v>
      </c>
      <c r="U142" s="116">
        <v>0</v>
      </c>
      <c r="V142" s="116">
        <v>0</v>
      </c>
      <c r="W142" s="116">
        <v>0</v>
      </c>
      <c r="X142" s="116">
        <v>0</v>
      </c>
      <c r="Y142" s="116">
        <v>0</v>
      </c>
      <c r="Z142" s="116">
        <v>0</v>
      </c>
      <c r="AA142" s="116">
        <v>0</v>
      </c>
      <c r="AB142" s="116">
        <v>0</v>
      </c>
      <c r="AC142" s="116">
        <v>7</v>
      </c>
      <c r="AD142" s="116">
        <v>5</v>
      </c>
      <c r="AE142" s="116">
        <v>0</v>
      </c>
      <c r="AF142" s="116">
        <v>0</v>
      </c>
      <c r="AG142" s="116">
        <v>0</v>
      </c>
      <c r="AH142" s="116">
        <v>0</v>
      </c>
      <c r="AI142" s="116">
        <v>1</v>
      </c>
      <c r="AJ142" s="117">
        <v>0</v>
      </c>
      <c r="AK142" s="117">
        <v>5</v>
      </c>
      <c r="AL142" s="117">
        <v>0</v>
      </c>
      <c r="AM142" s="117">
        <v>0</v>
      </c>
      <c r="AN142" s="117">
        <v>32</v>
      </c>
      <c r="AO142" s="117">
        <v>0</v>
      </c>
      <c r="AP142" s="117">
        <v>4</v>
      </c>
      <c r="AQ142" s="117">
        <v>33</v>
      </c>
      <c r="AR142" s="44"/>
      <c r="AS142" s="44"/>
      <c r="AT142" s="46"/>
      <c r="AU142" s="62" t="s">
        <v>891</v>
      </c>
    </row>
    <row r="143" spans="1:47" ht="16.5" customHeight="1">
      <c r="A143" s="76" t="s">
        <v>458</v>
      </c>
      <c r="B143" s="41" t="s">
        <v>882</v>
      </c>
      <c r="C143" s="5" t="s">
        <v>883</v>
      </c>
      <c r="D143" s="77" t="s">
        <v>923</v>
      </c>
      <c r="E143" s="48"/>
      <c r="F143" s="76" t="s">
        <v>459</v>
      </c>
      <c r="G143" s="121" t="s">
        <v>843</v>
      </c>
      <c r="H143" s="122" t="s">
        <v>842</v>
      </c>
      <c r="I143" s="123" t="s">
        <v>888</v>
      </c>
      <c r="J143" s="124">
        <v>2</v>
      </c>
      <c r="K143" s="117">
        <v>1</v>
      </c>
      <c r="L143" s="117">
        <v>3</v>
      </c>
      <c r="M143" s="116">
        <v>6</v>
      </c>
      <c r="N143" s="116">
        <v>1</v>
      </c>
      <c r="O143" s="116">
        <v>0</v>
      </c>
      <c r="P143" s="43">
        <v>11</v>
      </c>
      <c r="Q143" s="116">
        <v>8</v>
      </c>
      <c r="R143" s="116">
        <v>3</v>
      </c>
      <c r="S143" s="116">
        <v>0</v>
      </c>
      <c r="T143" s="116">
        <v>0</v>
      </c>
      <c r="U143" s="116">
        <v>0</v>
      </c>
      <c r="V143" s="116">
        <v>0</v>
      </c>
      <c r="W143" s="116">
        <v>0</v>
      </c>
      <c r="X143" s="116">
        <v>0</v>
      </c>
      <c r="Y143" s="116">
        <v>0</v>
      </c>
      <c r="Z143" s="116">
        <v>12</v>
      </c>
      <c r="AA143" s="116">
        <v>3</v>
      </c>
      <c r="AB143" s="116">
        <v>0</v>
      </c>
      <c r="AC143" s="116">
        <v>0</v>
      </c>
      <c r="AD143" s="116">
        <v>0</v>
      </c>
      <c r="AE143" s="116">
        <v>0</v>
      </c>
      <c r="AF143" s="116">
        <v>0</v>
      </c>
      <c r="AG143" s="116">
        <v>0</v>
      </c>
      <c r="AH143" s="116">
        <v>0</v>
      </c>
      <c r="AI143" s="116">
        <v>1</v>
      </c>
      <c r="AJ143" s="117">
        <v>1</v>
      </c>
      <c r="AK143" s="117">
        <v>11</v>
      </c>
      <c r="AL143" s="117">
        <v>0</v>
      </c>
      <c r="AM143" s="117">
        <v>16</v>
      </c>
      <c r="AN143" s="117">
        <v>34</v>
      </c>
      <c r="AO143" s="117">
        <v>2</v>
      </c>
      <c r="AP143" s="117">
        <v>4</v>
      </c>
      <c r="AQ143" s="117">
        <v>54</v>
      </c>
      <c r="AR143" s="44"/>
      <c r="AS143" s="44"/>
      <c r="AT143" s="46"/>
      <c r="AU143" s="62" t="s">
        <v>933</v>
      </c>
    </row>
    <row r="144" spans="1:47" ht="16.5" customHeight="1">
      <c r="A144" s="76" t="s">
        <v>353</v>
      </c>
      <c r="B144" s="41" t="s">
        <v>882</v>
      </c>
      <c r="C144" s="5" t="s">
        <v>883</v>
      </c>
      <c r="D144" s="77" t="s">
        <v>923</v>
      </c>
      <c r="E144" s="47"/>
      <c r="F144" s="76" t="s">
        <v>354</v>
      </c>
      <c r="G144" s="121" t="s">
        <v>843</v>
      </c>
      <c r="H144" s="122" t="s">
        <v>842</v>
      </c>
      <c r="I144" s="123" t="s">
        <v>888</v>
      </c>
      <c r="J144" s="124">
        <v>2</v>
      </c>
      <c r="K144" s="117">
        <v>1</v>
      </c>
      <c r="L144" s="117">
        <v>1</v>
      </c>
      <c r="M144" s="116">
        <v>7</v>
      </c>
      <c r="N144" s="116">
        <v>1</v>
      </c>
      <c r="O144" s="116">
        <v>0</v>
      </c>
      <c r="P144" s="43">
        <v>7</v>
      </c>
      <c r="Q144" s="116">
        <v>4</v>
      </c>
      <c r="R144" s="116">
        <v>3</v>
      </c>
      <c r="S144" s="116">
        <v>0</v>
      </c>
      <c r="T144" s="116">
        <v>0</v>
      </c>
      <c r="U144" s="116">
        <v>0</v>
      </c>
      <c r="V144" s="116">
        <v>0</v>
      </c>
      <c r="W144" s="116">
        <v>0</v>
      </c>
      <c r="X144" s="116">
        <v>0</v>
      </c>
      <c r="Y144" s="116">
        <v>0</v>
      </c>
      <c r="Z144" s="116">
        <v>10</v>
      </c>
      <c r="AA144" s="116">
        <v>3</v>
      </c>
      <c r="AB144" s="116">
        <v>0</v>
      </c>
      <c r="AC144" s="116">
        <v>0</v>
      </c>
      <c r="AD144" s="116">
        <v>0</v>
      </c>
      <c r="AE144" s="116">
        <v>0</v>
      </c>
      <c r="AF144" s="116">
        <v>0</v>
      </c>
      <c r="AG144" s="116">
        <v>0</v>
      </c>
      <c r="AH144" s="116">
        <v>0</v>
      </c>
      <c r="AI144" s="116">
        <v>1</v>
      </c>
      <c r="AJ144" s="117">
        <v>0</v>
      </c>
      <c r="AK144" s="117">
        <v>7</v>
      </c>
      <c r="AL144" s="117">
        <v>0</v>
      </c>
      <c r="AM144" s="117">
        <v>0</v>
      </c>
      <c r="AN144" s="117">
        <v>40</v>
      </c>
      <c r="AO144" s="117">
        <v>0</v>
      </c>
      <c r="AP144" s="117">
        <v>5</v>
      </c>
      <c r="AQ144" s="117">
        <v>42</v>
      </c>
      <c r="AR144" s="44"/>
      <c r="AS144" s="44"/>
      <c r="AT144" s="46"/>
      <c r="AU144" s="62" t="s">
        <v>887</v>
      </c>
    </row>
    <row r="145" spans="1:47" ht="16.5" customHeight="1">
      <c r="A145" s="76" t="s">
        <v>687</v>
      </c>
      <c r="B145" s="41" t="s">
        <v>882</v>
      </c>
      <c r="C145" s="5" t="s">
        <v>883</v>
      </c>
      <c r="D145" s="77" t="s">
        <v>923</v>
      </c>
      <c r="E145" s="48"/>
      <c r="F145" s="76" t="s">
        <v>688</v>
      </c>
      <c r="G145" s="121" t="s">
        <v>843</v>
      </c>
      <c r="H145" s="122"/>
      <c r="I145" s="123" t="s">
        <v>885</v>
      </c>
      <c r="J145" s="124">
        <v>2</v>
      </c>
      <c r="K145" s="117">
        <v>1</v>
      </c>
      <c r="L145" s="117">
        <v>1</v>
      </c>
      <c r="M145" s="116">
        <v>17</v>
      </c>
      <c r="N145" s="116">
        <v>22</v>
      </c>
      <c r="O145" s="116">
        <v>0</v>
      </c>
      <c r="P145" s="43">
        <v>3</v>
      </c>
      <c r="Q145" s="116">
        <v>1</v>
      </c>
      <c r="R145" s="116">
        <v>2</v>
      </c>
      <c r="S145" s="116">
        <v>0</v>
      </c>
      <c r="T145" s="116">
        <v>0</v>
      </c>
      <c r="U145" s="116">
        <v>4</v>
      </c>
      <c r="V145" s="116">
        <v>0</v>
      </c>
      <c r="W145" s="116">
        <v>0</v>
      </c>
      <c r="X145" s="116">
        <v>0</v>
      </c>
      <c r="Y145" s="116">
        <v>0</v>
      </c>
      <c r="Z145" s="116">
        <v>0</v>
      </c>
      <c r="AA145" s="116">
        <v>0</v>
      </c>
      <c r="AB145" s="116">
        <v>0</v>
      </c>
      <c r="AC145" s="116">
        <v>17</v>
      </c>
      <c r="AD145" s="116">
        <v>19</v>
      </c>
      <c r="AE145" s="116">
        <v>0</v>
      </c>
      <c r="AF145" s="116">
        <v>0</v>
      </c>
      <c r="AG145" s="116">
        <v>0</v>
      </c>
      <c r="AH145" s="116">
        <v>0</v>
      </c>
      <c r="AI145" s="116">
        <v>1</v>
      </c>
      <c r="AJ145" s="117">
        <v>0</v>
      </c>
      <c r="AK145" s="117">
        <v>5</v>
      </c>
      <c r="AL145" s="117">
        <v>0</v>
      </c>
      <c r="AM145" s="117">
        <v>0</v>
      </c>
      <c r="AN145" s="117">
        <v>46</v>
      </c>
      <c r="AO145" s="117">
        <v>0</v>
      </c>
      <c r="AP145" s="117">
        <v>5</v>
      </c>
      <c r="AQ145" s="117">
        <v>48</v>
      </c>
      <c r="AR145" s="44"/>
      <c r="AS145" s="44"/>
      <c r="AT145" s="46"/>
      <c r="AU145" s="62" t="s">
        <v>934</v>
      </c>
    </row>
    <row r="146" spans="1:47" ht="16.5" customHeight="1">
      <c r="A146" s="76" t="s">
        <v>356</v>
      </c>
      <c r="B146" s="41" t="s">
        <v>882</v>
      </c>
      <c r="C146" s="5" t="s">
        <v>883</v>
      </c>
      <c r="D146" s="77" t="s">
        <v>923</v>
      </c>
      <c r="E146" s="47"/>
      <c r="F146" s="76" t="s">
        <v>357</v>
      </c>
      <c r="G146" s="121" t="s">
        <v>843</v>
      </c>
      <c r="H146" s="122"/>
      <c r="I146" s="123" t="s">
        <v>888</v>
      </c>
      <c r="J146" s="124">
        <v>2</v>
      </c>
      <c r="K146" s="117">
        <v>2</v>
      </c>
      <c r="L146" s="117">
        <v>1</v>
      </c>
      <c r="M146" s="116">
        <v>5</v>
      </c>
      <c r="N146" s="116">
        <v>7</v>
      </c>
      <c r="O146" s="116">
        <v>0</v>
      </c>
      <c r="P146" s="43">
        <v>2</v>
      </c>
      <c r="Q146" s="116">
        <v>2</v>
      </c>
      <c r="R146" s="116">
        <v>0</v>
      </c>
      <c r="S146" s="116">
        <v>0</v>
      </c>
      <c r="T146" s="116">
        <v>0</v>
      </c>
      <c r="U146" s="116">
        <v>0</v>
      </c>
      <c r="V146" s="116">
        <v>0</v>
      </c>
      <c r="W146" s="116">
        <v>2</v>
      </c>
      <c r="X146" s="116">
        <v>2</v>
      </c>
      <c r="Y146" s="116">
        <v>0</v>
      </c>
      <c r="Z146" s="116">
        <v>4</v>
      </c>
      <c r="AA146" s="116">
        <v>4</v>
      </c>
      <c r="AB146" s="116">
        <v>0</v>
      </c>
      <c r="AC146" s="116">
        <v>0</v>
      </c>
      <c r="AD146" s="116">
        <v>0</v>
      </c>
      <c r="AE146" s="116">
        <v>0</v>
      </c>
      <c r="AF146" s="116">
        <v>0</v>
      </c>
      <c r="AG146" s="116">
        <v>0</v>
      </c>
      <c r="AH146" s="116">
        <v>0</v>
      </c>
      <c r="AI146" s="116">
        <v>1</v>
      </c>
      <c r="AJ146" s="117">
        <v>0</v>
      </c>
      <c r="AK146" s="117">
        <v>3</v>
      </c>
      <c r="AL146" s="117">
        <v>0</v>
      </c>
      <c r="AM146" s="117">
        <v>0</v>
      </c>
      <c r="AN146" s="117">
        <v>21</v>
      </c>
      <c r="AO146" s="117">
        <v>0</v>
      </c>
      <c r="AP146" s="117">
        <v>3</v>
      </c>
      <c r="AQ146" s="117">
        <v>21</v>
      </c>
      <c r="AR146" s="44"/>
      <c r="AS146" s="44"/>
      <c r="AT146" s="46"/>
      <c r="AU146" s="62" t="s">
        <v>893</v>
      </c>
    </row>
    <row r="147" spans="1:47" ht="16.5" customHeight="1">
      <c r="A147" s="76" t="s">
        <v>461</v>
      </c>
      <c r="B147" s="41" t="s">
        <v>882</v>
      </c>
      <c r="C147" s="5" t="s">
        <v>883</v>
      </c>
      <c r="D147" s="77" t="s">
        <v>923</v>
      </c>
      <c r="E147" s="48"/>
      <c r="F147" s="76" t="s">
        <v>462</v>
      </c>
      <c r="G147" s="121" t="s">
        <v>843</v>
      </c>
      <c r="H147" s="122" t="s">
        <v>842</v>
      </c>
      <c r="I147" s="123" t="s">
        <v>885</v>
      </c>
      <c r="J147" s="124">
        <v>2</v>
      </c>
      <c r="K147" s="117">
        <v>2</v>
      </c>
      <c r="L147" s="117">
        <v>2</v>
      </c>
      <c r="M147" s="116">
        <v>7</v>
      </c>
      <c r="N147" s="116">
        <v>2</v>
      </c>
      <c r="O147" s="116">
        <v>0</v>
      </c>
      <c r="P147" s="43">
        <v>7</v>
      </c>
      <c r="Q147" s="116">
        <v>5</v>
      </c>
      <c r="R147" s="116">
        <v>2</v>
      </c>
      <c r="S147" s="116">
        <v>0</v>
      </c>
      <c r="T147" s="116">
        <v>1</v>
      </c>
      <c r="U147" s="116">
        <v>1</v>
      </c>
      <c r="V147" s="116">
        <v>0</v>
      </c>
      <c r="W147" s="116">
        <v>0</v>
      </c>
      <c r="X147" s="116">
        <v>0</v>
      </c>
      <c r="Y147" s="116">
        <v>0</v>
      </c>
      <c r="Z147" s="116">
        <v>0</v>
      </c>
      <c r="AA147" s="116">
        <v>0</v>
      </c>
      <c r="AB147" s="116">
        <v>0</v>
      </c>
      <c r="AC147" s="116">
        <v>0</v>
      </c>
      <c r="AD147" s="116">
        <v>0</v>
      </c>
      <c r="AE147" s="116">
        <v>0</v>
      </c>
      <c r="AF147" s="116">
        <v>10</v>
      </c>
      <c r="AG147" s="116">
        <v>2</v>
      </c>
      <c r="AH147" s="116">
        <v>0</v>
      </c>
      <c r="AI147" s="116">
        <v>1</v>
      </c>
      <c r="AJ147" s="117">
        <v>0</v>
      </c>
      <c r="AK147" s="117">
        <v>4</v>
      </c>
      <c r="AL147" s="117">
        <v>0</v>
      </c>
      <c r="AM147" s="117">
        <v>0</v>
      </c>
      <c r="AN147" s="117">
        <v>22</v>
      </c>
      <c r="AO147" s="117">
        <v>0</v>
      </c>
      <c r="AP147" s="117">
        <v>4</v>
      </c>
      <c r="AQ147" s="117">
        <v>22</v>
      </c>
      <c r="AR147" s="44"/>
      <c r="AS147" s="44"/>
      <c r="AT147" s="46"/>
      <c r="AU147" s="62" t="s">
        <v>927</v>
      </c>
    </row>
    <row r="148" spans="1:47" ht="16.5" customHeight="1">
      <c r="A148" s="76" t="s">
        <v>691</v>
      </c>
      <c r="B148" s="41" t="s">
        <v>882</v>
      </c>
      <c r="C148" s="5" t="s">
        <v>883</v>
      </c>
      <c r="D148" s="77" t="s">
        <v>923</v>
      </c>
      <c r="E148" s="48"/>
      <c r="F148" s="76" t="s">
        <v>692</v>
      </c>
      <c r="G148" s="121" t="s">
        <v>843</v>
      </c>
      <c r="H148" s="122" t="s">
        <v>842</v>
      </c>
      <c r="I148" s="123" t="s">
        <v>888</v>
      </c>
      <c r="J148" s="124">
        <v>2</v>
      </c>
      <c r="K148" s="117">
        <v>3</v>
      </c>
      <c r="L148" s="117">
        <v>1</v>
      </c>
      <c r="M148" s="116">
        <v>16</v>
      </c>
      <c r="N148" s="116">
        <v>6</v>
      </c>
      <c r="O148" s="116">
        <v>0</v>
      </c>
      <c r="P148" s="43">
        <v>6</v>
      </c>
      <c r="Q148" s="116">
        <v>6</v>
      </c>
      <c r="R148" s="116">
        <v>0</v>
      </c>
      <c r="S148" s="116">
        <v>0</v>
      </c>
      <c r="T148" s="116">
        <v>1</v>
      </c>
      <c r="U148" s="116">
        <v>0</v>
      </c>
      <c r="V148" s="116">
        <v>0</v>
      </c>
      <c r="W148" s="116">
        <v>0</v>
      </c>
      <c r="X148" s="116">
        <v>0</v>
      </c>
      <c r="Y148" s="116">
        <v>0</v>
      </c>
      <c r="Z148" s="116">
        <v>20</v>
      </c>
      <c r="AA148" s="116">
        <v>5</v>
      </c>
      <c r="AB148" s="116">
        <v>0</v>
      </c>
      <c r="AC148" s="116">
        <v>0</v>
      </c>
      <c r="AD148" s="116">
        <v>0</v>
      </c>
      <c r="AE148" s="116">
        <v>0</v>
      </c>
      <c r="AF148" s="116">
        <v>0</v>
      </c>
      <c r="AG148" s="116">
        <v>0</v>
      </c>
      <c r="AH148" s="116">
        <v>0</v>
      </c>
      <c r="AI148" s="116">
        <v>1</v>
      </c>
      <c r="AJ148" s="117">
        <v>0</v>
      </c>
      <c r="AK148" s="117">
        <v>12</v>
      </c>
      <c r="AL148" s="117">
        <v>0</v>
      </c>
      <c r="AM148" s="117">
        <v>0</v>
      </c>
      <c r="AN148" s="117">
        <v>66</v>
      </c>
      <c r="AO148" s="117">
        <v>0</v>
      </c>
      <c r="AP148" s="117">
        <v>4</v>
      </c>
      <c r="AQ148" s="117">
        <v>70</v>
      </c>
      <c r="AR148" s="44"/>
      <c r="AS148" s="44"/>
      <c r="AT148" s="46"/>
      <c r="AU148" s="62" t="s">
        <v>915</v>
      </c>
    </row>
    <row r="149" spans="1:47" ht="16.5" customHeight="1">
      <c r="A149" s="76" t="s">
        <v>464</v>
      </c>
      <c r="B149" s="41" t="s">
        <v>882</v>
      </c>
      <c r="C149" s="5" t="s">
        <v>883</v>
      </c>
      <c r="D149" s="77" t="s">
        <v>923</v>
      </c>
      <c r="E149" s="48"/>
      <c r="F149" s="76" t="s">
        <v>465</v>
      </c>
      <c r="G149" s="121" t="s">
        <v>843</v>
      </c>
      <c r="H149" s="122" t="s">
        <v>842</v>
      </c>
      <c r="I149" s="123" t="s">
        <v>888</v>
      </c>
      <c r="J149" s="124">
        <v>2</v>
      </c>
      <c r="K149" s="117">
        <v>1</v>
      </c>
      <c r="L149" s="117">
        <v>1</v>
      </c>
      <c r="M149" s="116">
        <v>7</v>
      </c>
      <c r="N149" s="116">
        <v>1</v>
      </c>
      <c r="O149" s="116">
        <v>0</v>
      </c>
      <c r="P149" s="43">
        <v>7</v>
      </c>
      <c r="Q149" s="116">
        <v>3</v>
      </c>
      <c r="R149" s="116">
        <v>4</v>
      </c>
      <c r="S149" s="116">
        <v>0</v>
      </c>
      <c r="T149" s="116">
        <v>0</v>
      </c>
      <c r="U149" s="116">
        <v>0</v>
      </c>
      <c r="V149" s="116">
        <v>0</v>
      </c>
      <c r="W149" s="116">
        <v>0</v>
      </c>
      <c r="X149" s="116">
        <v>0</v>
      </c>
      <c r="Y149" s="116">
        <v>0</v>
      </c>
      <c r="Z149" s="116">
        <v>9</v>
      </c>
      <c r="AA149" s="116">
        <v>4</v>
      </c>
      <c r="AB149" s="116">
        <v>0</v>
      </c>
      <c r="AC149" s="116">
        <v>0</v>
      </c>
      <c r="AD149" s="116">
        <v>0</v>
      </c>
      <c r="AE149" s="116">
        <v>0</v>
      </c>
      <c r="AF149" s="116">
        <v>0</v>
      </c>
      <c r="AG149" s="116">
        <v>0</v>
      </c>
      <c r="AH149" s="116">
        <v>0</v>
      </c>
      <c r="AI149" s="116">
        <v>1</v>
      </c>
      <c r="AJ149" s="117">
        <v>3</v>
      </c>
      <c r="AK149" s="117">
        <v>4</v>
      </c>
      <c r="AL149" s="117">
        <v>0</v>
      </c>
      <c r="AM149" s="117">
        <v>3</v>
      </c>
      <c r="AN149" s="117">
        <v>41</v>
      </c>
      <c r="AO149" s="117">
        <v>1</v>
      </c>
      <c r="AP149" s="117">
        <v>3</v>
      </c>
      <c r="AQ149" s="117">
        <v>45</v>
      </c>
      <c r="AR149" s="44"/>
      <c r="AS149" s="44"/>
      <c r="AT149" s="46"/>
      <c r="AU149" s="62" t="s">
        <v>891</v>
      </c>
    </row>
    <row r="150" spans="1:47" ht="16.5" customHeight="1">
      <c r="A150" s="76" t="s">
        <v>695</v>
      </c>
      <c r="B150" s="41" t="s">
        <v>882</v>
      </c>
      <c r="C150" s="5" t="s">
        <v>883</v>
      </c>
      <c r="D150" s="77" t="s">
        <v>923</v>
      </c>
      <c r="E150" s="48"/>
      <c r="F150" s="76" t="s">
        <v>696</v>
      </c>
      <c r="G150" s="121" t="s">
        <v>843</v>
      </c>
      <c r="H150" s="122" t="s">
        <v>842</v>
      </c>
      <c r="I150" s="123" t="s">
        <v>888</v>
      </c>
      <c r="J150" s="124">
        <v>2</v>
      </c>
      <c r="K150" s="117">
        <v>3</v>
      </c>
      <c r="L150" s="117">
        <v>1</v>
      </c>
      <c r="M150" s="116">
        <v>12</v>
      </c>
      <c r="N150" s="116">
        <v>5</v>
      </c>
      <c r="O150" s="116">
        <v>0</v>
      </c>
      <c r="P150" s="43">
        <v>6</v>
      </c>
      <c r="Q150" s="116">
        <v>3</v>
      </c>
      <c r="R150" s="116">
        <v>3</v>
      </c>
      <c r="S150" s="116">
        <v>0</v>
      </c>
      <c r="T150" s="116">
        <v>0</v>
      </c>
      <c r="U150" s="116">
        <v>0</v>
      </c>
      <c r="V150" s="116">
        <v>0</v>
      </c>
      <c r="W150" s="116">
        <v>2</v>
      </c>
      <c r="X150" s="116">
        <v>2</v>
      </c>
      <c r="Y150" s="116">
        <v>0</v>
      </c>
      <c r="Z150" s="116">
        <v>12</v>
      </c>
      <c r="AA150" s="116">
        <v>5</v>
      </c>
      <c r="AB150" s="116">
        <v>0</v>
      </c>
      <c r="AC150" s="116">
        <v>0</v>
      </c>
      <c r="AD150" s="116">
        <v>0</v>
      </c>
      <c r="AE150" s="116">
        <v>0</v>
      </c>
      <c r="AF150" s="116">
        <v>0</v>
      </c>
      <c r="AG150" s="116">
        <v>0</v>
      </c>
      <c r="AH150" s="116">
        <v>0</v>
      </c>
      <c r="AI150" s="116">
        <v>1</v>
      </c>
      <c r="AJ150" s="117">
        <v>0</v>
      </c>
      <c r="AK150" s="117">
        <v>6</v>
      </c>
      <c r="AL150" s="117">
        <v>0</v>
      </c>
      <c r="AM150" s="117">
        <v>25</v>
      </c>
      <c r="AN150" s="117">
        <v>20</v>
      </c>
      <c r="AO150" s="117">
        <v>0</v>
      </c>
      <c r="AP150" s="117">
        <v>2</v>
      </c>
      <c r="AQ150" s="117">
        <v>47</v>
      </c>
      <c r="AR150" s="44"/>
      <c r="AS150" s="44"/>
      <c r="AT150" s="46"/>
      <c r="AU150" s="62" t="s">
        <v>908</v>
      </c>
    </row>
    <row r="151" spans="1:47" ht="16.5" customHeight="1">
      <c r="A151" s="76" t="s">
        <v>473</v>
      </c>
      <c r="B151" s="41" t="s">
        <v>882</v>
      </c>
      <c r="C151" s="5" t="s">
        <v>883</v>
      </c>
      <c r="D151" s="77" t="s">
        <v>923</v>
      </c>
      <c r="E151" s="48"/>
      <c r="F151" s="76" t="s">
        <v>474</v>
      </c>
      <c r="G151" s="121" t="s">
        <v>843</v>
      </c>
      <c r="H151" s="122" t="s">
        <v>842</v>
      </c>
      <c r="I151" s="123" t="s">
        <v>885</v>
      </c>
      <c r="J151" s="124">
        <v>2</v>
      </c>
      <c r="K151" s="117">
        <v>1</v>
      </c>
      <c r="L151" s="117">
        <v>1</v>
      </c>
      <c r="M151" s="116">
        <v>9</v>
      </c>
      <c r="N151" s="116">
        <v>6</v>
      </c>
      <c r="O151" s="116">
        <v>0</v>
      </c>
      <c r="P151" s="43">
        <v>2</v>
      </c>
      <c r="Q151" s="116">
        <v>1</v>
      </c>
      <c r="R151" s="116">
        <v>1</v>
      </c>
      <c r="S151" s="116">
        <v>0</v>
      </c>
      <c r="T151" s="116">
        <v>0</v>
      </c>
      <c r="U151" s="116">
        <v>0</v>
      </c>
      <c r="V151" s="116">
        <v>0</v>
      </c>
      <c r="W151" s="116">
        <v>1</v>
      </c>
      <c r="X151" s="116">
        <v>1</v>
      </c>
      <c r="Y151" s="116">
        <v>0</v>
      </c>
      <c r="Z151" s="116">
        <v>5</v>
      </c>
      <c r="AA151" s="116">
        <v>0</v>
      </c>
      <c r="AB151" s="116">
        <v>0</v>
      </c>
      <c r="AC151" s="116">
        <v>0</v>
      </c>
      <c r="AD151" s="116">
        <v>0</v>
      </c>
      <c r="AE151" s="116">
        <v>0</v>
      </c>
      <c r="AF151" s="116">
        <v>3</v>
      </c>
      <c r="AG151" s="116">
        <v>5</v>
      </c>
      <c r="AH151" s="116">
        <v>0</v>
      </c>
      <c r="AI151" s="116">
        <v>1</v>
      </c>
      <c r="AJ151" s="117">
        <v>0</v>
      </c>
      <c r="AK151" s="117">
        <v>7</v>
      </c>
      <c r="AL151" s="117">
        <v>0</v>
      </c>
      <c r="AM151" s="117">
        <v>24</v>
      </c>
      <c r="AN151" s="117">
        <v>21</v>
      </c>
      <c r="AO151" s="117">
        <v>0</v>
      </c>
      <c r="AP151" s="117">
        <v>3</v>
      </c>
      <c r="AQ151" s="117">
        <v>49</v>
      </c>
      <c r="AR151" s="44"/>
      <c r="AS151" s="44"/>
      <c r="AT151" s="46"/>
      <c r="AU151" s="62" t="s">
        <v>935</v>
      </c>
    </row>
    <row r="152" spans="1:47" ht="16.5" customHeight="1">
      <c r="A152" s="76" t="s">
        <v>476</v>
      </c>
      <c r="B152" s="41" t="s">
        <v>882</v>
      </c>
      <c r="C152" s="5" t="s">
        <v>883</v>
      </c>
      <c r="D152" s="77" t="s">
        <v>923</v>
      </c>
      <c r="E152" s="48"/>
      <c r="F152" s="76" t="s">
        <v>477</v>
      </c>
      <c r="G152" s="121" t="s">
        <v>843</v>
      </c>
      <c r="H152" s="122" t="s">
        <v>842</v>
      </c>
      <c r="I152" s="123" t="s">
        <v>888</v>
      </c>
      <c r="J152" s="124">
        <v>2</v>
      </c>
      <c r="K152" s="117">
        <v>1</v>
      </c>
      <c r="L152" s="117">
        <v>1</v>
      </c>
      <c r="M152" s="116">
        <v>9</v>
      </c>
      <c r="N152" s="116">
        <v>3</v>
      </c>
      <c r="O152" s="116">
        <v>0</v>
      </c>
      <c r="P152" s="43">
        <v>6</v>
      </c>
      <c r="Q152" s="116">
        <v>4</v>
      </c>
      <c r="R152" s="116">
        <v>2</v>
      </c>
      <c r="S152" s="116">
        <v>0</v>
      </c>
      <c r="T152" s="116">
        <v>0</v>
      </c>
      <c r="U152" s="116">
        <v>0</v>
      </c>
      <c r="V152" s="116">
        <v>0</v>
      </c>
      <c r="W152" s="116">
        <v>0</v>
      </c>
      <c r="X152" s="116">
        <v>0</v>
      </c>
      <c r="Y152" s="116">
        <v>0</v>
      </c>
      <c r="Z152" s="116">
        <v>12</v>
      </c>
      <c r="AA152" s="116">
        <v>4</v>
      </c>
      <c r="AB152" s="116">
        <v>0</v>
      </c>
      <c r="AC152" s="116">
        <v>0</v>
      </c>
      <c r="AD152" s="116">
        <v>0</v>
      </c>
      <c r="AE152" s="116">
        <v>0</v>
      </c>
      <c r="AF152" s="116">
        <v>0</v>
      </c>
      <c r="AG152" s="116">
        <v>0</v>
      </c>
      <c r="AH152" s="116">
        <v>0</v>
      </c>
      <c r="AI152" s="116">
        <v>1</v>
      </c>
      <c r="AJ152" s="117">
        <v>0</v>
      </c>
      <c r="AK152" s="117">
        <v>6</v>
      </c>
      <c r="AL152" s="117">
        <v>0</v>
      </c>
      <c r="AM152" s="117">
        <v>29</v>
      </c>
      <c r="AN152" s="117">
        <v>21</v>
      </c>
      <c r="AO152" s="117">
        <v>0</v>
      </c>
      <c r="AP152" s="117">
        <v>2</v>
      </c>
      <c r="AQ152" s="117">
        <v>53</v>
      </c>
      <c r="AR152" s="44"/>
      <c r="AS152" s="44"/>
      <c r="AT152" s="46"/>
      <c r="AU152" s="62" t="s">
        <v>904</v>
      </c>
    </row>
    <row r="153" spans="1:47" ht="16.5" customHeight="1">
      <c r="A153" s="76" t="s">
        <v>359</v>
      </c>
      <c r="B153" s="41" t="s">
        <v>882</v>
      </c>
      <c r="C153" s="5" t="s">
        <v>883</v>
      </c>
      <c r="D153" s="77" t="s">
        <v>923</v>
      </c>
      <c r="E153" s="48"/>
      <c r="F153" s="76" t="s">
        <v>360</v>
      </c>
      <c r="G153" s="121" t="s">
        <v>843</v>
      </c>
      <c r="H153" s="122"/>
      <c r="I153" s="123" t="s">
        <v>888</v>
      </c>
      <c r="J153" s="124">
        <v>2</v>
      </c>
      <c r="K153" s="117">
        <v>0</v>
      </c>
      <c r="L153" s="117">
        <v>0</v>
      </c>
      <c r="M153" s="116">
        <v>8</v>
      </c>
      <c r="N153" s="116">
        <v>3</v>
      </c>
      <c r="O153" s="116">
        <v>1</v>
      </c>
      <c r="P153" s="43">
        <v>0</v>
      </c>
      <c r="Q153" s="116">
        <v>0</v>
      </c>
      <c r="R153" s="116">
        <v>0</v>
      </c>
      <c r="S153" s="116">
        <v>0</v>
      </c>
      <c r="T153" s="116">
        <v>0</v>
      </c>
      <c r="U153" s="116">
        <v>0</v>
      </c>
      <c r="V153" s="116">
        <v>0</v>
      </c>
      <c r="W153" s="116">
        <v>3</v>
      </c>
      <c r="X153" s="116">
        <v>1</v>
      </c>
      <c r="Y153" s="116">
        <v>0</v>
      </c>
      <c r="Z153" s="116">
        <v>3</v>
      </c>
      <c r="AA153" s="116">
        <v>1</v>
      </c>
      <c r="AB153" s="116">
        <v>3</v>
      </c>
      <c r="AC153" s="116">
        <v>0</v>
      </c>
      <c r="AD153" s="116">
        <v>1</v>
      </c>
      <c r="AE153" s="116">
        <v>0</v>
      </c>
      <c r="AF153" s="116">
        <v>0</v>
      </c>
      <c r="AG153" s="116">
        <v>0</v>
      </c>
      <c r="AH153" s="116">
        <v>0</v>
      </c>
      <c r="AI153" s="116">
        <v>1</v>
      </c>
      <c r="AJ153" s="117">
        <v>0</v>
      </c>
      <c r="AK153" s="117">
        <v>4</v>
      </c>
      <c r="AL153" s="117">
        <v>0</v>
      </c>
      <c r="AM153" s="117">
        <v>0</v>
      </c>
      <c r="AN153" s="117">
        <v>26</v>
      </c>
      <c r="AO153" s="117">
        <v>0</v>
      </c>
      <c r="AP153" s="117">
        <v>3</v>
      </c>
      <c r="AQ153" s="117">
        <v>27</v>
      </c>
      <c r="AR153" s="44"/>
      <c r="AS153" s="44"/>
      <c r="AT153" s="46"/>
      <c r="AU153" s="62" t="s">
        <v>893</v>
      </c>
    </row>
    <row r="154" spans="1:47" ht="16.5" customHeight="1">
      <c r="A154" s="76" t="s">
        <v>479</v>
      </c>
      <c r="B154" s="41" t="s">
        <v>882</v>
      </c>
      <c r="C154" s="5" t="s">
        <v>883</v>
      </c>
      <c r="D154" s="77" t="s">
        <v>923</v>
      </c>
      <c r="E154" s="49"/>
      <c r="F154" s="76" t="s">
        <v>480</v>
      </c>
      <c r="G154" s="121" t="s">
        <v>843</v>
      </c>
      <c r="H154" s="122" t="s">
        <v>842</v>
      </c>
      <c r="I154" s="123" t="s">
        <v>885</v>
      </c>
      <c r="J154" s="124">
        <v>2</v>
      </c>
      <c r="K154" s="117">
        <v>1</v>
      </c>
      <c r="L154" s="117">
        <v>1</v>
      </c>
      <c r="M154" s="116">
        <v>8</v>
      </c>
      <c r="N154" s="116">
        <v>2</v>
      </c>
      <c r="O154" s="116">
        <v>0</v>
      </c>
      <c r="P154" s="43">
        <v>3</v>
      </c>
      <c r="Q154" s="116">
        <v>1</v>
      </c>
      <c r="R154" s="116">
        <v>2</v>
      </c>
      <c r="S154" s="116">
        <v>0</v>
      </c>
      <c r="T154" s="116">
        <v>0</v>
      </c>
      <c r="U154" s="116">
        <v>0</v>
      </c>
      <c r="V154" s="116">
        <v>0</v>
      </c>
      <c r="W154" s="116">
        <v>1</v>
      </c>
      <c r="X154" s="116">
        <v>0</v>
      </c>
      <c r="Y154" s="116">
        <v>0</v>
      </c>
      <c r="Z154" s="116">
        <v>0</v>
      </c>
      <c r="AA154" s="116">
        <v>0</v>
      </c>
      <c r="AB154" s="116">
        <v>0</v>
      </c>
      <c r="AC154" s="116">
        <v>0</v>
      </c>
      <c r="AD154" s="116">
        <v>0</v>
      </c>
      <c r="AE154" s="116">
        <v>0</v>
      </c>
      <c r="AF154" s="116">
        <v>7</v>
      </c>
      <c r="AG154" s="116">
        <v>3</v>
      </c>
      <c r="AH154" s="116">
        <v>0</v>
      </c>
      <c r="AI154" s="116">
        <v>1</v>
      </c>
      <c r="AJ154" s="117">
        <v>0</v>
      </c>
      <c r="AK154" s="117">
        <v>4</v>
      </c>
      <c r="AL154" s="117">
        <v>0</v>
      </c>
      <c r="AM154" s="117">
        <v>18</v>
      </c>
      <c r="AN154" s="117">
        <v>5</v>
      </c>
      <c r="AO154" s="117">
        <v>0</v>
      </c>
      <c r="AP154" s="117">
        <v>0</v>
      </c>
      <c r="AQ154" s="117">
        <v>27</v>
      </c>
      <c r="AR154" s="44"/>
      <c r="AS154" s="44"/>
      <c r="AT154" s="46"/>
      <c r="AU154" s="62" t="s">
        <v>926</v>
      </c>
    </row>
    <row r="155" spans="1:47" ht="16.5" customHeight="1">
      <c r="A155" s="76" t="s">
        <v>563</v>
      </c>
      <c r="B155" s="41" t="s">
        <v>882</v>
      </c>
      <c r="C155" s="5" t="s">
        <v>883</v>
      </c>
      <c r="D155" s="77" t="s">
        <v>923</v>
      </c>
      <c r="E155" s="49"/>
      <c r="F155" s="76" t="s">
        <v>564</v>
      </c>
      <c r="G155" s="121" t="s">
        <v>843</v>
      </c>
      <c r="H155" s="122" t="s">
        <v>844</v>
      </c>
      <c r="I155" s="123" t="s">
        <v>888</v>
      </c>
      <c r="J155" s="124">
        <v>2</v>
      </c>
      <c r="K155" s="117">
        <v>1</v>
      </c>
      <c r="L155" s="117">
        <v>1</v>
      </c>
      <c r="M155" s="116">
        <v>14</v>
      </c>
      <c r="N155" s="116">
        <v>4</v>
      </c>
      <c r="O155" s="116">
        <v>0</v>
      </c>
      <c r="P155" s="43">
        <v>2</v>
      </c>
      <c r="Q155" s="116">
        <v>2</v>
      </c>
      <c r="R155" s="116">
        <v>0</v>
      </c>
      <c r="S155" s="116">
        <v>0</v>
      </c>
      <c r="T155" s="116">
        <v>0</v>
      </c>
      <c r="U155" s="116">
        <v>0</v>
      </c>
      <c r="V155" s="116">
        <v>0</v>
      </c>
      <c r="W155" s="116">
        <v>11</v>
      </c>
      <c r="X155" s="116">
        <v>3</v>
      </c>
      <c r="Y155" s="116">
        <v>0</v>
      </c>
      <c r="Z155" s="116">
        <v>5</v>
      </c>
      <c r="AA155" s="116">
        <v>0</v>
      </c>
      <c r="AB155" s="116">
        <v>0</v>
      </c>
      <c r="AC155" s="116">
        <v>0</v>
      </c>
      <c r="AD155" s="116">
        <v>0</v>
      </c>
      <c r="AE155" s="116">
        <v>0</v>
      </c>
      <c r="AF155" s="116">
        <v>0</v>
      </c>
      <c r="AG155" s="116">
        <v>0</v>
      </c>
      <c r="AH155" s="116">
        <v>0</v>
      </c>
      <c r="AI155" s="116">
        <v>1</v>
      </c>
      <c r="AJ155" s="117">
        <v>0</v>
      </c>
      <c r="AK155" s="117">
        <v>11</v>
      </c>
      <c r="AL155" s="117">
        <v>0</v>
      </c>
      <c r="AM155" s="117">
        <v>9</v>
      </c>
      <c r="AN155" s="117">
        <v>47</v>
      </c>
      <c r="AO155" s="117">
        <v>0</v>
      </c>
      <c r="AP155" s="117">
        <v>9</v>
      </c>
      <c r="AQ155" s="117">
        <v>58</v>
      </c>
      <c r="AR155" s="44"/>
      <c r="AS155" s="44"/>
      <c r="AT155" s="46"/>
      <c r="AU155" s="62" t="s">
        <v>887</v>
      </c>
    </row>
    <row r="156" spans="1:47" ht="16.5" customHeight="1">
      <c r="A156" s="76" t="s">
        <v>703</v>
      </c>
      <c r="B156" s="41" t="s">
        <v>882</v>
      </c>
      <c r="C156" s="5" t="s">
        <v>883</v>
      </c>
      <c r="D156" s="77" t="s">
        <v>923</v>
      </c>
      <c r="E156" s="48"/>
      <c r="F156" s="76" t="s">
        <v>704</v>
      </c>
      <c r="G156" s="121" t="s">
        <v>843</v>
      </c>
      <c r="H156" s="122" t="s">
        <v>842</v>
      </c>
      <c r="I156" s="123" t="s">
        <v>888</v>
      </c>
      <c r="J156" s="124">
        <v>2</v>
      </c>
      <c r="K156" s="117">
        <v>7</v>
      </c>
      <c r="L156" s="117">
        <v>1</v>
      </c>
      <c r="M156" s="116">
        <v>11</v>
      </c>
      <c r="N156" s="116">
        <v>6</v>
      </c>
      <c r="O156" s="116">
        <v>0</v>
      </c>
      <c r="P156" s="43">
        <v>1</v>
      </c>
      <c r="Q156" s="116">
        <v>0</v>
      </c>
      <c r="R156" s="116">
        <v>1</v>
      </c>
      <c r="S156" s="116">
        <v>0</v>
      </c>
      <c r="T156" s="116">
        <v>0</v>
      </c>
      <c r="U156" s="116">
        <v>0</v>
      </c>
      <c r="V156" s="116">
        <v>0</v>
      </c>
      <c r="W156" s="116">
        <v>0</v>
      </c>
      <c r="X156" s="116">
        <v>0</v>
      </c>
      <c r="Y156" s="116">
        <v>0</v>
      </c>
      <c r="Z156" s="116">
        <v>10</v>
      </c>
      <c r="AA156" s="116">
        <v>6</v>
      </c>
      <c r="AB156" s="116">
        <v>0</v>
      </c>
      <c r="AC156" s="116">
        <v>0</v>
      </c>
      <c r="AD156" s="116">
        <v>0</v>
      </c>
      <c r="AE156" s="116">
        <v>0</v>
      </c>
      <c r="AF156" s="116">
        <v>0</v>
      </c>
      <c r="AG156" s="116">
        <v>0</v>
      </c>
      <c r="AH156" s="116">
        <v>0</v>
      </c>
      <c r="AI156" s="116">
        <v>1</v>
      </c>
      <c r="AJ156" s="117">
        <v>0</v>
      </c>
      <c r="AK156" s="117">
        <v>8</v>
      </c>
      <c r="AL156" s="117">
        <v>0</v>
      </c>
      <c r="AM156" s="117">
        <v>36</v>
      </c>
      <c r="AN156" s="117">
        <v>22</v>
      </c>
      <c r="AO156" s="117">
        <v>2</v>
      </c>
      <c r="AP156" s="117">
        <v>3</v>
      </c>
      <c r="AQ156" s="117">
        <v>60</v>
      </c>
      <c r="AR156" s="44"/>
      <c r="AS156" s="44"/>
      <c r="AT156" s="46"/>
      <c r="AU156" s="62" t="s">
        <v>936</v>
      </c>
    </row>
    <row r="157" spans="1:47" ht="16.5" customHeight="1">
      <c r="A157" s="76" t="s">
        <v>482</v>
      </c>
      <c r="B157" s="41" t="s">
        <v>882</v>
      </c>
      <c r="C157" s="5" t="s">
        <v>883</v>
      </c>
      <c r="D157" s="77" t="s">
        <v>923</v>
      </c>
      <c r="E157" s="47"/>
      <c r="F157" s="76" t="s">
        <v>483</v>
      </c>
      <c r="G157" s="121" t="s">
        <v>843</v>
      </c>
      <c r="H157" s="122"/>
      <c r="I157" s="123" t="s">
        <v>888</v>
      </c>
      <c r="J157" s="124">
        <v>2</v>
      </c>
      <c r="K157" s="117">
        <v>1</v>
      </c>
      <c r="L157" s="117">
        <v>1</v>
      </c>
      <c r="M157" s="116">
        <v>9</v>
      </c>
      <c r="N157" s="116">
        <v>1</v>
      </c>
      <c r="O157" s="116">
        <v>0</v>
      </c>
      <c r="P157" s="43">
        <v>4</v>
      </c>
      <c r="Q157" s="116">
        <v>2</v>
      </c>
      <c r="R157" s="116">
        <v>2</v>
      </c>
      <c r="S157" s="116">
        <v>0</v>
      </c>
      <c r="T157" s="116">
        <v>0</v>
      </c>
      <c r="U157" s="116">
        <v>0</v>
      </c>
      <c r="V157" s="116">
        <v>0</v>
      </c>
      <c r="W157" s="116">
        <v>0</v>
      </c>
      <c r="X157" s="116">
        <v>0</v>
      </c>
      <c r="Y157" s="116">
        <v>0</v>
      </c>
      <c r="Z157" s="116">
        <v>10</v>
      </c>
      <c r="AA157" s="116">
        <v>2</v>
      </c>
      <c r="AB157" s="116">
        <v>0</v>
      </c>
      <c r="AC157" s="116">
        <v>0</v>
      </c>
      <c r="AD157" s="116">
        <v>0</v>
      </c>
      <c r="AE157" s="116">
        <v>0</v>
      </c>
      <c r="AF157" s="116">
        <v>0</v>
      </c>
      <c r="AG157" s="116">
        <v>0</v>
      </c>
      <c r="AH157" s="116">
        <v>0</v>
      </c>
      <c r="AI157" s="116">
        <v>1</v>
      </c>
      <c r="AJ157" s="117">
        <v>1</v>
      </c>
      <c r="AK157" s="117">
        <v>4</v>
      </c>
      <c r="AL157" s="117">
        <v>0</v>
      </c>
      <c r="AM157" s="117">
        <v>3</v>
      </c>
      <c r="AN157" s="117">
        <v>25</v>
      </c>
      <c r="AO157" s="117">
        <v>0</v>
      </c>
      <c r="AP157" s="117">
        <v>2</v>
      </c>
      <c r="AQ157" s="117">
        <v>29</v>
      </c>
      <c r="AR157" s="44"/>
      <c r="AS157" s="44"/>
      <c r="AT157" s="46"/>
      <c r="AU157" s="62" t="s">
        <v>891</v>
      </c>
    </row>
    <row r="158" spans="1:47" ht="16.5" customHeight="1">
      <c r="A158" s="76" t="s">
        <v>491</v>
      </c>
      <c r="B158" s="41" t="s">
        <v>882</v>
      </c>
      <c r="C158" s="5" t="s">
        <v>883</v>
      </c>
      <c r="D158" s="77" t="s">
        <v>923</v>
      </c>
      <c r="E158" s="48"/>
      <c r="F158" s="76" t="s">
        <v>492</v>
      </c>
      <c r="G158" s="121" t="s">
        <v>843</v>
      </c>
      <c r="H158" s="122"/>
      <c r="I158" s="123" t="s">
        <v>888</v>
      </c>
      <c r="J158" s="124">
        <v>2</v>
      </c>
      <c r="K158" s="117">
        <v>2</v>
      </c>
      <c r="L158" s="117">
        <v>1</v>
      </c>
      <c r="M158" s="116">
        <v>4</v>
      </c>
      <c r="N158" s="116">
        <v>2</v>
      </c>
      <c r="O158" s="116">
        <v>0</v>
      </c>
      <c r="P158" s="43">
        <v>7</v>
      </c>
      <c r="Q158" s="116">
        <v>4</v>
      </c>
      <c r="R158" s="116">
        <v>3</v>
      </c>
      <c r="S158" s="116">
        <v>0</v>
      </c>
      <c r="T158" s="116">
        <v>0</v>
      </c>
      <c r="U158" s="116">
        <v>0</v>
      </c>
      <c r="V158" s="116">
        <v>0</v>
      </c>
      <c r="W158" s="116">
        <v>0</v>
      </c>
      <c r="X158" s="116">
        <v>0</v>
      </c>
      <c r="Y158" s="116">
        <v>0</v>
      </c>
      <c r="Z158" s="116">
        <v>1</v>
      </c>
      <c r="AA158" s="116">
        <v>0</v>
      </c>
      <c r="AB158" s="116">
        <v>0</v>
      </c>
      <c r="AC158" s="116">
        <v>0</v>
      </c>
      <c r="AD158" s="116">
        <v>0</v>
      </c>
      <c r="AE158" s="116">
        <v>0</v>
      </c>
      <c r="AF158" s="116">
        <v>6</v>
      </c>
      <c r="AG158" s="116">
        <v>4</v>
      </c>
      <c r="AH158" s="116">
        <v>0</v>
      </c>
      <c r="AI158" s="116">
        <v>1</v>
      </c>
      <c r="AJ158" s="117">
        <v>1</v>
      </c>
      <c r="AK158" s="117">
        <v>5</v>
      </c>
      <c r="AL158" s="117">
        <v>0</v>
      </c>
      <c r="AM158" s="117">
        <v>5</v>
      </c>
      <c r="AN158" s="117">
        <v>18</v>
      </c>
      <c r="AO158" s="117">
        <v>0</v>
      </c>
      <c r="AP158" s="117">
        <v>5</v>
      </c>
      <c r="AQ158" s="117">
        <v>24</v>
      </c>
      <c r="AR158" s="44"/>
      <c r="AS158" s="44"/>
      <c r="AT158" s="46"/>
      <c r="AU158" s="62" t="s">
        <v>908</v>
      </c>
    </row>
    <row r="159" spans="1:47" ht="16.5" customHeight="1">
      <c r="A159" s="76" t="s">
        <v>362</v>
      </c>
      <c r="B159" s="41" t="s">
        <v>882</v>
      </c>
      <c r="C159" s="5" t="s">
        <v>883</v>
      </c>
      <c r="D159" s="77" t="s">
        <v>923</v>
      </c>
      <c r="E159" s="48"/>
      <c r="F159" s="76" t="s">
        <v>363</v>
      </c>
      <c r="G159" s="121" t="s">
        <v>843</v>
      </c>
      <c r="H159" s="122" t="s">
        <v>842</v>
      </c>
      <c r="I159" s="123" t="s">
        <v>885</v>
      </c>
      <c r="J159" s="124">
        <v>2</v>
      </c>
      <c r="K159" s="117">
        <v>0</v>
      </c>
      <c r="L159" s="117">
        <v>0</v>
      </c>
      <c r="M159" s="116">
        <v>16</v>
      </c>
      <c r="N159" s="116">
        <v>6</v>
      </c>
      <c r="O159" s="116">
        <v>0</v>
      </c>
      <c r="P159" s="43">
        <v>0</v>
      </c>
      <c r="Q159" s="116">
        <v>0</v>
      </c>
      <c r="R159" s="116">
        <v>0</v>
      </c>
      <c r="S159" s="116">
        <v>0</v>
      </c>
      <c r="T159" s="116">
        <v>1</v>
      </c>
      <c r="U159" s="116">
        <v>1</v>
      </c>
      <c r="V159" s="116">
        <v>0</v>
      </c>
      <c r="W159" s="116">
        <v>1</v>
      </c>
      <c r="X159" s="116">
        <v>0</v>
      </c>
      <c r="Y159" s="116">
        <v>0</v>
      </c>
      <c r="Z159" s="116">
        <v>15</v>
      </c>
      <c r="AA159" s="116">
        <v>4</v>
      </c>
      <c r="AB159" s="116">
        <v>0</v>
      </c>
      <c r="AC159" s="116">
        <v>0</v>
      </c>
      <c r="AD159" s="116">
        <v>0</v>
      </c>
      <c r="AE159" s="116">
        <v>0</v>
      </c>
      <c r="AF159" s="116">
        <v>0</v>
      </c>
      <c r="AG159" s="116">
        <v>0</v>
      </c>
      <c r="AH159" s="116">
        <v>0</v>
      </c>
      <c r="AI159" s="116">
        <v>1</v>
      </c>
      <c r="AJ159" s="117">
        <v>0</v>
      </c>
      <c r="AK159" s="117">
        <v>9</v>
      </c>
      <c r="AL159" s="117">
        <v>0</v>
      </c>
      <c r="AM159" s="117">
        <v>0</v>
      </c>
      <c r="AN159" s="117">
        <v>48</v>
      </c>
      <c r="AO159" s="117">
        <v>0</v>
      </c>
      <c r="AP159" s="117">
        <v>8</v>
      </c>
      <c r="AQ159" s="117">
        <v>49</v>
      </c>
      <c r="AR159" s="44"/>
      <c r="AS159" s="44"/>
      <c r="AT159" s="46"/>
      <c r="AU159" s="62" t="s">
        <v>891</v>
      </c>
    </row>
    <row r="160" spans="1:47" ht="16.5" customHeight="1">
      <c r="A160" s="76" t="s">
        <v>494</v>
      </c>
      <c r="B160" s="41" t="s">
        <v>882</v>
      </c>
      <c r="C160" s="5" t="s">
        <v>883</v>
      </c>
      <c r="D160" s="77" t="s">
        <v>923</v>
      </c>
      <c r="E160" s="48"/>
      <c r="F160" s="76" t="s">
        <v>495</v>
      </c>
      <c r="G160" s="121" t="s">
        <v>843</v>
      </c>
      <c r="H160" s="122" t="s">
        <v>842</v>
      </c>
      <c r="I160" s="123" t="s">
        <v>888</v>
      </c>
      <c r="J160" s="124">
        <v>2</v>
      </c>
      <c r="K160" s="117">
        <v>1</v>
      </c>
      <c r="L160" s="117">
        <v>1</v>
      </c>
      <c r="M160" s="116">
        <v>9</v>
      </c>
      <c r="N160" s="116">
        <v>1</v>
      </c>
      <c r="O160" s="116">
        <v>0</v>
      </c>
      <c r="P160" s="43">
        <v>8</v>
      </c>
      <c r="Q160" s="116">
        <v>4</v>
      </c>
      <c r="R160" s="116">
        <v>4</v>
      </c>
      <c r="S160" s="116">
        <v>0</v>
      </c>
      <c r="T160" s="116">
        <v>0</v>
      </c>
      <c r="U160" s="116">
        <v>0</v>
      </c>
      <c r="V160" s="116">
        <v>0</v>
      </c>
      <c r="W160" s="116">
        <v>1</v>
      </c>
      <c r="X160" s="116">
        <v>0</v>
      </c>
      <c r="Y160" s="116">
        <v>0</v>
      </c>
      <c r="Z160" s="116">
        <v>11</v>
      </c>
      <c r="AA160" s="116">
        <v>0</v>
      </c>
      <c r="AB160" s="116">
        <v>0</v>
      </c>
      <c r="AC160" s="116">
        <v>0</v>
      </c>
      <c r="AD160" s="116">
        <v>0</v>
      </c>
      <c r="AE160" s="116">
        <v>0</v>
      </c>
      <c r="AF160" s="116">
        <v>0</v>
      </c>
      <c r="AG160" s="116">
        <v>4</v>
      </c>
      <c r="AH160" s="116">
        <v>0</v>
      </c>
      <c r="AI160" s="116">
        <v>1</v>
      </c>
      <c r="AJ160" s="117">
        <v>3</v>
      </c>
      <c r="AK160" s="117">
        <v>9</v>
      </c>
      <c r="AL160" s="117">
        <v>0</v>
      </c>
      <c r="AM160" s="117">
        <v>8</v>
      </c>
      <c r="AN160" s="117">
        <v>65</v>
      </c>
      <c r="AO160" s="117">
        <v>0</v>
      </c>
      <c r="AP160" s="117">
        <v>9</v>
      </c>
      <c r="AQ160" s="117">
        <v>78</v>
      </c>
      <c r="AR160" s="44"/>
      <c r="AS160" s="44"/>
      <c r="AT160" s="46"/>
      <c r="AU160" s="62" t="s">
        <v>912</v>
      </c>
    </row>
    <row r="161" spans="1:47" ht="16.5" customHeight="1">
      <c r="A161" s="76" t="s">
        <v>30</v>
      </c>
      <c r="B161" s="41" t="s">
        <v>882</v>
      </c>
      <c r="C161" s="5" t="s">
        <v>883</v>
      </c>
      <c r="D161" s="77" t="s">
        <v>923</v>
      </c>
      <c r="E161" s="48"/>
      <c r="F161" s="76" t="s">
        <v>31</v>
      </c>
      <c r="G161" s="121" t="s">
        <v>843</v>
      </c>
      <c r="H161" s="122" t="s">
        <v>842</v>
      </c>
      <c r="I161" s="123" t="s">
        <v>888</v>
      </c>
      <c r="J161" s="124">
        <v>2</v>
      </c>
      <c r="K161" s="117">
        <v>2</v>
      </c>
      <c r="L161" s="117">
        <v>1</v>
      </c>
      <c r="M161" s="116">
        <v>11</v>
      </c>
      <c r="N161" s="116">
        <v>4</v>
      </c>
      <c r="O161" s="116">
        <v>0</v>
      </c>
      <c r="P161" s="43">
        <v>7</v>
      </c>
      <c r="Q161" s="116">
        <v>4</v>
      </c>
      <c r="R161" s="116">
        <v>3</v>
      </c>
      <c r="S161" s="116">
        <v>0</v>
      </c>
      <c r="T161" s="116">
        <v>2</v>
      </c>
      <c r="U161" s="116">
        <v>2</v>
      </c>
      <c r="V161" s="116">
        <v>0</v>
      </c>
      <c r="W161" s="116">
        <v>0</v>
      </c>
      <c r="X161" s="116">
        <v>0</v>
      </c>
      <c r="Y161" s="116">
        <v>0</v>
      </c>
      <c r="Z161" s="116">
        <v>0</v>
      </c>
      <c r="AA161" s="116">
        <v>0</v>
      </c>
      <c r="AB161" s="116">
        <v>0</v>
      </c>
      <c r="AC161" s="116">
        <v>0</v>
      </c>
      <c r="AD161" s="116">
        <v>0</v>
      </c>
      <c r="AE161" s="116">
        <v>0</v>
      </c>
      <c r="AF161" s="116">
        <v>12</v>
      </c>
      <c r="AG161" s="116">
        <v>4</v>
      </c>
      <c r="AH161" s="116">
        <v>0</v>
      </c>
      <c r="AI161" s="116">
        <v>1</v>
      </c>
      <c r="AJ161" s="117">
        <v>0</v>
      </c>
      <c r="AK161" s="117">
        <v>8</v>
      </c>
      <c r="AL161" s="117">
        <v>0</v>
      </c>
      <c r="AM161" s="117">
        <v>0</v>
      </c>
      <c r="AN161" s="117">
        <v>64</v>
      </c>
      <c r="AO161" s="117">
        <v>0</v>
      </c>
      <c r="AP161" s="117">
        <v>5</v>
      </c>
      <c r="AQ161" s="117">
        <v>67</v>
      </c>
      <c r="AR161" s="44"/>
      <c r="AS161" s="44"/>
      <c r="AT161" s="46"/>
      <c r="AU161" s="62" t="s">
        <v>886</v>
      </c>
    </row>
    <row r="162" spans="1:47" ht="16.5" customHeight="1">
      <c r="A162" s="76" t="s">
        <v>497</v>
      </c>
      <c r="B162" s="41" t="s">
        <v>882</v>
      </c>
      <c r="C162" s="5" t="s">
        <v>883</v>
      </c>
      <c r="D162" s="77" t="s">
        <v>923</v>
      </c>
      <c r="E162" s="49"/>
      <c r="F162" s="76" t="s">
        <v>498</v>
      </c>
      <c r="G162" s="121" t="s">
        <v>843</v>
      </c>
      <c r="H162" s="122"/>
      <c r="I162" s="123" t="s">
        <v>888</v>
      </c>
      <c r="J162" s="124">
        <v>2</v>
      </c>
      <c r="K162" s="117">
        <v>1</v>
      </c>
      <c r="L162" s="117">
        <v>1</v>
      </c>
      <c r="M162" s="116">
        <v>10</v>
      </c>
      <c r="N162" s="116">
        <v>3</v>
      </c>
      <c r="O162" s="116">
        <v>0</v>
      </c>
      <c r="P162" s="43">
        <v>3</v>
      </c>
      <c r="Q162" s="116">
        <v>1</v>
      </c>
      <c r="R162" s="116">
        <v>2</v>
      </c>
      <c r="S162" s="116">
        <v>0</v>
      </c>
      <c r="T162" s="116">
        <v>0</v>
      </c>
      <c r="U162" s="116">
        <v>0</v>
      </c>
      <c r="V162" s="116">
        <v>0</v>
      </c>
      <c r="W162" s="116">
        <v>0</v>
      </c>
      <c r="X162" s="116">
        <v>0</v>
      </c>
      <c r="Y162" s="116">
        <v>0</v>
      </c>
      <c r="Z162" s="116">
        <v>0</v>
      </c>
      <c r="AA162" s="116">
        <v>0</v>
      </c>
      <c r="AB162" s="116">
        <v>0</v>
      </c>
      <c r="AC162" s="116">
        <v>0</v>
      </c>
      <c r="AD162" s="116">
        <v>0</v>
      </c>
      <c r="AE162" s="116">
        <v>0</v>
      </c>
      <c r="AF162" s="116">
        <v>10</v>
      </c>
      <c r="AG162" s="116">
        <v>4</v>
      </c>
      <c r="AH162" s="116">
        <v>0</v>
      </c>
      <c r="AI162" s="116">
        <v>1</v>
      </c>
      <c r="AJ162" s="117">
        <v>0</v>
      </c>
      <c r="AK162" s="117">
        <v>10</v>
      </c>
      <c r="AL162" s="117">
        <v>0</v>
      </c>
      <c r="AM162" s="117">
        <v>18</v>
      </c>
      <c r="AN162" s="117">
        <v>25</v>
      </c>
      <c r="AO162" s="117">
        <v>0</v>
      </c>
      <c r="AP162" s="117">
        <v>3</v>
      </c>
      <c r="AQ162" s="117">
        <v>54</v>
      </c>
      <c r="AR162" s="44"/>
      <c r="AS162" s="44"/>
      <c r="AT162" s="46"/>
      <c r="AU162" s="62" t="s">
        <v>893</v>
      </c>
    </row>
    <row r="163" spans="1:47" ht="16.5" customHeight="1">
      <c r="A163" s="76" t="s">
        <v>749</v>
      </c>
      <c r="B163" s="41" t="s">
        <v>882</v>
      </c>
      <c r="C163" s="5" t="s">
        <v>883</v>
      </c>
      <c r="D163" s="77" t="s">
        <v>923</v>
      </c>
      <c r="E163" s="50"/>
      <c r="F163" s="76" t="s">
        <v>750</v>
      </c>
      <c r="G163" s="121" t="s">
        <v>843</v>
      </c>
      <c r="H163" s="122"/>
      <c r="I163" s="123" t="s">
        <v>888</v>
      </c>
      <c r="J163" s="124">
        <v>2</v>
      </c>
      <c r="K163" s="117">
        <v>1</v>
      </c>
      <c r="L163" s="117">
        <v>1</v>
      </c>
      <c r="M163" s="116">
        <v>11</v>
      </c>
      <c r="N163" s="116">
        <v>1</v>
      </c>
      <c r="O163" s="116">
        <v>0</v>
      </c>
      <c r="P163" s="43">
        <v>2</v>
      </c>
      <c r="Q163" s="116">
        <v>0</v>
      </c>
      <c r="R163" s="116">
        <v>2</v>
      </c>
      <c r="S163" s="116">
        <v>0</v>
      </c>
      <c r="T163" s="116">
        <v>0</v>
      </c>
      <c r="U163" s="116">
        <v>0</v>
      </c>
      <c r="V163" s="116">
        <v>0</v>
      </c>
      <c r="W163" s="116">
        <v>2</v>
      </c>
      <c r="X163" s="116">
        <v>1</v>
      </c>
      <c r="Y163" s="116">
        <v>0</v>
      </c>
      <c r="Z163" s="116">
        <v>9</v>
      </c>
      <c r="AA163" s="116">
        <v>1</v>
      </c>
      <c r="AB163" s="116">
        <v>0</v>
      </c>
      <c r="AC163" s="116">
        <v>0</v>
      </c>
      <c r="AD163" s="116">
        <v>0</v>
      </c>
      <c r="AE163" s="116">
        <v>0</v>
      </c>
      <c r="AF163" s="116">
        <v>0</v>
      </c>
      <c r="AG163" s="116">
        <v>0</v>
      </c>
      <c r="AH163" s="116">
        <v>0</v>
      </c>
      <c r="AI163" s="116">
        <v>1</v>
      </c>
      <c r="AJ163" s="117">
        <v>0</v>
      </c>
      <c r="AK163" s="117">
        <v>4</v>
      </c>
      <c r="AL163" s="117">
        <v>2</v>
      </c>
      <c r="AM163" s="117">
        <v>6</v>
      </c>
      <c r="AN163" s="117">
        <v>21</v>
      </c>
      <c r="AO163" s="117">
        <v>0</v>
      </c>
      <c r="AP163" s="117">
        <v>2</v>
      </c>
      <c r="AQ163" s="117">
        <v>29</v>
      </c>
      <c r="AR163" s="44"/>
      <c r="AS163" s="44"/>
      <c r="AT163" s="46"/>
      <c r="AU163" s="62" t="s">
        <v>904</v>
      </c>
    </row>
    <row r="164" spans="1:47" ht="16.5" customHeight="1">
      <c r="A164" s="76" t="s">
        <v>751</v>
      </c>
      <c r="B164" s="41" t="s">
        <v>882</v>
      </c>
      <c r="C164" s="5" t="s">
        <v>883</v>
      </c>
      <c r="D164" s="77" t="s">
        <v>923</v>
      </c>
      <c r="E164" s="49"/>
      <c r="F164" s="76" t="s">
        <v>752</v>
      </c>
      <c r="G164" s="121" t="s">
        <v>843</v>
      </c>
      <c r="H164" s="122"/>
      <c r="I164" s="123" t="s">
        <v>888</v>
      </c>
      <c r="J164" s="124">
        <v>2</v>
      </c>
      <c r="K164" s="117">
        <v>1</v>
      </c>
      <c r="L164" s="117">
        <v>1</v>
      </c>
      <c r="M164" s="116">
        <v>5</v>
      </c>
      <c r="N164" s="116">
        <v>1</v>
      </c>
      <c r="O164" s="116">
        <v>0</v>
      </c>
      <c r="P164" s="43">
        <v>6</v>
      </c>
      <c r="Q164" s="116">
        <v>3</v>
      </c>
      <c r="R164" s="116">
        <v>3</v>
      </c>
      <c r="S164" s="116">
        <v>0</v>
      </c>
      <c r="T164" s="116">
        <v>0</v>
      </c>
      <c r="U164" s="116">
        <v>0</v>
      </c>
      <c r="V164" s="116">
        <v>0</v>
      </c>
      <c r="W164" s="116">
        <v>0</v>
      </c>
      <c r="X164" s="116">
        <v>0</v>
      </c>
      <c r="Y164" s="116">
        <v>0</v>
      </c>
      <c r="Z164" s="116">
        <v>7</v>
      </c>
      <c r="AA164" s="116">
        <v>3</v>
      </c>
      <c r="AB164" s="116">
        <v>0</v>
      </c>
      <c r="AC164" s="116">
        <v>0</v>
      </c>
      <c r="AD164" s="116">
        <v>0</v>
      </c>
      <c r="AE164" s="116">
        <v>0</v>
      </c>
      <c r="AF164" s="116">
        <v>0</v>
      </c>
      <c r="AG164" s="116">
        <v>0</v>
      </c>
      <c r="AH164" s="116">
        <v>0</v>
      </c>
      <c r="AI164" s="116">
        <v>1</v>
      </c>
      <c r="AJ164" s="117">
        <v>0</v>
      </c>
      <c r="AK164" s="117">
        <v>7</v>
      </c>
      <c r="AL164" s="117">
        <v>1</v>
      </c>
      <c r="AM164" s="117">
        <v>6</v>
      </c>
      <c r="AN164" s="117">
        <v>17</v>
      </c>
      <c r="AO164" s="117">
        <v>0</v>
      </c>
      <c r="AP164" s="117">
        <v>3</v>
      </c>
      <c r="AQ164" s="117">
        <v>29</v>
      </c>
      <c r="AR164" s="44"/>
      <c r="AS164" s="44"/>
      <c r="AT164" s="46"/>
      <c r="AU164" s="62" t="s">
        <v>937</v>
      </c>
    </row>
    <row r="165" spans="1:47" ht="16.5" customHeight="1">
      <c r="A165" s="76" t="s">
        <v>500</v>
      </c>
      <c r="B165" s="41" t="s">
        <v>882</v>
      </c>
      <c r="C165" s="5" t="s">
        <v>883</v>
      </c>
      <c r="D165" s="77" t="s">
        <v>923</v>
      </c>
      <c r="E165" s="47"/>
      <c r="F165" s="76" t="s">
        <v>501</v>
      </c>
      <c r="G165" s="121" t="s">
        <v>843</v>
      </c>
      <c r="H165" s="122" t="s">
        <v>842</v>
      </c>
      <c r="I165" s="123" t="s">
        <v>888</v>
      </c>
      <c r="J165" s="124">
        <v>2</v>
      </c>
      <c r="K165" s="117">
        <v>1</v>
      </c>
      <c r="L165" s="117">
        <v>1</v>
      </c>
      <c r="M165" s="116">
        <v>5</v>
      </c>
      <c r="N165" s="116">
        <v>4</v>
      </c>
      <c r="O165" s="116">
        <v>0</v>
      </c>
      <c r="P165" s="43">
        <v>6</v>
      </c>
      <c r="Q165" s="116">
        <v>4</v>
      </c>
      <c r="R165" s="116">
        <v>2</v>
      </c>
      <c r="S165" s="116">
        <v>0</v>
      </c>
      <c r="T165" s="116">
        <v>0</v>
      </c>
      <c r="U165" s="116">
        <v>0</v>
      </c>
      <c r="V165" s="116">
        <v>0</v>
      </c>
      <c r="W165" s="116">
        <v>0</v>
      </c>
      <c r="X165" s="116">
        <v>2</v>
      </c>
      <c r="Y165" s="116">
        <v>0</v>
      </c>
      <c r="Z165" s="116">
        <v>0</v>
      </c>
      <c r="AA165" s="116">
        <v>0</v>
      </c>
      <c r="AB165" s="116">
        <v>0</v>
      </c>
      <c r="AC165" s="116">
        <v>0</v>
      </c>
      <c r="AD165" s="116">
        <v>0</v>
      </c>
      <c r="AE165" s="116">
        <v>0</v>
      </c>
      <c r="AF165" s="116">
        <v>8</v>
      </c>
      <c r="AG165" s="116">
        <v>3</v>
      </c>
      <c r="AH165" s="116">
        <v>0</v>
      </c>
      <c r="AI165" s="116">
        <v>1</v>
      </c>
      <c r="AJ165" s="117">
        <v>1</v>
      </c>
      <c r="AK165" s="117">
        <v>8</v>
      </c>
      <c r="AL165" s="117">
        <v>0</v>
      </c>
      <c r="AM165" s="117">
        <v>13</v>
      </c>
      <c r="AN165" s="117">
        <v>33</v>
      </c>
      <c r="AO165" s="117">
        <v>1</v>
      </c>
      <c r="AP165" s="117">
        <v>6</v>
      </c>
      <c r="AQ165" s="117">
        <v>48</v>
      </c>
      <c r="AR165" s="44"/>
      <c r="AS165" s="44"/>
      <c r="AT165" s="46"/>
      <c r="AU165" s="62" t="s">
        <v>904</v>
      </c>
    </row>
    <row r="166" spans="1:47" ht="16.5" customHeight="1">
      <c r="A166" s="76" t="s">
        <v>767</v>
      </c>
      <c r="B166" s="41" t="s">
        <v>882</v>
      </c>
      <c r="C166" s="5" t="s">
        <v>883</v>
      </c>
      <c r="D166" s="77" t="s">
        <v>923</v>
      </c>
      <c r="E166" s="47"/>
      <c r="F166" s="76" t="s">
        <v>768</v>
      </c>
      <c r="G166" s="121" t="s">
        <v>843</v>
      </c>
      <c r="H166" s="122"/>
      <c r="I166" s="123" t="s">
        <v>888</v>
      </c>
      <c r="J166" s="124">
        <v>2</v>
      </c>
      <c r="K166" s="117">
        <v>1</v>
      </c>
      <c r="L166" s="117">
        <v>1</v>
      </c>
      <c r="M166" s="116">
        <v>5</v>
      </c>
      <c r="N166" s="116">
        <v>2</v>
      </c>
      <c r="O166" s="116">
        <v>0</v>
      </c>
      <c r="P166" s="43">
        <v>8</v>
      </c>
      <c r="Q166" s="116">
        <v>7</v>
      </c>
      <c r="R166" s="116">
        <v>1</v>
      </c>
      <c r="S166" s="116">
        <v>0</v>
      </c>
      <c r="T166" s="116">
        <v>0</v>
      </c>
      <c r="U166" s="116">
        <v>0</v>
      </c>
      <c r="V166" s="116">
        <v>0</v>
      </c>
      <c r="W166" s="116">
        <v>0</v>
      </c>
      <c r="X166" s="116">
        <v>0</v>
      </c>
      <c r="Y166" s="116">
        <v>0</v>
      </c>
      <c r="Z166" s="116">
        <v>11</v>
      </c>
      <c r="AA166" s="116">
        <v>2</v>
      </c>
      <c r="AB166" s="116">
        <v>0</v>
      </c>
      <c r="AC166" s="116">
        <v>0</v>
      </c>
      <c r="AD166" s="116">
        <v>0</v>
      </c>
      <c r="AE166" s="116">
        <v>0</v>
      </c>
      <c r="AF166" s="116">
        <v>0</v>
      </c>
      <c r="AG166" s="116">
        <v>0</v>
      </c>
      <c r="AH166" s="116">
        <v>0</v>
      </c>
      <c r="AI166" s="116">
        <v>1</v>
      </c>
      <c r="AJ166" s="117">
        <v>0</v>
      </c>
      <c r="AK166" s="117">
        <v>5</v>
      </c>
      <c r="AL166" s="117">
        <v>0</v>
      </c>
      <c r="AM166" s="117">
        <v>0</v>
      </c>
      <c r="AN166" s="117">
        <v>19</v>
      </c>
      <c r="AO166" s="117">
        <v>0</v>
      </c>
      <c r="AP166" s="117">
        <v>4</v>
      </c>
      <c r="AQ166" s="117">
        <v>20</v>
      </c>
      <c r="AR166" s="44"/>
      <c r="AS166" s="44"/>
      <c r="AT166" s="46"/>
      <c r="AU166" s="62" t="s">
        <v>887</v>
      </c>
    </row>
    <row r="167" spans="1:47" ht="16.5" customHeight="1">
      <c r="A167" s="76" t="s">
        <v>769</v>
      </c>
      <c r="B167" s="41" t="s">
        <v>882</v>
      </c>
      <c r="C167" s="5" t="s">
        <v>883</v>
      </c>
      <c r="D167" s="77" t="s">
        <v>923</v>
      </c>
      <c r="E167" s="48"/>
      <c r="F167" s="76" t="s">
        <v>770</v>
      </c>
      <c r="G167" s="121" t="s">
        <v>843</v>
      </c>
      <c r="H167" s="122" t="s">
        <v>842</v>
      </c>
      <c r="I167" s="123" t="s">
        <v>885</v>
      </c>
      <c r="J167" s="124">
        <v>2</v>
      </c>
      <c r="K167" s="117">
        <v>1</v>
      </c>
      <c r="L167" s="117">
        <v>1</v>
      </c>
      <c r="M167" s="116">
        <v>6</v>
      </c>
      <c r="N167" s="116">
        <v>2</v>
      </c>
      <c r="O167" s="116">
        <v>0</v>
      </c>
      <c r="P167" s="43">
        <v>13</v>
      </c>
      <c r="Q167" s="116">
        <v>9</v>
      </c>
      <c r="R167" s="116">
        <v>4</v>
      </c>
      <c r="S167" s="116">
        <v>0</v>
      </c>
      <c r="T167" s="116">
        <v>1</v>
      </c>
      <c r="U167" s="116">
        <v>0</v>
      </c>
      <c r="V167" s="116">
        <v>0</v>
      </c>
      <c r="W167" s="116">
        <v>0</v>
      </c>
      <c r="X167" s="116">
        <v>0</v>
      </c>
      <c r="Y167" s="116">
        <v>0</v>
      </c>
      <c r="Z167" s="116">
        <v>0</v>
      </c>
      <c r="AA167" s="116">
        <v>0</v>
      </c>
      <c r="AB167" s="116">
        <v>0</v>
      </c>
      <c r="AC167" s="116">
        <v>0</v>
      </c>
      <c r="AD167" s="116">
        <v>0</v>
      </c>
      <c r="AE167" s="116">
        <v>0</v>
      </c>
      <c r="AF167" s="116">
        <v>13</v>
      </c>
      <c r="AG167" s="116">
        <v>5</v>
      </c>
      <c r="AH167" s="116">
        <v>0</v>
      </c>
      <c r="AI167" s="116">
        <v>1</v>
      </c>
      <c r="AJ167" s="117">
        <v>1</v>
      </c>
      <c r="AK167" s="117">
        <v>8</v>
      </c>
      <c r="AL167" s="117">
        <v>0</v>
      </c>
      <c r="AM167" s="117">
        <v>12</v>
      </c>
      <c r="AN167" s="117">
        <v>33</v>
      </c>
      <c r="AO167" s="117">
        <v>0</v>
      </c>
      <c r="AP167" s="117">
        <v>7</v>
      </c>
      <c r="AQ167" s="117">
        <v>47</v>
      </c>
      <c r="AR167" s="44"/>
      <c r="AS167" s="44"/>
      <c r="AT167" s="46"/>
      <c r="AU167" s="62" t="s">
        <v>897</v>
      </c>
    </row>
    <row r="168" spans="1:47" ht="16.5" customHeight="1">
      <c r="A168" s="76" t="s">
        <v>115</v>
      </c>
      <c r="B168" s="41" t="s">
        <v>882</v>
      </c>
      <c r="C168" s="5" t="s">
        <v>883</v>
      </c>
      <c r="D168" s="77" t="s">
        <v>923</v>
      </c>
      <c r="E168" s="48"/>
      <c r="F168" s="76" t="s">
        <v>116</v>
      </c>
      <c r="G168" s="121" t="s">
        <v>843</v>
      </c>
      <c r="H168" s="122"/>
      <c r="I168" s="123" t="s">
        <v>888</v>
      </c>
      <c r="J168" s="124">
        <v>2</v>
      </c>
      <c r="K168" s="117">
        <v>1</v>
      </c>
      <c r="L168" s="117">
        <v>1</v>
      </c>
      <c r="M168" s="116">
        <v>20</v>
      </c>
      <c r="N168" s="116">
        <v>4</v>
      </c>
      <c r="O168" s="116">
        <v>0</v>
      </c>
      <c r="P168" s="43">
        <v>4</v>
      </c>
      <c r="Q168" s="116">
        <v>4</v>
      </c>
      <c r="R168" s="116">
        <v>0</v>
      </c>
      <c r="S168" s="116">
        <v>0</v>
      </c>
      <c r="T168" s="116">
        <v>0</v>
      </c>
      <c r="U168" s="116">
        <v>0</v>
      </c>
      <c r="V168" s="116">
        <v>0</v>
      </c>
      <c r="W168" s="116">
        <v>2</v>
      </c>
      <c r="X168" s="116">
        <v>3</v>
      </c>
      <c r="Y168" s="116">
        <v>0</v>
      </c>
      <c r="Z168" s="116">
        <v>0</v>
      </c>
      <c r="AA168" s="116">
        <v>0</v>
      </c>
      <c r="AB168" s="116">
        <v>0</v>
      </c>
      <c r="AC168" s="116">
        <v>0</v>
      </c>
      <c r="AD168" s="116">
        <v>0</v>
      </c>
      <c r="AE168" s="116">
        <v>0</v>
      </c>
      <c r="AF168" s="116">
        <v>21</v>
      </c>
      <c r="AG168" s="116">
        <v>1</v>
      </c>
      <c r="AH168" s="116">
        <v>0</v>
      </c>
      <c r="AI168" s="116">
        <v>1</v>
      </c>
      <c r="AJ168" s="117">
        <v>0</v>
      </c>
      <c r="AK168" s="117">
        <v>11</v>
      </c>
      <c r="AL168" s="117">
        <v>0</v>
      </c>
      <c r="AM168" s="117">
        <v>0</v>
      </c>
      <c r="AN168" s="117">
        <v>47</v>
      </c>
      <c r="AO168" s="117">
        <v>0</v>
      </c>
      <c r="AP168" s="117">
        <v>10</v>
      </c>
      <c r="AQ168" s="117">
        <v>48</v>
      </c>
      <c r="AR168" s="44"/>
      <c r="AS168" s="44"/>
      <c r="AT168" s="46"/>
      <c r="AU168" s="62" t="s">
        <v>897</v>
      </c>
    </row>
    <row r="169" spans="1:47" ht="16.5" customHeight="1">
      <c r="A169" s="76" t="s">
        <v>380</v>
      </c>
      <c r="B169" s="41" t="s">
        <v>882</v>
      </c>
      <c r="C169" s="5" t="s">
        <v>883</v>
      </c>
      <c r="D169" s="77" t="s">
        <v>923</v>
      </c>
      <c r="E169" s="47"/>
      <c r="F169" s="76" t="s">
        <v>381</v>
      </c>
      <c r="G169" s="121" t="s">
        <v>843</v>
      </c>
      <c r="H169" s="122" t="s">
        <v>842</v>
      </c>
      <c r="I169" s="123" t="s">
        <v>888</v>
      </c>
      <c r="J169" s="124">
        <v>2</v>
      </c>
      <c r="K169" s="117">
        <v>1</v>
      </c>
      <c r="L169" s="117">
        <v>1</v>
      </c>
      <c r="M169" s="116">
        <v>13</v>
      </c>
      <c r="N169" s="116">
        <v>3</v>
      </c>
      <c r="O169" s="116">
        <v>0</v>
      </c>
      <c r="P169" s="43">
        <v>0</v>
      </c>
      <c r="Q169" s="116">
        <v>0</v>
      </c>
      <c r="R169" s="116">
        <v>0</v>
      </c>
      <c r="S169" s="116">
        <v>0</v>
      </c>
      <c r="T169" s="116">
        <v>1</v>
      </c>
      <c r="U169" s="116">
        <v>0</v>
      </c>
      <c r="V169" s="116">
        <v>0</v>
      </c>
      <c r="W169" s="116">
        <v>0</v>
      </c>
      <c r="X169" s="116">
        <v>0</v>
      </c>
      <c r="Y169" s="116">
        <v>0</v>
      </c>
      <c r="Z169" s="116">
        <v>11</v>
      </c>
      <c r="AA169" s="116">
        <v>2</v>
      </c>
      <c r="AB169" s="116">
        <v>0</v>
      </c>
      <c r="AC169" s="116">
        <v>0</v>
      </c>
      <c r="AD169" s="116">
        <v>0</v>
      </c>
      <c r="AE169" s="116">
        <v>0</v>
      </c>
      <c r="AF169" s="116">
        <v>0</v>
      </c>
      <c r="AG169" s="116">
        <v>0</v>
      </c>
      <c r="AH169" s="116">
        <v>0</v>
      </c>
      <c r="AI169" s="116">
        <v>1</v>
      </c>
      <c r="AJ169" s="117">
        <v>0</v>
      </c>
      <c r="AK169" s="117">
        <v>10</v>
      </c>
      <c r="AL169" s="117">
        <v>0</v>
      </c>
      <c r="AM169" s="117">
        <v>0</v>
      </c>
      <c r="AN169" s="117">
        <v>57</v>
      </c>
      <c r="AO169" s="117">
        <v>0</v>
      </c>
      <c r="AP169" s="117">
        <v>5</v>
      </c>
      <c r="AQ169" s="117">
        <v>57</v>
      </c>
      <c r="AR169" s="44"/>
      <c r="AS169" s="44"/>
      <c r="AT169" s="46"/>
      <c r="AU169" s="62" t="s">
        <v>891</v>
      </c>
    </row>
    <row r="170" spans="1:47" ht="16.5" customHeight="1">
      <c r="A170" s="76" t="s">
        <v>509</v>
      </c>
      <c r="B170" s="41" t="s">
        <v>882</v>
      </c>
      <c r="C170" s="5" t="s">
        <v>883</v>
      </c>
      <c r="D170" s="77" t="s">
        <v>923</v>
      </c>
      <c r="E170" s="48"/>
      <c r="F170" s="76" t="s">
        <v>510</v>
      </c>
      <c r="G170" s="121" t="s">
        <v>843</v>
      </c>
      <c r="H170" s="122" t="s">
        <v>842</v>
      </c>
      <c r="I170" s="123" t="s">
        <v>885</v>
      </c>
      <c r="J170" s="124">
        <v>2</v>
      </c>
      <c r="K170" s="117">
        <v>3</v>
      </c>
      <c r="L170" s="117">
        <v>1</v>
      </c>
      <c r="M170" s="116">
        <v>7</v>
      </c>
      <c r="N170" s="116">
        <v>3</v>
      </c>
      <c r="O170" s="116">
        <v>0</v>
      </c>
      <c r="P170" s="43">
        <v>6</v>
      </c>
      <c r="Q170" s="116">
        <v>4</v>
      </c>
      <c r="R170" s="116">
        <v>2</v>
      </c>
      <c r="S170" s="116">
        <v>0</v>
      </c>
      <c r="T170" s="116">
        <v>1</v>
      </c>
      <c r="U170" s="116">
        <v>1</v>
      </c>
      <c r="V170" s="116">
        <v>0</v>
      </c>
      <c r="W170" s="116">
        <v>0</v>
      </c>
      <c r="X170" s="116">
        <v>0</v>
      </c>
      <c r="Y170" s="116">
        <v>0</v>
      </c>
      <c r="Z170" s="116">
        <v>5</v>
      </c>
      <c r="AA170" s="116">
        <v>0</v>
      </c>
      <c r="AB170" s="116">
        <v>0</v>
      </c>
      <c r="AC170" s="116">
        <v>0</v>
      </c>
      <c r="AD170" s="116">
        <v>0</v>
      </c>
      <c r="AE170" s="116">
        <v>0</v>
      </c>
      <c r="AF170" s="116">
        <v>5</v>
      </c>
      <c r="AG170" s="116">
        <v>3</v>
      </c>
      <c r="AH170" s="116">
        <v>0</v>
      </c>
      <c r="AI170" s="116">
        <v>1</v>
      </c>
      <c r="AJ170" s="117">
        <v>3</v>
      </c>
      <c r="AK170" s="117">
        <v>5</v>
      </c>
      <c r="AL170" s="117">
        <v>0</v>
      </c>
      <c r="AM170" s="117">
        <v>2</v>
      </c>
      <c r="AN170" s="117">
        <v>52</v>
      </c>
      <c r="AO170" s="117">
        <v>0</v>
      </c>
      <c r="AP170" s="117">
        <v>7</v>
      </c>
      <c r="AQ170" s="117">
        <v>55</v>
      </c>
      <c r="AR170" s="44"/>
      <c r="AS170" s="44"/>
      <c r="AT170" s="46"/>
      <c r="AU170" s="62" t="s">
        <v>887</v>
      </c>
    </row>
    <row r="171" spans="1:47" ht="16.5" customHeight="1">
      <c r="A171" s="76" t="s">
        <v>566</v>
      </c>
      <c r="B171" s="41" t="s">
        <v>882</v>
      </c>
      <c r="C171" s="5" t="s">
        <v>883</v>
      </c>
      <c r="D171" s="77" t="s">
        <v>923</v>
      </c>
      <c r="E171" s="48"/>
      <c r="F171" s="76" t="s">
        <v>567</v>
      </c>
      <c r="G171" s="121" t="s">
        <v>843</v>
      </c>
      <c r="H171" s="122" t="s">
        <v>842</v>
      </c>
      <c r="I171" s="123" t="s">
        <v>888</v>
      </c>
      <c r="J171" s="124">
        <v>2</v>
      </c>
      <c r="K171" s="117">
        <v>1</v>
      </c>
      <c r="L171" s="117">
        <v>1</v>
      </c>
      <c r="M171" s="116">
        <v>16</v>
      </c>
      <c r="N171" s="116">
        <v>23</v>
      </c>
      <c r="O171" s="116">
        <v>0</v>
      </c>
      <c r="P171" s="43">
        <v>0</v>
      </c>
      <c r="Q171" s="116">
        <v>0</v>
      </c>
      <c r="R171" s="116">
        <v>0</v>
      </c>
      <c r="S171" s="116">
        <v>0</v>
      </c>
      <c r="T171" s="116">
        <v>3</v>
      </c>
      <c r="U171" s="116">
        <v>0</v>
      </c>
      <c r="V171" s="116">
        <v>0</v>
      </c>
      <c r="W171" s="116">
        <v>0</v>
      </c>
      <c r="X171" s="116">
        <v>0</v>
      </c>
      <c r="Y171" s="116">
        <v>0</v>
      </c>
      <c r="Z171" s="116">
        <v>12</v>
      </c>
      <c r="AA171" s="116">
        <v>21</v>
      </c>
      <c r="AB171" s="116">
        <v>0</v>
      </c>
      <c r="AC171" s="116">
        <v>0</v>
      </c>
      <c r="AD171" s="116">
        <v>0</v>
      </c>
      <c r="AE171" s="116">
        <v>0</v>
      </c>
      <c r="AF171" s="116">
        <v>0</v>
      </c>
      <c r="AG171" s="116">
        <v>1</v>
      </c>
      <c r="AH171" s="116">
        <v>0</v>
      </c>
      <c r="AI171" s="116">
        <v>1</v>
      </c>
      <c r="AJ171" s="117">
        <v>0</v>
      </c>
      <c r="AK171" s="117">
        <v>18</v>
      </c>
      <c r="AL171" s="117">
        <v>0</v>
      </c>
      <c r="AM171" s="117">
        <v>0</v>
      </c>
      <c r="AN171" s="117">
        <v>87</v>
      </c>
      <c r="AO171" s="117">
        <v>0</v>
      </c>
      <c r="AP171" s="117">
        <v>13</v>
      </c>
      <c r="AQ171" s="117">
        <v>92</v>
      </c>
      <c r="AR171" s="44"/>
      <c r="AS171" s="44"/>
      <c r="AT171" s="46"/>
      <c r="AU171" s="62" t="s">
        <v>938</v>
      </c>
    </row>
    <row r="172" spans="1:47" ht="16.5" customHeight="1">
      <c r="A172" s="76" t="s">
        <v>118</v>
      </c>
      <c r="B172" s="41" t="s">
        <v>882</v>
      </c>
      <c r="C172" s="5" t="s">
        <v>883</v>
      </c>
      <c r="D172" s="77" t="s">
        <v>923</v>
      </c>
      <c r="E172" s="48"/>
      <c r="F172" s="76" t="s">
        <v>119</v>
      </c>
      <c r="G172" s="121" t="s">
        <v>843</v>
      </c>
      <c r="H172" s="122" t="s">
        <v>842</v>
      </c>
      <c r="I172" s="123" t="s">
        <v>888</v>
      </c>
      <c r="J172" s="124">
        <v>2</v>
      </c>
      <c r="K172" s="117">
        <v>1</v>
      </c>
      <c r="L172" s="117">
        <v>1</v>
      </c>
      <c r="M172" s="116">
        <v>15</v>
      </c>
      <c r="N172" s="116">
        <v>7</v>
      </c>
      <c r="O172" s="116">
        <v>0</v>
      </c>
      <c r="P172" s="43">
        <v>3</v>
      </c>
      <c r="Q172" s="116">
        <v>2</v>
      </c>
      <c r="R172" s="116">
        <v>1</v>
      </c>
      <c r="S172" s="116">
        <v>0</v>
      </c>
      <c r="T172" s="116">
        <v>0</v>
      </c>
      <c r="U172" s="116">
        <v>0</v>
      </c>
      <c r="V172" s="116">
        <v>0</v>
      </c>
      <c r="W172" s="116">
        <v>0</v>
      </c>
      <c r="X172" s="116">
        <v>0</v>
      </c>
      <c r="Y172" s="116">
        <v>0</v>
      </c>
      <c r="Z172" s="116">
        <v>16</v>
      </c>
      <c r="AA172" s="116">
        <v>7</v>
      </c>
      <c r="AB172" s="116">
        <v>0</v>
      </c>
      <c r="AC172" s="116">
        <v>0</v>
      </c>
      <c r="AD172" s="116">
        <v>0</v>
      </c>
      <c r="AE172" s="116">
        <v>0</v>
      </c>
      <c r="AF172" s="116">
        <v>0</v>
      </c>
      <c r="AG172" s="116">
        <v>0</v>
      </c>
      <c r="AH172" s="116">
        <v>0</v>
      </c>
      <c r="AI172" s="116">
        <v>1</v>
      </c>
      <c r="AJ172" s="117">
        <v>0</v>
      </c>
      <c r="AK172" s="117">
        <v>10</v>
      </c>
      <c r="AL172" s="117">
        <v>0</v>
      </c>
      <c r="AM172" s="117">
        <v>0</v>
      </c>
      <c r="AN172" s="117">
        <v>58</v>
      </c>
      <c r="AO172" s="117">
        <v>0</v>
      </c>
      <c r="AP172" s="117">
        <v>7</v>
      </c>
      <c r="AQ172" s="117">
        <v>61</v>
      </c>
      <c r="AR172" s="44"/>
      <c r="AS172" s="44"/>
      <c r="AT172" s="46"/>
      <c r="AU172" s="62" t="s">
        <v>908</v>
      </c>
    </row>
    <row r="173" spans="1:47" ht="16.5" customHeight="1">
      <c r="A173" s="76" t="s">
        <v>789</v>
      </c>
      <c r="B173" s="41" t="s">
        <v>882</v>
      </c>
      <c r="C173" s="5" t="s">
        <v>883</v>
      </c>
      <c r="D173" s="77" t="s">
        <v>923</v>
      </c>
      <c r="E173" s="48"/>
      <c r="F173" s="76" t="s">
        <v>790</v>
      </c>
      <c r="G173" s="121" t="s">
        <v>843</v>
      </c>
      <c r="H173" s="122"/>
      <c r="I173" s="123" t="s">
        <v>888</v>
      </c>
      <c r="J173" s="124">
        <v>2</v>
      </c>
      <c r="K173" s="117">
        <v>1</v>
      </c>
      <c r="L173" s="117">
        <v>1</v>
      </c>
      <c r="M173" s="116">
        <v>11</v>
      </c>
      <c r="N173" s="116">
        <v>7</v>
      </c>
      <c r="O173" s="116">
        <v>0</v>
      </c>
      <c r="P173" s="43">
        <v>1</v>
      </c>
      <c r="Q173" s="116">
        <v>1</v>
      </c>
      <c r="R173" s="116">
        <v>0</v>
      </c>
      <c r="S173" s="116">
        <v>0</v>
      </c>
      <c r="T173" s="116">
        <v>0</v>
      </c>
      <c r="U173" s="116">
        <v>0</v>
      </c>
      <c r="V173" s="116">
        <v>0</v>
      </c>
      <c r="W173" s="116">
        <v>4</v>
      </c>
      <c r="X173" s="116">
        <v>2</v>
      </c>
      <c r="Y173" s="116">
        <v>0</v>
      </c>
      <c r="Z173" s="116">
        <v>9</v>
      </c>
      <c r="AA173" s="116">
        <v>4</v>
      </c>
      <c r="AB173" s="116">
        <v>0</v>
      </c>
      <c r="AC173" s="116">
        <v>0</v>
      </c>
      <c r="AD173" s="116">
        <v>0</v>
      </c>
      <c r="AE173" s="116">
        <v>0</v>
      </c>
      <c r="AF173" s="116">
        <v>0</v>
      </c>
      <c r="AG173" s="116">
        <v>0</v>
      </c>
      <c r="AH173" s="116">
        <v>0</v>
      </c>
      <c r="AI173" s="116">
        <v>1</v>
      </c>
      <c r="AJ173" s="117">
        <v>0</v>
      </c>
      <c r="AK173" s="117">
        <v>4</v>
      </c>
      <c r="AL173" s="117">
        <v>0</v>
      </c>
      <c r="AM173" s="117">
        <v>8</v>
      </c>
      <c r="AN173" s="117">
        <v>19</v>
      </c>
      <c r="AO173" s="117">
        <v>0</v>
      </c>
      <c r="AP173" s="117">
        <v>4</v>
      </c>
      <c r="AQ173" s="117">
        <v>28</v>
      </c>
      <c r="AR173" s="44"/>
      <c r="AS173" s="44"/>
      <c r="AT173" s="46"/>
      <c r="AU173" s="62" t="s">
        <v>893</v>
      </c>
    </row>
    <row r="174" spans="1:47" ht="16.5" customHeight="1">
      <c r="A174" s="76" t="s">
        <v>805</v>
      </c>
      <c r="B174" s="41" t="s">
        <v>882</v>
      </c>
      <c r="C174" s="5" t="s">
        <v>883</v>
      </c>
      <c r="D174" s="77" t="s">
        <v>923</v>
      </c>
      <c r="E174" s="48"/>
      <c r="F174" s="76" t="s">
        <v>806</v>
      </c>
      <c r="G174" s="121" t="s">
        <v>843</v>
      </c>
      <c r="H174" s="122"/>
      <c r="I174" s="123" t="s">
        <v>885</v>
      </c>
      <c r="J174" s="124">
        <v>2</v>
      </c>
      <c r="K174" s="117">
        <v>0</v>
      </c>
      <c r="L174" s="117">
        <v>0</v>
      </c>
      <c r="M174" s="116">
        <v>22</v>
      </c>
      <c r="N174" s="116">
        <v>4</v>
      </c>
      <c r="O174" s="116">
        <v>0</v>
      </c>
      <c r="P174" s="43">
        <v>0</v>
      </c>
      <c r="Q174" s="116">
        <v>0</v>
      </c>
      <c r="R174" s="116">
        <v>0</v>
      </c>
      <c r="S174" s="116">
        <v>0</v>
      </c>
      <c r="T174" s="116">
        <v>2</v>
      </c>
      <c r="U174" s="116">
        <v>1</v>
      </c>
      <c r="V174" s="116">
        <v>0</v>
      </c>
      <c r="W174" s="116">
        <v>0</v>
      </c>
      <c r="X174" s="116">
        <v>0</v>
      </c>
      <c r="Y174" s="116">
        <v>0</v>
      </c>
      <c r="Z174" s="116">
        <v>0</v>
      </c>
      <c r="AA174" s="116">
        <v>0</v>
      </c>
      <c r="AB174" s="116">
        <v>0</v>
      </c>
      <c r="AC174" s="116">
        <v>0</v>
      </c>
      <c r="AD174" s="116">
        <v>0</v>
      </c>
      <c r="AE174" s="116">
        <v>0</v>
      </c>
      <c r="AF174" s="116">
        <v>20</v>
      </c>
      <c r="AG174" s="116">
        <v>3</v>
      </c>
      <c r="AH174" s="116">
        <v>0</v>
      </c>
      <c r="AI174" s="116">
        <v>1</v>
      </c>
      <c r="AJ174" s="117">
        <v>0</v>
      </c>
      <c r="AK174" s="117">
        <v>9</v>
      </c>
      <c r="AL174" s="117">
        <v>0</v>
      </c>
      <c r="AM174" s="117">
        <v>0</v>
      </c>
      <c r="AN174" s="117">
        <v>49</v>
      </c>
      <c r="AO174" s="117">
        <v>0</v>
      </c>
      <c r="AP174" s="117">
        <v>9</v>
      </c>
      <c r="AQ174" s="117">
        <v>49</v>
      </c>
      <c r="AR174" s="44"/>
      <c r="AS174" s="44"/>
      <c r="AT174" s="46"/>
      <c r="AU174" s="62" t="s">
        <v>931</v>
      </c>
    </row>
    <row r="175" spans="1:47" ht="16.5" customHeight="1">
      <c r="A175" s="76" t="s">
        <v>60</v>
      </c>
      <c r="B175" s="41" t="s">
        <v>882</v>
      </c>
      <c r="C175" s="5" t="s">
        <v>883</v>
      </c>
      <c r="D175" s="77" t="s">
        <v>923</v>
      </c>
      <c r="E175" s="49"/>
      <c r="F175" s="76" t="s">
        <v>61</v>
      </c>
      <c r="G175" s="121" t="s">
        <v>843</v>
      </c>
      <c r="H175" s="122"/>
      <c r="I175" s="123" t="s">
        <v>885</v>
      </c>
      <c r="J175" s="124">
        <v>2</v>
      </c>
      <c r="K175" s="117">
        <v>1</v>
      </c>
      <c r="L175" s="117">
        <v>2</v>
      </c>
      <c r="M175" s="116">
        <v>8</v>
      </c>
      <c r="N175" s="116">
        <v>3</v>
      </c>
      <c r="O175" s="116">
        <v>0</v>
      </c>
      <c r="P175" s="43">
        <v>20</v>
      </c>
      <c r="Q175" s="116">
        <v>7</v>
      </c>
      <c r="R175" s="116">
        <v>13</v>
      </c>
      <c r="S175" s="116">
        <v>0</v>
      </c>
      <c r="T175" s="116">
        <v>2</v>
      </c>
      <c r="U175" s="116">
        <v>1</v>
      </c>
      <c r="V175" s="116">
        <v>0</v>
      </c>
      <c r="W175" s="116">
        <v>2</v>
      </c>
      <c r="X175" s="116">
        <v>0</v>
      </c>
      <c r="Y175" s="116">
        <v>0</v>
      </c>
      <c r="Z175" s="116">
        <v>0</v>
      </c>
      <c r="AA175" s="116">
        <v>0</v>
      </c>
      <c r="AB175" s="116">
        <v>0</v>
      </c>
      <c r="AC175" s="116">
        <v>11</v>
      </c>
      <c r="AD175" s="116">
        <v>13</v>
      </c>
      <c r="AE175" s="116">
        <v>0</v>
      </c>
      <c r="AF175" s="116">
        <v>0</v>
      </c>
      <c r="AG175" s="116">
        <v>0</v>
      </c>
      <c r="AH175" s="116">
        <v>0</v>
      </c>
      <c r="AI175" s="116">
        <v>1</v>
      </c>
      <c r="AJ175" s="117">
        <v>0</v>
      </c>
      <c r="AK175" s="117">
        <v>6</v>
      </c>
      <c r="AL175" s="117">
        <v>0</v>
      </c>
      <c r="AM175" s="117">
        <v>0</v>
      </c>
      <c r="AN175" s="117">
        <v>46</v>
      </c>
      <c r="AO175" s="117">
        <v>0</v>
      </c>
      <c r="AP175" s="117">
        <v>6</v>
      </c>
      <c r="AQ175" s="117">
        <v>45</v>
      </c>
      <c r="AR175" s="44"/>
      <c r="AS175" s="44"/>
      <c r="AT175" s="46"/>
      <c r="AU175" s="62" t="s">
        <v>893</v>
      </c>
    </row>
    <row r="176" spans="1:47" ht="16.5" customHeight="1">
      <c r="A176" s="76" t="s">
        <v>63</v>
      </c>
      <c r="B176" s="41" t="s">
        <v>882</v>
      </c>
      <c r="C176" s="5" t="s">
        <v>883</v>
      </c>
      <c r="D176" s="77" t="s">
        <v>923</v>
      </c>
      <c r="E176" s="47"/>
      <c r="F176" s="76" t="s">
        <v>64</v>
      </c>
      <c r="G176" s="121" t="s">
        <v>843</v>
      </c>
      <c r="H176" s="122"/>
      <c r="I176" s="123" t="s">
        <v>888</v>
      </c>
      <c r="J176" s="124">
        <v>2</v>
      </c>
      <c r="K176" s="117">
        <v>1</v>
      </c>
      <c r="L176" s="117">
        <v>3</v>
      </c>
      <c r="M176" s="116">
        <v>8</v>
      </c>
      <c r="N176" s="116">
        <v>2</v>
      </c>
      <c r="O176" s="116">
        <v>0</v>
      </c>
      <c r="P176" s="43">
        <v>4</v>
      </c>
      <c r="Q176" s="116">
        <v>2</v>
      </c>
      <c r="R176" s="116">
        <v>2</v>
      </c>
      <c r="S176" s="116">
        <v>0</v>
      </c>
      <c r="T176" s="116">
        <v>0</v>
      </c>
      <c r="U176" s="116">
        <v>0</v>
      </c>
      <c r="V176" s="116">
        <v>0</v>
      </c>
      <c r="W176" s="116">
        <v>1</v>
      </c>
      <c r="X176" s="116">
        <v>0</v>
      </c>
      <c r="Y176" s="116">
        <v>0</v>
      </c>
      <c r="Z176" s="116">
        <v>1</v>
      </c>
      <c r="AA176" s="116">
        <v>2</v>
      </c>
      <c r="AB176" s="116">
        <v>0</v>
      </c>
      <c r="AC176" s="116">
        <v>0</v>
      </c>
      <c r="AD176" s="116">
        <v>0</v>
      </c>
      <c r="AE176" s="116">
        <v>0</v>
      </c>
      <c r="AF176" s="116">
        <v>8</v>
      </c>
      <c r="AG176" s="116">
        <v>1</v>
      </c>
      <c r="AH176" s="116">
        <v>0</v>
      </c>
      <c r="AI176" s="116">
        <v>1</v>
      </c>
      <c r="AJ176" s="117">
        <v>0</v>
      </c>
      <c r="AK176" s="117">
        <v>6</v>
      </c>
      <c r="AL176" s="117">
        <v>0</v>
      </c>
      <c r="AM176" s="117">
        <v>0</v>
      </c>
      <c r="AN176" s="117">
        <v>50</v>
      </c>
      <c r="AO176" s="117">
        <v>0</v>
      </c>
      <c r="AP176" s="117">
        <v>5</v>
      </c>
      <c r="AQ176" s="117">
        <v>51</v>
      </c>
      <c r="AR176" s="44"/>
      <c r="AS176" s="44"/>
      <c r="AT176" s="46"/>
      <c r="AU176" s="62" t="s">
        <v>891</v>
      </c>
    </row>
    <row r="177" spans="1:47" ht="16.5" customHeight="1">
      <c r="A177" s="76" t="s">
        <v>66</v>
      </c>
      <c r="B177" s="41" t="s">
        <v>882</v>
      </c>
      <c r="C177" s="5" t="s">
        <v>883</v>
      </c>
      <c r="D177" s="77" t="s">
        <v>923</v>
      </c>
      <c r="E177" s="48"/>
      <c r="F177" s="76" t="s">
        <v>67</v>
      </c>
      <c r="G177" s="121" t="s">
        <v>843</v>
      </c>
      <c r="H177" s="122"/>
      <c r="I177" s="123" t="s">
        <v>888</v>
      </c>
      <c r="J177" s="124">
        <v>2</v>
      </c>
      <c r="K177" s="117">
        <v>1</v>
      </c>
      <c r="L177" s="117">
        <v>1</v>
      </c>
      <c r="M177" s="116">
        <v>11</v>
      </c>
      <c r="N177" s="116">
        <v>2</v>
      </c>
      <c r="O177" s="116">
        <v>0</v>
      </c>
      <c r="P177" s="43">
        <v>3</v>
      </c>
      <c r="Q177" s="116">
        <v>1</v>
      </c>
      <c r="R177" s="116">
        <v>2</v>
      </c>
      <c r="S177" s="116">
        <v>0</v>
      </c>
      <c r="T177" s="116">
        <v>1</v>
      </c>
      <c r="U177" s="116">
        <v>1</v>
      </c>
      <c r="V177" s="116">
        <v>0</v>
      </c>
      <c r="W177" s="116">
        <v>0</v>
      </c>
      <c r="X177" s="116">
        <v>0</v>
      </c>
      <c r="Y177" s="116">
        <v>0</v>
      </c>
      <c r="Z177" s="116">
        <v>10</v>
      </c>
      <c r="AA177" s="116">
        <v>2</v>
      </c>
      <c r="AB177" s="116">
        <v>0</v>
      </c>
      <c r="AC177" s="116">
        <v>0</v>
      </c>
      <c r="AD177" s="116">
        <v>0</v>
      </c>
      <c r="AE177" s="116">
        <v>0</v>
      </c>
      <c r="AF177" s="116">
        <v>0</v>
      </c>
      <c r="AG177" s="116">
        <v>0</v>
      </c>
      <c r="AH177" s="116">
        <v>0</v>
      </c>
      <c r="AI177" s="116">
        <v>1</v>
      </c>
      <c r="AJ177" s="117">
        <v>0</v>
      </c>
      <c r="AK177" s="117">
        <v>9</v>
      </c>
      <c r="AL177" s="117">
        <v>0</v>
      </c>
      <c r="AM177" s="117">
        <v>0</v>
      </c>
      <c r="AN177" s="117">
        <v>47</v>
      </c>
      <c r="AO177" s="117">
        <v>1</v>
      </c>
      <c r="AP177" s="117">
        <v>7</v>
      </c>
      <c r="AQ177" s="117">
        <v>48</v>
      </c>
      <c r="AR177" s="44"/>
      <c r="AS177" s="44"/>
      <c r="AT177" s="46"/>
      <c r="AU177" s="62" t="s">
        <v>887</v>
      </c>
    </row>
    <row r="178" spans="1:47" ht="16.5" customHeight="1">
      <c r="A178" s="76" t="s">
        <v>823</v>
      </c>
      <c r="B178" s="41" t="s">
        <v>882</v>
      </c>
      <c r="C178" s="5" t="s">
        <v>883</v>
      </c>
      <c r="D178" s="77" t="s">
        <v>923</v>
      </c>
      <c r="E178" s="47"/>
      <c r="F178" s="76" t="s">
        <v>824</v>
      </c>
      <c r="G178" s="121" t="s">
        <v>843</v>
      </c>
      <c r="H178" s="122" t="s">
        <v>842</v>
      </c>
      <c r="I178" s="123" t="s">
        <v>888</v>
      </c>
      <c r="J178" s="124">
        <v>2</v>
      </c>
      <c r="K178" s="117">
        <v>2</v>
      </c>
      <c r="L178" s="117">
        <v>1</v>
      </c>
      <c r="M178" s="116">
        <v>22</v>
      </c>
      <c r="N178" s="116">
        <v>7</v>
      </c>
      <c r="O178" s="116">
        <v>0</v>
      </c>
      <c r="P178" s="43">
        <v>5</v>
      </c>
      <c r="Q178" s="116">
        <v>4</v>
      </c>
      <c r="R178" s="116">
        <v>1</v>
      </c>
      <c r="S178" s="116">
        <v>0</v>
      </c>
      <c r="T178" s="116">
        <v>0</v>
      </c>
      <c r="U178" s="116">
        <v>0</v>
      </c>
      <c r="V178" s="116">
        <v>0</v>
      </c>
      <c r="W178" s="116">
        <v>0</v>
      </c>
      <c r="X178" s="116">
        <v>0</v>
      </c>
      <c r="Y178" s="116">
        <v>0</v>
      </c>
      <c r="Z178" s="116">
        <v>25</v>
      </c>
      <c r="AA178" s="116">
        <v>7</v>
      </c>
      <c r="AB178" s="116">
        <v>0</v>
      </c>
      <c r="AC178" s="116">
        <v>0</v>
      </c>
      <c r="AD178" s="116">
        <v>0</v>
      </c>
      <c r="AE178" s="116">
        <v>0</v>
      </c>
      <c r="AF178" s="116">
        <v>0</v>
      </c>
      <c r="AG178" s="116">
        <v>0</v>
      </c>
      <c r="AH178" s="116">
        <v>0</v>
      </c>
      <c r="AI178" s="116">
        <v>1</v>
      </c>
      <c r="AJ178" s="117">
        <v>0</v>
      </c>
      <c r="AK178" s="117">
        <v>7</v>
      </c>
      <c r="AL178" s="117">
        <v>0</v>
      </c>
      <c r="AM178" s="117">
        <v>0</v>
      </c>
      <c r="AN178" s="117">
        <v>60</v>
      </c>
      <c r="AO178" s="117">
        <v>0</v>
      </c>
      <c r="AP178" s="117">
        <v>5</v>
      </c>
      <c r="AQ178" s="117">
        <v>61</v>
      </c>
      <c r="AR178" s="44"/>
      <c r="AS178" s="44"/>
      <c r="AT178" s="46"/>
      <c r="AU178" s="62" t="s">
        <v>939</v>
      </c>
    </row>
    <row r="179" spans="1:47" ht="16.5" customHeight="1">
      <c r="A179" s="76" t="s">
        <v>45</v>
      </c>
      <c r="B179" s="41" t="s">
        <v>882</v>
      </c>
      <c r="C179" s="5" t="s">
        <v>883</v>
      </c>
      <c r="D179" s="77" t="s">
        <v>923</v>
      </c>
      <c r="E179" s="48"/>
      <c r="F179" s="76" t="s">
        <v>46</v>
      </c>
      <c r="G179" s="121" t="s">
        <v>843</v>
      </c>
      <c r="H179" s="122" t="s">
        <v>842</v>
      </c>
      <c r="I179" s="123" t="s">
        <v>885</v>
      </c>
      <c r="J179" s="124">
        <v>2</v>
      </c>
      <c r="K179" s="117">
        <v>0</v>
      </c>
      <c r="L179" s="117">
        <v>0</v>
      </c>
      <c r="M179" s="116">
        <v>19</v>
      </c>
      <c r="N179" s="116">
        <v>3</v>
      </c>
      <c r="O179" s="116">
        <v>1</v>
      </c>
      <c r="P179" s="43">
        <v>0</v>
      </c>
      <c r="Q179" s="116">
        <v>0</v>
      </c>
      <c r="R179" s="116">
        <v>0</v>
      </c>
      <c r="S179" s="116">
        <v>0</v>
      </c>
      <c r="T179" s="116">
        <v>0</v>
      </c>
      <c r="U179" s="116">
        <v>0</v>
      </c>
      <c r="V179" s="116">
        <v>0</v>
      </c>
      <c r="W179" s="116">
        <v>1</v>
      </c>
      <c r="X179" s="116">
        <v>0</v>
      </c>
      <c r="Y179" s="116">
        <v>1</v>
      </c>
      <c r="Z179" s="116">
        <v>15</v>
      </c>
      <c r="AA179" s="116">
        <v>2</v>
      </c>
      <c r="AB179" s="116">
        <v>5</v>
      </c>
      <c r="AC179" s="116">
        <v>0</v>
      </c>
      <c r="AD179" s="116">
        <v>0</v>
      </c>
      <c r="AE179" s="116">
        <v>0</v>
      </c>
      <c r="AF179" s="116">
        <v>0</v>
      </c>
      <c r="AG179" s="116">
        <v>0</v>
      </c>
      <c r="AH179" s="116">
        <v>0</v>
      </c>
      <c r="AI179" s="116">
        <v>1</v>
      </c>
      <c r="AJ179" s="117">
        <v>0</v>
      </c>
      <c r="AK179" s="117">
        <v>12</v>
      </c>
      <c r="AL179" s="117">
        <v>0</v>
      </c>
      <c r="AM179" s="117">
        <v>0</v>
      </c>
      <c r="AN179" s="117">
        <v>68</v>
      </c>
      <c r="AO179" s="117">
        <v>0</v>
      </c>
      <c r="AP179" s="117">
        <v>12</v>
      </c>
      <c r="AQ179" s="117">
        <v>68</v>
      </c>
      <c r="AR179" s="44"/>
      <c r="AS179" s="44"/>
      <c r="AT179" s="46"/>
      <c r="AU179" s="62" t="s">
        <v>893</v>
      </c>
    </row>
    <row r="180" spans="1:47" ht="16.5" customHeight="1">
      <c r="A180" s="76" t="s">
        <v>527</v>
      </c>
      <c r="B180" s="41" t="s">
        <v>882</v>
      </c>
      <c r="C180" s="5" t="s">
        <v>883</v>
      </c>
      <c r="D180" s="77" t="s">
        <v>923</v>
      </c>
      <c r="E180" s="48"/>
      <c r="F180" s="76" t="s">
        <v>528</v>
      </c>
      <c r="G180" s="121" t="s">
        <v>843</v>
      </c>
      <c r="H180" s="122" t="s">
        <v>844</v>
      </c>
      <c r="I180" s="123" t="s">
        <v>888</v>
      </c>
      <c r="J180" s="124">
        <v>2</v>
      </c>
      <c r="K180" s="117">
        <v>1</v>
      </c>
      <c r="L180" s="117">
        <v>2</v>
      </c>
      <c r="M180" s="116">
        <v>9</v>
      </c>
      <c r="N180" s="116">
        <v>6</v>
      </c>
      <c r="O180" s="116">
        <v>0</v>
      </c>
      <c r="P180" s="43">
        <v>2</v>
      </c>
      <c r="Q180" s="116">
        <v>1</v>
      </c>
      <c r="R180" s="116">
        <v>1</v>
      </c>
      <c r="S180" s="116">
        <v>0</v>
      </c>
      <c r="T180" s="116">
        <v>0</v>
      </c>
      <c r="U180" s="116">
        <v>0</v>
      </c>
      <c r="V180" s="116">
        <v>0</v>
      </c>
      <c r="W180" s="116">
        <v>1</v>
      </c>
      <c r="X180" s="116">
        <v>0</v>
      </c>
      <c r="Y180" s="116">
        <v>0</v>
      </c>
      <c r="Z180" s="116">
        <v>0</v>
      </c>
      <c r="AA180" s="116">
        <v>0</v>
      </c>
      <c r="AB180" s="116">
        <v>0</v>
      </c>
      <c r="AC180" s="116">
        <v>0</v>
      </c>
      <c r="AD180" s="116">
        <v>0</v>
      </c>
      <c r="AE180" s="116">
        <v>0</v>
      </c>
      <c r="AF180" s="116">
        <v>8</v>
      </c>
      <c r="AG180" s="116">
        <v>6</v>
      </c>
      <c r="AH180" s="116">
        <v>0</v>
      </c>
      <c r="AI180" s="116">
        <v>1</v>
      </c>
      <c r="AJ180" s="117">
        <v>2</v>
      </c>
      <c r="AK180" s="117">
        <v>8</v>
      </c>
      <c r="AL180" s="117">
        <v>0</v>
      </c>
      <c r="AM180" s="117">
        <v>6</v>
      </c>
      <c r="AN180" s="117">
        <v>56</v>
      </c>
      <c r="AO180" s="117">
        <v>0</v>
      </c>
      <c r="AP180" s="117">
        <v>8</v>
      </c>
      <c r="AQ180" s="117">
        <v>64</v>
      </c>
      <c r="AR180" s="44"/>
      <c r="AS180" s="44"/>
      <c r="AT180" s="46"/>
      <c r="AU180" s="62" t="s">
        <v>908</v>
      </c>
    </row>
    <row r="181" spans="1:47" ht="16.5" customHeight="1">
      <c r="A181" s="76" t="s">
        <v>591</v>
      </c>
      <c r="B181" s="41" t="s">
        <v>882</v>
      </c>
      <c r="C181" s="5" t="s">
        <v>883</v>
      </c>
      <c r="D181" s="77" t="s">
        <v>940</v>
      </c>
      <c r="E181" s="47"/>
      <c r="F181" s="76" t="s">
        <v>592</v>
      </c>
      <c r="G181" s="121" t="s">
        <v>843</v>
      </c>
      <c r="H181" s="122" t="s">
        <v>842</v>
      </c>
      <c r="I181" s="123" t="s">
        <v>885</v>
      </c>
      <c r="J181" s="124">
        <v>2</v>
      </c>
      <c r="K181" s="117">
        <v>1</v>
      </c>
      <c r="L181" s="117">
        <v>1</v>
      </c>
      <c r="M181" s="116">
        <v>16</v>
      </c>
      <c r="N181" s="116">
        <v>2</v>
      </c>
      <c r="O181" s="116">
        <v>2</v>
      </c>
      <c r="P181" s="43">
        <v>1</v>
      </c>
      <c r="Q181" s="116">
        <v>1</v>
      </c>
      <c r="R181" s="116">
        <v>0</v>
      </c>
      <c r="S181" s="116">
        <v>0</v>
      </c>
      <c r="T181" s="116">
        <v>3</v>
      </c>
      <c r="U181" s="116">
        <v>1</v>
      </c>
      <c r="V181" s="116">
        <v>5</v>
      </c>
      <c r="W181" s="116">
        <v>0</v>
      </c>
      <c r="X181" s="116">
        <v>0</v>
      </c>
      <c r="Y181" s="116">
        <v>0</v>
      </c>
      <c r="Z181" s="116">
        <v>0</v>
      </c>
      <c r="AA181" s="116">
        <v>0</v>
      </c>
      <c r="AB181" s="116">
        <v>0</v>
      </c>
      <c r="AC181" s="116">
        <v>0</v>
      </c>
      <c r="AD181" s="116">
        <v>0</v>
      </c>
      <c r="AE181" s="116">
        <v>0</v>
      </c>
      <c r="AF181" s="116">
        <v>11</v>
      </c>
      <c r="AG181" s="116">
        <v>1</v>
      </c>
      <c r="AH181" s="116">
        <v>0</v>
      </c>
      <c r="AI181" s="116">
        <v>1</v>
      </c>
      <c r="AJ181" s="117">
        <v>1</v>
      </c>
      <c r="AK181" s="117">
        <v>4</v>
      </c>
      <c r="AL181" s="117">
        <v>0</v>
      </c>
      <c r="AM181" s="117">
        <v>12</v>
      </c>
      <c r="AN181" s="117">
        <v>23</v>
      </c>
      <c r="AO181" s="117">
        <v>0</v>
      </c>
      <c r="AP181" s="117">
        <v>4</v>
      </c>
      <c r="AQ181" s="117">
        <v>36</v>
      </c>
      <c r="AR181" s="44"/>
      <c r="AS181" s="44"/>
      <c r="AT181" s="46"/>
      <c r="AU181" s="62" t="s">
        <v>890</v>
      </c>
    </row>
    <row r="182" spans="1:47" ht="16.5" customHeight="1">
      <c r="A182" s="76" t="s">
        <v>398</v>
      </c>
      <c r="B182" s="41" t="s">
        <v>882</v>
      </c>
      <c r="C182" s="5" t="s">
        <v>883</v>
      </c>
      <c r="D182" s="77" t="s">
        <v>940</v>
      </c>
      <c r="E182" s="48"/>
      <c r="F182" s="76" t="s">
        <v>399</v>
      </c>
      <c r="G182" s="121" t="s">
        <v>843</v>
      </c>
      <c r="H182" s="122" t="s">
        <v>842</v>
      </c>
      <c r="I182" s="123" t="s">
        <v>885</v>
      </c>
      <c r="J182" s="124">
        <v>2</v>
      </c>
      <c r="K182" s="117">
        <v>1</v>
      </c>
      <c r="L182" s="117">
        <v>1</v>
      </c>
      <c r="M182" s="116">
        <v>14</v>
      </c>
      <c r="N182" s="116">
        <v>5</v>
      </c>
      <c r="O182" s="116">
        <v>0</v>
      </c>
      <c r="P182" s="43">
        <v>0</v>
      </c>
      <c r="Q182" s="116">
        <v>0</v>
      </c>
      <c r="R182" s="116">
        <v>0</v>
      </c>
      <c r="S182" s="116">
        <v>0</v>
      </c>
      <c r="T182" s="116">
        <v>1</v>
      </c>
      <c r="U182" s="116">
        <v>1</v>
      </c>
      <c r="V182" s="116">
        <v>0</v>
      </c>
      <c r="W182" s="116">
        <v>1</v>
      </c>
      <c r="X182" s="116">
        <v>0</v>
      </c>
      <c r="Y182" s="116">
        <v>0</v>
      </c>
      <c r="Z182" s="116">
        <v>11</v>
      </c>
      <c r="AA182" s="116">
        <v>3</v>
      </c>
      <c r="AB182" s="116">
        <v>0</v>
      </c>
      <c r="AC182" s="116">
        <v>0</v>
      </c>
      <c r="AD182" s="116">
        <v>0</v>
      </c>
      <c r="AE182" s="116">
        <v>0</v>
      </c>
      <c r="AF182" s="116">
        <v>0</v>
      </c>
      <c r="AG182" s="116">
        <v>0</v>
      </c>
      <c r="AH182" s="116">
        <v>0</v>
      </c>
      <c r="AI182" s="116">
        <v>1</v>
      </c>
      <c r="AJ182" s="117">
        <v>1</v>
      </c>
      <c r="AK182" s="117">
        <v>9</v>
      </c>
      <c r="AL182" s="117">
        <v>0</v>
      </c>
      <c r="AM182" s="117">
        <v>17</v>
      </c>
      <c r="AN182" s="117">
        <v>33</v>
      </c>
      <c r="AO182" s="117">
        <v>0</v>
      </c>
      <c r="AP182" s="117">
        <v>5</v>
      </c>
      <c r="AQ182" s="117">
        <v>53</v>
      </c>
      <c r="AR182" s="44"/>
      <c r="AS182" s="44"/>
      <c r="AT182" s="46"/>
      <c r="AU182" s="62" t="s">
        <v>915</v>
      </c>
    </row>
    <row r="183" spans="1:47" ht="16.5" customHeight="1">
      <c r="A183" s="76" t="s">
        <v>597</v>
      </c>
      <c r="B183" s="41" t="s">
        <v>882</v>
      </c>
      <c r="C183" s="5" t="s">
        <v>883</v>
      </c>
      <c r="D183" s="77" t="s">
        <v>940</v>
      </c>
      <c r="E183" s="49"/>
      <c r="F183" s="76" t="s">
        <v>598</v>
      </c>
      <c r="G183" s="121" t="s">
        <v>843</v>
      </c>
      <c r="H183" s="122"/>
      <c r="I183" s="123" t="s">
        <v>888</v>
      </c>
      <c r="J183" s="124">
        <v>2</v>
      </c>
      <c r="K183" s="117">
        <v>1</v>
      </c>
      <c r="L183" s="117">
        <v>1</v>
      </c>
      <c r="M183" s="116">
        <v>6</v>
      </c>
      <c r="N183" s="116">
        <v>1</v>
      </c>
      <c r="O183" s="116">
        <v>0</v>
      </c>
      <c r="P183" s="43">
        <v>4</v>
      </c>
      <c r="Q183" s="116">
        <v>3</v>
      </c>
      <c r="R183" s="116">
        <v>1</v>
      </c>
      <c r="S183" s="116">
        <v>0</v>
      </c>
      <c r="T183" s="116">
        <v>0</v>
      </c>
      <c r="U183" s="116">
        <v>0</v>
      </c>
      <c r="V183" s="116">
        <v>0</v>
      </c>
      <c r="W183" s="116">
        <v>1</v>
      </c>
      <c r="X183" s="116">
        <v>0</v>
      </c>
      <c r="Y183" s="116">
        <v>0</v>
      </c>
      <c r="Z183" s="116">
        <v>7</v>
      </c>
      <c r="AA183" s="116">
        <v>1</v>
      </c>
      <c r="AB183" s="116">
        <v>0</v>
      </c>
      <c r="AC183" s="116">
        <v>0</v>
      </c>
      <c r="AD183" s="116">
        <v>0</v>
      </c>
      <c r="AE183" s="116">
        <v>0</v>
      </c>
      <c r="AF183" s="116">
        <v>0</v>
      </c>
      <c r="AG183" s="116">
        <v>0</v>
      </c>
      <c r="AH183" s="116">
        <v>0</v>
      </c>
      <c r="AI183" s="116">
        <v>1</v>
      </c>
      <c r="AJ183" s="117">
        <v>1</v>
      </c>
      <c r="AK183" s="117">
        <v>1</v>
      </c>
      <c r="AL183" s="117">
        <v>0</v>
      </c>
      <c r="AM183" s="117">
        <v>4</v>
      </c>
      <c r="AN183" s="117">
        <v>6</v>
      </c>
      <c r="AO183" s="117">
        <v>0</v>
      </c>
      <c r="AP183" s="117">
        <v>1</v>
      </c>
      <c r="AQ183" s="117">
        <v>11</v>
      </c>
      <c r="AR183" s="44"/>
      <c r="AS183" s="44"/>
      <c r="AT183" s="46"/>
      <c r="AU183" s="62" t="s">
        <v>907</v>
      </c>
    </row>
    <row r="184" spans="1:47" ht="16.5" customHeight="1">
      <c r="A184" s="76" t="s">
        <v>10</v>
      </c>
      <c r="B184" s="41" t="s">
        <v>882</v>
      </c>
      <c r="C184" s="5" t="s">
        <v>883</v>
      </c>
      <c r="D184" s="77" t="s">
        <v>940</v>
      </c>
      <c r="E184" s="47"/>
      <c r="F184" s="76" t="s">
        <v>11</v>
      </c>
      <c r="G184" s="121" t="s">
        <v>843</v>
      </c>
      <c r="H184" s="122"/>
      <c r="I184" s="123" t="s">
        <v>888</v>
      </c>
      <c r="J184" s="124">
        <v>2</v>
      </c>
      <c r="K184" s="117">
        <v>1</v>
      </c>
      <c r="L184" s="117">
        <v>1</v>
      </c>
      <c r="M184" s="116">
        <v>21</v>
      </c>
      <c r="N184" s="116">
        <v>22</v>
      </c>
      <c r="O184" s="116">
        <v>0</v>
      </c>
      <c r="P184" s="43">
        <v>0</v>
      </c>
      <c r="Q184" s="116">
        <v>0</v>
      </c>
      <c r="R184" s="116">
        <v>0</v>
      </c>
      <c r="S184" s="116">
        <v>0</v>
      </c>
      <c r="T184" s="116">
        <v>2</v>
      </c>
      <c r="U184" s="116">
        <v>2</v>
      </c>
      <c r="V184" s="116">
        <v>0</v>
      </c>
      <c r="W184" s="116">
        <v>0</v>
      </c>
      <c r="X184" s="116">
        <v>0</v>
      </c>
      <c r="Y184" s="116">
        <v>0</v>
      </c>
      <c r="Z184" s="116">
        <v>18</v>
      </c>
      <c r="AA184" s="116">
        <v>19</v>
      </c>
      <c r="AB184" s="116">
        <v>0</v>
      </c>
      <c r="AC184" s="116">
        <v>0</v>
      </c>
      <c r="AD184" s="116">
        <v>0</v>
      </c>
      <c r="AE184" s="116">
        <v>0</v>
      </c>
      <c r="AF184" s="116">
        <v>0</v>
      </c>
      <c r="AG184" s="116">
        <v>0</v>
      </c>
      <c r="AH184" s="116">
        <v>0</v>
      </c>
      <c r="AI184" s="116">
        <v>1</v>
      </c>
      <c r="AJ184" s="117">
        <v>0</v>
      </c>
      <c r="AK184" s="117">
        <v>8</v>
      </c>
      <c r="AL184" s="117">
        <v>0</v>
      </c>
      <c r="AM184" s="117">
        <v>0</v>
      </c>
      <c r="AN184" s="117">
        <v>58</v>
      </c>
      <c r="AO184" s="117">
        <v>0</v>
      </c>
      <c r="AP184" s="117">
        <v>6</v>
      </c>
      <c r="AQ184" s="117">
        <v>60</v>
      </c>
      <c r="AR184" s="44"/>
      <c r="AS184" s="44"/>
      <c r="AT184" s="46"/>
      <c r="AU184" s="62" t="s">
        <v>915</v>
      </c>
    </row>
    <row r="185" spans="1:47" ht="16.5" customHeight="1">
      <c r="A185" s="76" t="s">
        <v>133</v>
      </c>
      <c r="B185" s="41" t="s">
        <v>882</v>
      </c>
      <c r="C185" s="5" t="s">
        <v>883</v>
      </c>
      <c r="D185" s="77" t="s">
        <v>940</v>
      </c>
      <c r="E185" s="48"/>
      <c r="F185" s="76" t="s">
        <v>134</v>
      </c>
      <c r="G185" s="121" t="s">
        <v>843</v>
      </c>
      <c r="H185" s="122"/>
      <c r="I185" s="123" t="s">
        <v>888</v>
      </c>
      <c r="J185" s="124">
        <v>2</v>
      </c>
      <c r="K185" s="117">
        <v>1</v>
      </c>
      <c r="L185" s="117">
        <v>1</v>
      </c>
      <c r="M185" s="116">
        <v>15</v>
      </c>
      <c r="N185" s="116">
        <v>7</v>
      </c>
      <c r="O185" s="116">
        <v>0</v>
      </c>
      <c r="P185" s="43">
        <v>1</v>
      </c>
      <c r="Q185" s="116">
        <v>0</v>
      </c>
      <c r="R185" s="116">
        <v>1</v>
      </c>
      <c r="S185" s="116">
        <v>0</v>
      </c>
      <c r="T185" s="116">
        <v>1</v>
      </c>
      <c r="U185" s="116">
        <v>1</v>
      </c>
      <c r="V185" s="116">
        <v>0</v>
      </c>
      <c r="W185" s="116">
        <v>1</v>
      </c>
      <c r="X185" s="116">
        <v>0</v>
      </c>
      <c r="Y185" s="116">
        <v>0</v>
      </c>
      <c r="Z185" s="116">
        <v>12</v>
      </c>
      <c r="AA185" s="116">
        <v>6</v>
      </c>
      <c r="AB185" s="116">
        <v>0</v>
      </c>
      <c r="AC185" s="116">
        <v>0</v>
      </c>
      <c r="AD185" s="116">
        <v>0</v>
      </c>
      <c r="AE185" s="116">
        <v>0</v>
      </c>
      <c r="AF185" s="116">
        <v>0</v>
      </c>
      <c r="AG185" s="116">
        <v>0</v>
      </c>
      <c r="AH185" s="116">
        <v>0</v>
      </c>
      <c r="AI185" s="116">
        <v>1</v>
      </c>
      <c r="AJ185" s="117">
        <v>0</v>
      </c>
      <c r="AK185" s="117">
        <v>8</v>
      </c>
      <c r="AL185" s="117">
        <v>0</v>
      </c>
      <c r="AM185" s="117">
        <v>0</v>
      </c>
      <c r="AN185" s="117">
        <v>57</v>
      </c>
      <c r="AO185" s="117">
        <v>0</v>
      </c>
      <c r="AP185" s="117">
        <v>4</v>
      </c>
      <c r="AQ185" s="117">
        <v>59</v>
      </c>
      <c r="AR185" s="44"/>
      <c r="AS185" s="44"/>
      <c r="AT185" s="46"/>
      <c r="AU185" s="62" t="s">
        <v>887</v>
      </c>
    </row>
    <row r="186" spans="1:47" ht="16.5" customHeight="1">
      <c r="A186" s="76" t="s">
        <v>289</v>
      </c>
      <c r="B186" s="41" t="s">
        <v>882</v>
      </c>
      <c r="C186" s="5" t="s">
        <v>883</v>
      </c>
      <c r="D186" s="77" t="s">
        <v>940</v>
      </c>
      <c r="E186" s="47"/>
      <c r="F186" s="76" t="s">
        <v>290</v>
      </c>
      <c r="G186" s="121" t="s">
        <v>843</v>
      </c>
      <c r="H186" s="122"/>
      <c r="I186" s="123" t="s">
        <v>888</v>
      </c>
      <c r="J186" s="124">
        <v>2</v>
      </c>
      <c r="K186" s="117">
        <v>1</v>
      </c>
      <c r="L186" s="117">
        <v>1</v>
      </c>
      <c r="M186" s="116">
        <v>11</v>
      </c>
      <c r="N186" s="116">
        <v>5</v>
      </c>
      <c r="O186" s="116">
        <v>0</v>
      </c>
      <c r="P186" s="43">
        <v>2</v>
      </c>
      <c r="Q186" s="116">
        <v>2</v>
      </c>
      <c r="R186" s="116">
        <v>0</v>
      </c>
      <c r="S186" s="116">
        <v>0</v>
      </c>
      <c r="T186" s="116">
        <v>0</v>
      </c>
      <c r="U186" s="116">
        <v>0</v>
      </c>
      <c r="V186" s="116">
        <v>0</v>
      </c>
      <c r="W186" s="116">
        <v>4</v>
      </c>
      <c r="X186" s="116">
        <v>1</v>
      </c>
      <c r="Y186" s="116">
        <v>0</v>
      </c>
      <c r="Z186" s="116">
        <v>7</v>
      </c>
      <c r="AA186" s="116">
        <v>3</v>
      </c>
      <c r="AB186" s="116">
        <v>0</v>
      </c>
      <c r="AC186" s="116">
        <v>0</v>
      </c>
      <c r="AD186" s="116">
        <v>0</v>
      </c>
      <c r="AE186" s="116">
        <v>0</v>
      </c>
      <c r="AF186" s="116">
        <v>0</v>
      </c>
      <c r="AG186" s="116">
        <v>0</v>
      </c>
      <c r="AH186" s="116">
        <v>0</v>
      </c>
      <c r="AI186" s="116">
        <v>1</v>
      </c>
      <c r="AJ186" s="117">
        <v>0</v>
      </c>
      <c r="AK186" s="117">
        <v>5</v>
      </c>
      <c r="AL186" s="117">
        <v>0</v>
      </c>
      <c r="AM186" s="117">
        <v>0</v>
      </c>
      <c r="AN186" s="117">
        <v>36</v>
      </c>
      <c r="AO186" s="117">
        <v>0</v>
      </c>
      <c r="AP186" s="117">
        <v>4</v>
      </c>
      <c r="AQ186" s="117">
        <v>37</v>
      </c>
      <c r="AR186" s="44"/>
      <c r="AS186" s="44"/>
      <c r="AT186" s="46"/>
      <c r="AU186" s="62" t="s">
        <v>891</v>
      </c>
    </row>
    <row r="187" spans="1:47" ht="16.5" customHeight="1">
      <c r="A187" s="76" t="s">
        <v>404</v>
      </c>
      <c r="B187" s="41" t="s">
        <v>882</v>
      </c>
      <c r="C187" s="5" t="s">
        <v>883</v>
      </c>
      <c r="D187" s="77" t="s">
        <v>940</v>
      </c>
      <c r="E187" s="48"/>
      <c r="F187" s="76" t="s">
        <v>405</v>
      </c>
      <c r="G187" s="121" t="s">
        <v>843</v>
      </c>
      <c r="H187" s="122" t="s">
        <v>842</v>
      </c>
      <c r="I187" s="123" t="s">
        <v>885</v>
      </c>
      <c r="J187" s="124">
        <v>2</v>
      </c>
      <c r="K187" s="117">
        <v>1</v>
      </c>
      <c r="L187" s="117">
        <v>1</v>
      </c>
      <c r="M187" s="116">
        <v>5</v>
      </c>
      <c r="N187" s="116">
        <v>1</v>
      </c>
      <c r="O187" s="116">
        <v>0</v>
      </c>
      <c r="P187" s="43">
        <v>6</v>
      </c>
      <c r="Q187" s="116">
        <v>3</v>
      </c>
      <c r="R187" s="116">
        <v>3</v>
      </c>
      <c r="S187" s="116">
        <v>0</v>
      </c>
      <c r="T187" s="116">
        <v>1</v>
      </c>
      <c r="U187" s="116">
        <v>0</v>
      </c>
      <c r="V187" s="116">
        <v>0</v>
      </c>
      <c r="W187" s="116">
        <v>0</v>
      </c>
      <c r="X187" s="116">
        <v>0</v>
      </c>
      <c r="Y187" s="116">
        <v>0</v>
      </c>
      <c r="Z187" s="116">
        <v>6</v>
      </c>
      <c r="AA187" s="116">
        <v>3</v>
      </c>
      <c r="AB187" s="116">
        <v>0</v>
      </c>
      <c r="AC187" s="116">
        <v>0</v>
      </c>
      <c r="AD187" s="116">
        <v>0</v>
      </c>
      <c r="AE187" s="116">
        <v>0</v>
      </c>
      <c r="AF187" s="116">
        <v>0</v>
      </c>
      <c r="AG187" s="116">
        <v>0</v>
      </c>
      <c r="AH187" s="116">
        <v>0</v>
      </c>
      <c r="AI187" s="116">
        <v>1</v>
      </c>
      <c r="AJ187" s="117">
        <v>0</v>
      </c>
      <c r="AK187" s="117">
        <v>5</v>
      </c>
      <c r="AL187" s="117">
        <v>0</v>
      </c>
      <c r="AM187" s="117">
        <v>19</v>
      </c>
      <c r="AN187" s="117">
        <v>18</v>
      </c>
      <c r="AO187" s="117">
        <v>0</v>
      </c>
      <c r="AP187" s="117">
        <v>2</v>
      </c>
      <c r="AQ187" s="117">
        <v>40</v>
      </c>
      <c r="AR187" s="44"/>
      <c r="AS187" s="44"/>
      <c r="AT187" s="46"/>
      <c r="AU187" s="62" t="s">
        <v>890</v>
      </c>
    </row>
    <row r="188" spans="1:47" ht="16.5" customHeight="1">
      <c r="A188" s="76" t="s">
        <v>599</v>
      </c>
      <c r="B188" s="41" t="s">
        <v>882</v>
      </c>
      <c r="C188" s="5" t="s">
        <v>883</v>
      </c>
      <c r="D188" s="77" t="s">
        <v>940</v>
      </c>
      <c r="E188" s="47"/>
      <c r="F188" s="76" t="s">
        <v>600</v>
      </c>
      <c r="G188" s="121" t="s">
        <v>843</v>
      </c>
      <c r="H188" s="122"/>
      <c r="I188" s="123" t="s">
        <v>885</v>
      </c>
      <c r="J188" s="124">
        <v>2</v>
      </c>
      <c r="K188" s="117">
        <v>1</v>
      </c>
      <c r="L188" s="117">
        <v>1</v>
      </c>
      <c r="M188" s="116">
        <v>6</v>
      </c>
      <c r="N188" s="116">
        <v>3</v>
      </c>
      <c r="O188" s="116">
        <v>0</v>
      </c>
      <c r="P188" s="43">
        <v>0</v>
      </c>
      <c r="Q188" s="116">
        <v>0</v>
      </c>
      <c r="R188" s="116">
        <v>0</v>
      </c>
      <c r="S188" s="116">
        <v>0</v>
      </c>
      <c r="T188" s="116">
        <v>1</v>
      </c>
      <c r="U188" s="116">
        <v>0</v>
      </c>
      <c r="V188" s="116">
        <v>0</v>
      </c>
      <c r="W188" s="116">
        <v>0</v>
      </c>
      <c r="X188" s="116">
        <v>0</v>
      </c>
      <c r="Y188" s="116">
        <v>0</v>
      </c>
      <c r="Z188" s="116">
        <v>4</v>
      </c>
      <c r="AA188" s="116">
        <v>2</v>
      </c>
      <c r="AB188" s="116">
        <v>0</v>
      </c>
      <c r="AC188" s="116">
        <v>0</v>
      </c>
      <c r="AD188" s="116">
        <v>0</v>
      </c>
      <c r="AE188" s="116">
        <v>0</v>
      </c>
      <c r="AF188" s="116">
        <v>0</v>
      </c>
      <c r="AG188" s="116">
        <v>0</v>
      </c>
      <c r="AH188" s="116">
        <v>0</v>
      </c>
      <c r="AI188" s="116">
        <v>1</v>
      </c>
      <c r="AJ188" s="117">
        <v>0</v>
      </c>
      <c r="AK188" s="117">
        <v>2</v>
      </c>
      <c r="AL188" s="117">
        <v>0</v>
      </c>
      <c r="AM188" s="117">
        <v>5</v>
      </c>
      <c r="AN188" s="117">
        <v>5</v>
      </c>
      <c r="AO188" s="117">
        <v>1</v>
      </c>
      <c r="AP188" s="117">
        <v>0</v>
      </c>
      <c r="AQ188" s="117">
        <v>11</v>
      </c>
      <c r="AR188" s="44"/>
      <c r="AS188" s="44"/>
      <c r="AT188" s="46"/>
      <c r="AU188" s="62" t="s">
        <v>900</v>
      </c>
    </row>
    <row r="189" spans="1:47" ht="16.5" customHeight="1">
      <c r="A189" s="76" t="s">
        <v>613</v>
      </c>
      <c r="B189" s="41" t="s">
        <v>882</v>
      </c>
      <c r="C189" s="5" t="s">
        <v>883</v>
      </c>
      <c r="D189" s="77" t="s">
        <v>940</v>
      </c>
      <c r="E189" s="48"/>
      <c r="F189" s="76" t="s">
        <v>614</v>
      </c>
      <c r="G189" s="121" t="s">
        <v>843</v>
      </c>
      <c r="H189" s="122" t="s">
        <v>842</v>
      </c>
      <c r="I189" s="123" t="s">
        <v>888</v>
      </c>
      <c r="J189" s="124">
        <v>2</v>
      </c>
      <c r="K189" s="117">
        <v>1</v>
      </c>
      <c r="L189" s="117">
        <v>1</v>
      </c>
      <c r="M189" s="116">
        <v>5</v>
      </c>
      <c r="N189" s="116">
        <v>2</v>
      </c>
      <c r="O189" s="116">
        <v>0</v>
      </c>
      <c r="P189" s="43">
        <v>9</v>
      </c>
      <c r="Q189" s="116">
        <v>6</v>
      </c>
      <c r="R189" s="116">
        <v>3</v>
      </c>
      <c r="S189" s="116">
        <v>0</v>
      </c>
      <c r="T189" s="116">
        <v>0</v>
      </c>
      <c r="U189" s="116">
        <v>0</v>
      </c>
      <c r="V189" s="116">
        <v>0</v>
      </c>
      <c r="W189" s="116">
        <v>0</v>
      </c>
      <c r="X189" s="116">
        <v>0</v>
      </c>
      <c r="Y189" s="116">
        <v>0</v>
      </c>
      <c r="Z189" s="116">
        <v>10</v>
      </c>
      <c r="AA189" s="116">
        <v>4</v>
      </c>
      <c r="AB189" s="116">
        <v>0</v>
      </c>
      <c r="AC189" s="116">
        <v>0</v>
      </c>
      <c r="AD189" s="116">
        <v>0</v>
      </c>
      <c r="AE189" s="116">
        <v>0</v>
      </c>
      <c r="AF189" s="116">
        <v>0</v>
      </c>
      <c r="AG189" s="116">
        <v>0</v>
      </c>
      <c r="AH189" s="116">
        <v>0</v>
      </c>
      <c r="AI189" s="116">
        <v>1</v>
      </c>
      <c r="AJ189" s="117">
        <v>1</v>
      </c>
      <c r="AK189" s="117">
        <v>5</v>
      </c>
      <c r="AL189" s="117">
        <v>0</v>
      </c>
      <c r="AM189" s="117">
        <v>13</v>
      </c>
      <c r="AN189" s="117">
        <v>30</v>
      </c>
      <c r="AO189" s="117">
        <v>0</v>
      </c>
      <c r="AP189" s="117">
        <v>3</v>
      </c>
      <c r="AQ189" s="117">
        <v>46</v>
      </c>
      <c r="AR189" s="44"/>
      <c r="AS189" s="44"/>
      <c r="AT189" s="46"/>
      <c r="AU189" s="62" t="s">
        <v>889</v>
      </c>
    </row>
    <row r="190" spans="1:47" ht="16.5" customHeight="1">
      <c r="A190" s="76" t="s">
        <v>15</v>
      </c>
      <c r="B190" s="41" t="s">
        <v>882</v>
      </c>
      <c r="C190" s="5" t="s">
        <v>883</v>
      </c>
      <c r="D190" s="77" t="s">
        <v>940</v>
      </c>
      <c r="E190" s="48"/>
      <c r="F190" s="76" t="s">
        <v>16</v>
      </c>
      <c r="G190" s="121" t="s">
        <v>843</v>
      </c>
      <c r="H190" s="122"/>
      <c r="I190" s="123" t="s">
        <v>885</v>
      </c>
      <c r="J190" s="124">
        <v>2</v>
      </c>
      <c r="K190" s="117">
        <v>1</v>
      </c>
      <c r="L190" s="117">
        <v>1</v>
      </c>
      <c r="M190" s="116">
        <v>14</v>
      </c>
      <c r="N190" s="116">
        <v>8</v>
      </c>
      <c r="O190" s="116">
        <v>0</v>
      </c>
      <c r="P190" s="43">
        <v>11</v>
      </c>
      <c r="Q190" s="116">
        <v>0</v>
      </c>
      <c r="R190" s="116">
        <v>11</v>
      </c>
      <c r="S190" s="116">
        <v>0</v>
      </c>
      <c r="T190" s="116">
        <v>5</v>
      </c>
      <c r="U190" s="116">
        <v>4</v>
      </c>
      <c r="V190" s="116">
        <v>0</v>
      </c>
      <c r="W190" s="116">
        <v>0</v>
      </c>
      <c r="X190" s="116">
        <v>0</v>
      </c>
      <c r="Y190" s="116">
        <v>0</v>
      </c>
      <c r="Z190" s="116">
        <v>8</v>
      </c>
      <c r="AA190" s="116">
        <v>14</v>
      </c>
      <c r="AB190" s="116">
        <v>0</v>
      </c>
      <c r="AC190" s="116">
        <v>0</v>
      </c>
      <c r="AD190" s="116">
        <v>0</v>
      </c>
      <c r="AE190" s="116">
        <v>0</v>
      </c>
      <c r="AF190" s="116">
        <v>0</v>
      </c>
      <c r="AG190" s="116">
        <v>0</v>
      </c>
      <c r="AH190" s="116">
        <v>0</v>
      </c>
      <c r="AI190" s="116">
        <v>1</v>
      </c>
      <c r="AJ190" s="117">
        <v>0</v>
      </c>
      <c r="AK190" s="117">
        <v>15</v>
      </c>
      <c r="AL190" s="117">
        <v>0</v>
      </c>
      <c r="AM190" s="117">
        <v>0</v>
      </c>
      <c r="AN190" s="117">
        <v>91</v>
      </c>
      <c r="AO190" s="117">
        <v>0</v>
      </c>
      <c r="AP190" s="117">
        <v>15</v>
      </c>
      <c r="AQ190" s="117">
        <v>91</v>
      </c>
      <c r="AR190" s="44"/>
      <c r="AS190" s="44"/>
      <c r="AT190" s="46"/>
      <c r="AU190" s="62" t="s">
        <v>908</v>
      </c>
    </row>
    <row r="191" spans="1:47" ht="16.5" customHeight="1">
      <c r="A191" s="76" t="s">
        <v>298</v>
      </c>
      <c r="B191" s="41" t="s">
        <v>882</v>
      </c>
      <c r="C191" s="5" t="s">
        <v>883</v>
      </c>
      <c r="D191" s="77" t="s">
        <v>940</v>
      </c>
      <c r="E191" s="49"/>
      <c r="F191" s="76" t="s">
        <v>299</v>
      </c>
      <c r="G191" s="121" t="s">
        <v>843</v>
      </c>
      <c r="H191" s="122" t="s">
        <v>842</v>
      </c>
      <c r="I191" s="123" t="s">
        <v>888</v>
      </c>
      <c r="J191" s="124">
        <v>2</v>
      </c>
      <c r="K191" s="117">
        <v>2</v>
      </c>
      <c r="L191" s="117">
        <v>1</v>
      </c>
      <c r="M191" s="116">
        <v>7</v>
      </c>
      <c r="N191" s="116">
        <v>4</v>
      </c>
      <c r="O191" s="116">
        <v>0</v>
      </c>
      <c r="P191" s="43">
        <v>3</v>
      </c>
      <c r="Q191" s="116">
        <v>3</v>
      </c>
      <c r="R191" s="116">
        <v>0</v>
      </c>
      <c r="S191" s="116">
        <v>0</v>
      </c>
      <c r="T191" s="116">
        <v>0</v>
      </c>
      <c r="U191" s="116">
        <v>0</v>
      </c>
      <c r="V191" s="116">
        <v>0</v>
      </c>
      <c r="W191" s="116">
        <v>0</v>
      </c>
      <c r="X191" s="116">
        <v>0</v>
      </c>
      <c r="Y191" s="116">
        <v>0</v>
      </c>
      <c r="Z191" s="116">
        <v>9</v>
      </c>
      <c r="AA191" s="116">
        <v>3</v>
      </c>
      <c r="AB191" s="116">
        <v>0</v>
      </c>
      <c r="AC191" s="116">
        <v>0</v>
      </c>
      <c r="AD191" s="116">
        <v>0</v>
      </c>
      <c r="AE191" s="116">
        <v>0</v>
      </c>
      <c r="AF191" s="116">
        <v>0</v>
      </c>
      <c r="AG191" s="116">
        <v>0</v>
      </c>
      <c r="AH191" s="116">
        <v>0</v>
      </c>
      <c r="AI191" s="116">
        <v>1</v>
      </c>
      <c r="AJ191" s="117">
        <v>0</v>
      </c>
      <c r="AK191" s="117">
        <v>7</v>
      </c>
      <c r="AL191" s="117">
        <v>0</v>
      </c>
      <c r="AM191" s="117">
        <v>0</v>
      </c>
      <c r="AN191" s="117">
        <v>41</v>
      </c>
      <c r="AO191" s="117">
        <v>0</v>
      </c>
      <c r="AP191" s="117">
        <v>6</v>
      </c>
      <c r="AQ191" s="117">
        <v>42</v>
      </c>
      <c r="AR191" s="44"/>
      <c r="AS191" s="44"/>
      <c r="AT191" s="46"/>
      <c r="AU191" s="62" t="s">
        <v>889</v>
      </c>
    </row>
    <row r="192" spans="1:47" ht="16.5" customHeight="1">
      <c r="A192" s="76" t="s">
        <v>416</v>
      </c>
      <c r="B192" s="41" t="s">
        <v>882</v>
      </c>
      <c r="C192" s="5" t="s">
        <v>883</v>
      </c>
      <c r="D192" s="77" t="s">
        <v>940</v>
      </c>
      <c r="E192" s="47"/>
      <c r="F192" s="76" t="s">
        <v>417</v>
      </c>
      <c r="G192" s="121" t="s">
        <v>843</v>
      </c>
      <c r="H192" s="122" t="s">
        <v>842</v>
      </c>
      <c r="I192" s="123" t="s">
        <v>885</v>
      </c>
      <c r="J192" s="124">
        <v>2</v>
      </c>
      <c r="K192" s="117">
        <v>0</v>
      </c>
      <c r="L192" s="117">
        <v>0</v>
      </c>
      <c r="M192" s="116">
        <v>11</v>
      </c>
      <c r="N192" s="116">
        <v>3</v>
      </c>
      <c r="O192" s="116">
        <v>1</v>
      </c>
      <c r="P192" s="43">
        <v>1</v>
      </c>
      <c r="Q192" s="116">
        <v>1</v>
      </c>
      <c r="R192" s="116">
        <v>0</v>
      </c>
      <c r="S192" s="116">
        <v>0</v>
      </c>
      <c r="T192" s="116">
        <v>1</v>
      </c>
      <c r="U192" s="116">
        <v>1</v>
      </c>
      <c r="V192" s="116">
        <v>0</v>
      </c>
      <c r="W192" s="116">
        <v>1</v>
      </c>
      <c r="X192" s="116">
        <v>0</v>
      </c>
      <c r="Y192" s="116">
        <v>0</v>
      </c>
      <c r="Z192" s="116">
        <v>8</v>
      </c>
      <c r="AA192" s="116">
        <v>2</v>
      </c>
      <c r="AB192" s="116">
        <v>3</v>
      </c>
      <c r="AC192" s="116">
        <v>0</v>
      </c>
      <c r="AD192" s="116">
        <v>0</v>
      </c>
      <c r="AE192" s="116">
        <v>0</v>
      </c>
      <c r="AF192" s="116">
        <v>0</v>
      </c>
      <c r="AG192" s="116">
        <v>0</v>
      </c>
      <c r="AH192" s="116">
        <v>0</v>
      </c>
      <c r="AI192" s="116">
        <v>1</v>
      </c>
      <c r="AJ192" s="117">
        <v>1</v>
      </c>
      <c r="AK192" s="117">
        <v>5</v>
      </c>
      <c r="AL192" s="117">
        <v>0</v>
      </c>
      <c r="AM192" s="117">
        <v>9</v>
      </c>
      <c r="AN192" s="117">
        <v>28</v>
      </c>
      <c r="AO192" s="117">
        <v>3</v>
      </c>
      <c r="AP192" s="117">
        <v>1</v>
      </c>
      <c r="AQ192" s="117">
        <v>39</v>
      </c>
      <c r="AR192" s="44"/>
      <c r="AS192" s="44"/>
      <c r="AT192" s="46"/>
      <c r="AU192" s="62" t="s">
        <v>887</v>
      </c>
    </row>
    <row r="193" spans="1:47" ht="16.5" customHeight="1">
      <c r="A193" s="76" t="s">
        <v>419</v>
      </c>
      <c r="B193" s="41" t="s">
        <v>882</v>
      </c>
      <c r="C193" s="5" t="s">
        <v>883</v>
      </c>
      <c r="D193" s="77" t="s">
        <v>940</v>
      </c>
      <c r="E193" s="48"/>
      <c r="F193" s="76" t="s">
        <v>420</v>
      </c>
      <c r="G193" s="121" t="s">
        <v>843</v>
      </c>
      <c r="H193" s="122"/>
      <c r="I193" s="123" t="s">
        <v>888</v>
      </c>
      <c r="J193" s="124">
        <v>2</v>
      </c>
      <c r="K193" s="117">
        <v>1</v>
      </c>
      <c r="L193" s="117">
        <v>1</v>
      </c>
      <c r="M193" s="116">
        <v>6</v>
      </c>
      <c r="N193" s="116">
        <v>2</v>
      </c>
      <c r="O193" s="116">
        <v>0</v>
      </c>
      <c r="P193" s="43">
        <v>6</v>
      </c>
      <c r="Q193" s="116">
        <v>3</v>
      </c>
      <c r="R193" s="116">
        <v>3</v>
      </c>
      <c r="S193" s="116">
        <v>0</v>
      </c>
      <c r="T193" s="116">
        <v>0</v>
      </c>
      <c r="U193" s="116">
        <v>0</v>
      </c>
      <c r="V193" s="116">
        <v>0</v>
      </c>
      <c r="W193" s="116">
        <v>0</v>
      </c>
      <c r="X193" s="116">
        <v>0</v>
      </c>
      <c r="Y193" s="116">
        <v>0</v>
      </c>
      <c r="Z193" s="116">
        <v>0</v>
      </c>
      <c r="AA193" s="116">
        <v>0</v>
      </c>
      <c r="AB193" s="116">
        <v>0</v>
      </c>
      <c r="AC193" s="116">
        <v>0</v>
      </c>
      <c r="AD193" s="116">
        <v>0</v>
      </c>
      <c r="AE193" s="116">
        <v>0</v>
      </c>
      <c r="AF193" s="116">
        <v>8</v>
      </c>
      <c r="AG193" s="116">
        <v>4</v>
      </c>
      <c r="AH193" s="116">
        <v>0</v>
      </c>
      <c r="AI193" s="116">
        <v>1</v>
      </c>
      <c r="AJ193" s="117">
        <v>1</v>
      </c>
      <c r="AK193" s="117">
        <v>4</v>
      </c>
      <c r="AL193" s="117">
        <v>0</v>
      </c>
      <c r="AM193" s="117">
        <v>16</v>
      </c>
      <c r="AN193" s="117">
        <v>13</v>
      </c>
      <c r="AO193" s="117">
        <v>0</v>
      </c>
      <c r="AP193" s="117">
        <v>3</v>
      </c>
      <c r="AQ193" s="117">
        <v>31</v>
      </c>
      <c r="AR193" s="44"/>
      <c r="AS193" s="44"/>
      <c r="AT193" s="46"/>
      <c r="AU193" s="62" t="s">
        <v>887</v>
      </c>
    </row>
    <row r="194" spans="1:47" ht="16.5" customHeight="1">
      <c r="A194" s="76" t="s">
        <v>93</v>
      </c>
      <c r="B194" s="41" t="s">
        <v>882</v>
      </c>
      <c r="C194" s="5" t="s">
        <v>883</v>
      </c>
      <c r="D194" s="77" t="s">
        <v>940</v>
      </c>
      <c r="E194" s="48"/>
      <c r="F194" s="76" t="s">
        <v>94</v>
      </c>
      <c r="G194" s="121" t="s">
        <v>843</v>
      </c>
      <c r="H194" s="122" t="s">
        <v>842</v>
      </c>
      <c r="I194" s="123" t="s">
        <v>888</v>
      </c>
      <c r="J194" s="124">
        <v>2</v>
      </c>
      <c r="K194" s="117">
        <v>1</v>
      </c>
      <c r="L194" s="117">
        <v>1</v>
      </c>
      <c r="M194" s="116">
        <v>20</v>
      </c>
      <c r="N194" s="116">
        <v>13</v>
      </c>
      <c r="O194" s="116">
        <v>0</v>
      </c>
      <c r="P194" s="43">
        <v>7</v>
      </c>
      <c r="Q194" s="116">
        <v>5</v>
      </c>
      <c r="R194" s="116">
        <v>2</v>
      </c>
      <c r="S194" s="116">
        <v>0</v>
      </c>
      <c r="T194" s="116">
        <v>1</v>
      </c>
      <c r="U194" s="116">
        <v>1</v>
      </c>
      <c r="V194" s="116">
        <v>0</v>
      </c>
      <c r="W194" s="116">
        <v>0</v>
      </c>
      <c r="X194" s="116">
        <v>0</v>
      </c>
      <c r="Y194" s="116">
        <v>0</v>
      </c>
      <c r="Z194" s="116">
        <v>24</v>
      </c>
      <c r="AA194" s="116">
        <v>13</v>
      </c>
      <c r="AB194" s="116">
        <v>0</v>
      </c>
      <c r="AC194" s="116">
        <v>0</v>
      </c>
      <c r="AD194" s="116">
        <v>0</v>
      </c>
      <c r="AE194" s="116">
        <v>0</v>
      </c>
      <c r="AF194" s="116">
        <v>0</v>
      </c>
      <c r="AG194" s="116">
        <v>0</v>
      </c>
      <c r="AH194" s="116">
        <v>0</v>
      </c>
      <c r="AI194" s="116">
        <v>1</v>
      </c>
      <c r="AJ194" s="117">
        <v>0</v>
      </c>
      <c r="AK194" s="117">
        <v>7</v>
      </c>
      <c r="AL194" s="117">
        <v>0</v>
      </c>
      <c r="AM194" s="117">
        <v>0</v>
      </c>
      <c r="AN194" s="117">
        <v>51</v>
      </c>
      <c r="AO194" s="117">
        <v>0</v>
      </c>
      <c r="AP194" s="117">
        <v>7</v>
      </c>
      <c r="AQ194" s="117">
        <v>51</v>
      </c>
      <c r="AR194" s="44"/>
      <c r="AS194" s="44"/>
      <c r="AT194" s="46"/>
      <c r="AU194" s="62" t="s">
        <v>915</v>
      </c>
    </row>
    <row r="195" spans="1:47" ht="16.5" customHeight="1">
      <c r="A195" s="76" t="s">
        <v>621</v>
      </c>
      <c r="B195" s="41" t="s">
        <v>882</v>
      </c>
      <c r="C195" s="5" t="s">
        <v>883</v>
      </c>
      <c r="D195" s="77" t="s">
        <v>940</v>
      </c>
      <c r="E195" s="47"/>
      <c r="F195" s="76" t="s">
        <v>622</v>
      </c>
      <c r="G195" s="121" t="s">
        <v>843</v>
      </c>
      <c r="H195" s="122" t="s">
        <v>842</v>
      </c>
      <c r="I195" s="123" t="s">
        <v>888</v>
      </c>
      <c r="J195" s="124">
        <v>2</v>
      </c>
      <c r="K195" s="117">
        <v>3</v>
      </c>
      <c r="L195" s="117">
        <v>1</v>
      </c>
      <c r="M195" s="116">
        <v>6</v>
      </c>
      <c r="N195" s="116">
        <v>4</v>
      </c>
      <c r="O195" s="116">
        <v>0</v>
      </c>
      <c r="P195" s="43">
        <v>8</v>
      </c>
      <c r="Q195" s="116">
        <v>7</v>
      </c>
      <c r="R195" s="116">
        <v>1</v>
      </c>
      <c r="S195" s="116">
        <v>0</v>
      </c>
      <c r="T195" s="116">
        <v>0</v>
      </c>
      <c r="U195" s="116">
        <v>0</v>
      </c>
      <c r="V195" s="116">
        <v>0</v>
      </c>
      <c r="W195" s="116">
        <v>0</v>
      </c>
      <c r="X195" s="116">
        <v>0</v>
      </c>
      <c r="Y195" s="116">
        <v>0</v>
      </c>
      <c r="Z195" s="116">
        <v>12</v>
      </c>
      <c r="AA195" s="116">
        <v>4</v>
      </c>
      <c r="AB195" s="116">
        <v>0</v>
      </c>
      <c r="AC195" s="116">
        <v>0</v>
      </c>
      <c r="AD195" s="116">
        <v>0</v>
      </c>
      <c r="AE195" s="116">
        <v>0</v>
      </c>
      <c r="AF195" s="116">
        <v>0</v>
      </c>
      <c r="AG195" s="116">
        <v>0</v>
      </c>
      <c r="AH195" s="116">
        <v>0</v>
      </c>
      <c r="AI195" s="116">
        <v>1</v>
      </c>
      <c r="AJ195" s="117">
        <v>0</v>
      </c>
      <c r="AK195" s="117">
        <v>8</v>
      </c>
      <c r="AL195" s="117">
        <v>0</v>
      </c>
      <c r="AM195" s="117">
        <v>0</v>
      </c>
      <c r="AN195" s="117">
        <v>54</v>
      </c>
      <c r="AO195" s="117">
        <v>0</v>
      </c>
      <c r="AP195" s="117">
        <v>5</v>
      </c>
      <c r="AQ195" s="117">
        <v>56</v>
      </c>
      <c r="AR195" s="44"/>
      <c r="AS195" s="44"/>
      <c r="AT195" s="46"/>
      <c r="AU195" s="62" t="s">
        <v>897</v>
      </c>
    </row>
    <row r="196" spans="1:47" ht="16.5" customHeight="1">
      <c r="A196" s="76" t="s">
        <v>428</v>
      </c>
      <c r="B196" s="41" t="s">
        <v>882</v>
      </c>
      <c r="C196" s="5" t="s">
        <v>883</v>
      </c>
      <c r="D196" s="77" t="s">
        <v>940</v>
      </c>
      <c r="E196" s="48"/>
      <c r="F196" s="76" t="s">
        <v>429</v>
      </c>
      <c r="G196" s="121" t="s">
        <v>843</v>
      </c>
      <c r="H196" s="122" t="s">
        <v>842</v>
      </c>
      <c r="I196" s="123" t="s">
        <v>888</v>
      </c>
      <c r="J196" s="124">
        <v>2</v>
      </c>
      <c r="K196" s="117">
        <v>2</v>
      </c>
      <c r="L196" s="117">
        <v>1</v>
      </c>
      <c r="M196" s="116">
        <v>10</v>
      </c>
      <c r="N196" s="116">
        <v>2</v>
      </c>
      <c r="O196" s="116">
        <v>0</v>
      </c>
      <c r="P196" s="43">
        <v>5</v>
      </c>
      <c r="Q196" s="116">
        <v>3</v>
      </c>
      <c r="R196" s="116">
        <v>2</v>
      </c>
      <c r="S196" s="116">
        <v>0</v>
      </c>
      <c r="T196" s="116">
        <v>1</v>
      </c>
      <c r="U196" s="116">
        <v>0</v>
      </c>
      <c r="V196" s="116">
        <v>0</v>
      </c>
      <c r="W196" s="116">
        <v>0</v>
      </c>
      <c r="X196" s="116">
        <v>0</v>
      </c>
      <c r="Y196" s="116">
        <v>0</v>
      </c>
      <c r="Z196" s="116">
        <v>11</v>
      </c>
      <c r="AA196" s="116">
        <v>3</v>
      </c>
      <c r="AB196" s="116">
        <v>0</v>
      </c>
      <c r="AC196" s="116">
        <v>0</v>
      </c>
      <c r="AD196" s="116">
        <v>0</v>
      </c>
      <c r="AE196" s="116">
        <v>0</v>
      </c>
      <c r="AF196" s="116">
        <v>0</v>
      </c>
      <c r="AG196" s="116">
        <v>0</v>
      </c>
      <c r="AH196" s="116">
        <v>0</v>
      </c>
      <c r="AI196" s="116">
        <v>1</v>
      </c>
      <c r="AJ196" s="117">
        <v>2</v>
      </c>
      <c r="AK196" s="117">
        <v>9</v>
      </c>
      <c r="AL196" s="117">
        <v>0</v>
      </c>
      <c r="AM196" s="117">
        <v>12</v>
      </c>
      <c r="AN196" s="117">
        <v>47</v>
      </c>
      <c r="AO196" s="117">
        <v>0</v>
      </c>
      <c r="AP196" s="117">
        <v>9</v>
      </c>
      <c r="AQ196" s="117">
        <v>61</v>
      </c>
      <c r="AR196" s="44"/>
      <c r="AS196" s="44"/>
      <c r="AT196" s="46"/>
      <c r="AU196" s="62" t="s">
        <v>901</v>
      </c>
    </row>
    <row r="197" spans="1:47" ht="16.5" customHeight="1">
      <c r="A197" s="76" t="s">
        <v>434</v>
      </c>
      <c r="B197" s="41" t="s">
        <v>882</v>
      </c>
      <c r="C197" s="5" t="s">
        <v>883</v>
      </c>
      <c r="D197" s="77" t="s">
        <v>940</v>
      </c>
      <c r="E197" s="48"/>
      <c r="F197" s="76" t="s">
        <v>435</v>
      </c>
      <c r="G197" s="121" t="s">
        <v>843</v>
      </c>
      <c r="H197" s="122" t="s">
        <v>842</v>
      </c>
      <c r="I197" s="123" t="s">
        <v>888</v>
      </c>
      <c r="J197" s="124">
        <v>2</v>
      </c>
      <c r="K197" s="117">
        <v>2</v>
      </c>
      <c r="L197" s="117">
        <v>1</v>
      </c>
      <c r="M197" s="116">
        <v>6</v>
      </c>
      <c r="N197" s="116">
        <v>2</v>
      </c>
      <c r="O197" s="116">
        <v>0</v>
      </c>
      <c r="P197" s="43">
        <v>5</v>
      </c>
      <c r="Q197" s="116">
        <v>5</v>
      </c>
      <c r="R197" s="116">
        <v>0</v>
      </c>
      <c r="S197" s="116">
        <v>0</v>
      </c>
      <c r="T197" s="116">
        <v>1</v>
      </c>
      <c r="U197" s="116">
        <v>1</v>
      </c>
      <c r="V197" s="116">
        <v>0</v>
      </c>
      <c r="W197" s="116">
        <v>0</v>
      </c>
      <c r="X197" s="116">
        <v>0</v>
      </c>
      <c r="Y197" s="116">
        <v>0</v>
      </c>
      <c r="Z197" s="116">
        <v>9</v>
      </c>
      <c r="AA197" s="116">
        <v>0</v>
      </c>
      <c r="AB197" s="116">
        <v>0</v>
      </c>
      <c r="AC197" s="116">
        <v>0</v>
      </c>
      <c r="AD197" s="116">
        <v>0</v>
      </c>
      <c r="AE197" s="116">
        <v>0</v>
      </c>
      <c r="AF197" s="116">
        <v>0</v>
      </c>
      <c r="AG197" s="116">
        <v>0</v>
      </c>
      <c r="AH197" s="116">
        <v>0</v>
      </c>
      <c r="AI197" s="116">
        <v>1</v>
      </c>
      <c r="AJ197" s="117">
        <v>1</v>
      </c>
      <c r="AK197" s="117">
        <v>3</v>
      </c>
      <c r="AL197" s="117">
        <v>0</v>
      </c>
      <c r="AM197" s="117">
        <v>13</v>
      </c>
      <c r="AN197" s="117">
        <v>18</v>
      </c>
      <c r="AO197" s="117">
        <v>0</v>
      </c>
      <c r="AP197" s="117">
        <v>2</v>
      </c>
      <c r="AQ197" s="117">
        <v>33</v>
      </c>
      <c r="AR197" s="44"/>
      <c r="AS197" s="44"/>
      <c r="AT197" s="46"/>
      <c r="AU197" s="62" t="s">
        <v>900</v>
      </c>
    </row>
    <row r="198" spans="1:47" ht="16.5" customHeight="1">
      <c r="A198" s="76" t="s">
        <v>551</v>
      </c>
      <c r="B198" s="41" t="s">
        <v>882</v>
      </c>
      <c r="C198" s="5" t="s">
        <v>883</v>
      </c>
      <c r="D198" s="77" t="s">
        <v>940</v>
      </c>
      <c r="E198" s="48"/>
      <c r="F198" s="76" t="s">
        <v>552</v>
      </c>
      <c r="G198" s="121" t="s">
        <v>843</v>
      </c>
      <c r="H198" s="122"/>
      <c r="I198" s="123" t="s">
        <v>888</v>
      </c>
      <c r="J198" s="124">
        <v>2</v>
      </c>
      <c r="K198" s="117">
        <v>1</v>
      </c>
      <c r="L198" s="117">
        <v>1</v>
      </c>
      <c r="M198" s="116">
        <v>10</v>
      </c>
      <c r="N198" s="116">
        <v>4</v>
      </c>
      <c r="O198" s="116">
        <v>0</v>
      </c>
      <c r="P198" s="43">
        <v>1</v>
      </c>
      <c r="Q198" s="116">
        <v>1</v>
      </c>
      <c r="R198" s="116">
        <v>0</v>
      </c>
      <c r="S198" s="116">
        <v>0</v>
      </c>
      <c r="T198" s="116">
        <v>2</v>
      </c>
      <c r="U198" s="116">
        <v>1</v>
      </c>
      <c r="V198" s="116">
        <v>0</v>
      </c>
      <c r="W198" s="116">
        <v>0</v>
      </c>
      <c r="X198" s="116">
        <v>0</v>
      </c>
      <c r="Y198" s="116">
        <v>0</v>
      </c>
      <c r="Z198" s="116">
        <v>8</v>
      </c>
      <c r="AA198" s="116">
        <v>2</v>
      </c>
      <c r="AB198" s="116">
        <v>0</v>
      </c>
      <c r="AC198" s="116">
        <v>0</v>
      </c>
      <c r="AD198" s="116">
        <v>0</v>
      </c>
      <c r="AE198" s="116">
        <v>0</v>
      </c>
      <c r="AF198" s="116">
        <v>0</v>
      </c>
      <c r="AG198" s="116">
        <v>0</v>
      </c>
      <c r="AH198" s="116">
        <v>0</v>
      </c>
      <c r="AI198" s="116">
        <v>1</v>
      </c>
      <c r="AJ198" s="117">
        <v>0</v>
      </c>
      <c r="AK198" s="117">
        <v>6</v>
      </c>
      <c r="AL198" s="117">
        <v>0</v>
      </c>
      <c r="AM198" s="117">
        <v>0</v>
      </c>
      <c r="AN198" s="117">
        <v>34</v>
      </c>
      <c r="AO198" s="117">
        <v>0</v>
      </c>
      <c r="AP198" s="117">
        <v>5</v>
      </c>
      <c r="AQ198" s="117">
        <v>35</v>
      </c>
      <c r="AR198" s="44"/>
      <c r="AS198" s="44"/>
      <c r="AT198" s="46"/>
      <c r="AU198" s="62" t="s">
        <v>908</v>
      </c>
    </row>
    <row r="199" spans="1:47" ht="16.5" customHeight="1">
      <c r="A199" s="76" t="s">
        <v>641</v>
      </c>
      <c r="B199" s="41" t="s">
        <v>882</v>
      </c>
      <c r="C199" s="5" t="s">
        <v>883</v>
      </c>
      <c r="D199" s="77" t="s">
        <v>940</v>
      </c>
      <c r="E199" s="48"/>
      <c r="F199" s="76" t="s">
        <v>642</v>
      </c>
      <c r="G199" s="121" t="s">
        <v>843</v>
      </c>
      <c r="H199" s="122"/>
      <c r="I199" s="123" t="s">
        <v>888</v>
      </c>
      <c r="J199" s="124">
        <v>2</v>
      </c>
      <c r="K199" s="117">
        <v>0</v>
      </c>
      <c r="L199" s="117">
        <v>0</v>
      </c>
      <c r="M199" s="116">
        <v>0</v>
      </c>
      <c r="N199" s="116">
        <v>0</v>
      </c>
      <c r="O199" s="116">
        <v>0</v>
      </c>
      <c r="P199" s="43">
        <v>0</v>
      </c>
      <c r="Q199" s="116">
        <v>0</v>
      </c>
      <c r="R199" s="116">
        <v>0</v>
      </c>
      <c r="S199" s="116">
        <v>0</v>
      </c>
      <c r="T199" s="116">
        <v>0</v>
      </c>
      <c r="U199" s="116">
        <v>0</v>
      </c>
      <c r="V199" s="116">
        <v>0</v>
      </c>
      <c r="W199" s="116">
        <v>0</v>
      </c>
      <c r="X199" s="116">
        <v>0</v>
      </c>
      <c r="Y199" s="116">
        <v>0</v>
      </c>
      <c r="Z199" s="116">
        <v>0</v>
      </c>
      <c r="AA199" s="116">
        <v>0</v>
      </c>
      <c r="AB199" s="116">
        <v>0</v>
      </c>
      <c r="AC199" s="116">
        <v>0</v>
      </c>
      <c r="AD199" s="116">
        <v>0</v>
      </c>
      <c r="AE199" s="116">
        <v>0</v>
      </c>
      <c r="AF199" s="116">
        <v>0</v>
      </c>
      <c r="AG199" s="116">
        <v>0</v>
      </c>
      <c r="AH199" s="116">
        <v>0</v>
      </c>
      <c r="AI199" s="116">
        <v>1</v>
      </c>
      <c r="AJ199" s="117">
        <v>0</v>
      </c>
      <c r="AK199" s="117">
        <v>11</v>
      </c>
      <c r="AL199" s="117">
        <v>0</v>
      </c>
      <c r="AM199" s="117">
        <v>0</v>
      </c>
      <c r="AN199" s="117">
        <v>94</v>
      </c>
      <c r="AO199" s="117">
        <v>0</v>
      </c>
      <c r="AP199" s="117">
        <v>10</v>
      </c>
      <c r="AQ199" s="117">
        <v>94</v>
      </c>
      <c r="AR199" s="44"/>
      <c r="AS199" s="44"/>
      <c r="AT199" s="46"/>
      <c r="AU199" s="62" t="s">
        <v>893</v>
      </c>
    </row>
    <row r="200" spans="1:47" ht="16.5" customHeight="1">
      <c r="A200" s="76" t="s">
        <v>130</v>
      </c>
      <c r="B200" s="41" t="s">
        <v>882</v>
      </c>
      <c r="C200" s="5" t="s">
        <v>883</v>
      </c>
      <c r="D200" s="77" t="s">
        <v>940</v>
      </c>
      <c r="E200" s="48"/>
      <c r="F200" s="76" t="s">
        <v>131</v>
      </c>
      <c r="G200" s="121" t="s">
        <v>843</v>
      </c>
      <c r="H200" s="122" t="s">
        <v>842</v>
      </c>
      <c r="I200" s="123" t="s">
        <v>885</v>
      </c>
      <c r="J200" s="124">
        <v>2</v>
      </c>
      <c r="K200" s="117">
        <v>1</v>
      </c>
      <c r="L200" s="117">
        <v>1</v>
      </c>
      <c r="M200" s="116">
        <v>13</v>
      </c>
      <c r="N200" s="116">
        <v>6</v>
      </c>
      <c r="O200" s="116">
        <v>0</v>
      </c>
      <c r="P200" s="43">
        <v>1</v>
      </c>
      <c r="Q200" s="116">
        <v>1</v>
      </c>
      <c r="R200" s="116">
        <v>0</v>
      </c>
      <c r="S200" s="116">
        <v>0</v>
      </c>
      <c r="T200" s="116">
        <v>3</v>
      </c>
      <c r="U200" s="116">
        <v>4</v>
      </c>
      <c r="V200" s="116">
        <v>0</v>
      </c>
      <c r="W200" s="116">
        <v>0</v>
      </c>
      <c r="X200" s="116">
        <v>0</v>
      </c>
      <c r="Y200" s="116">
        <v>0</v>
      </c>
      <c r="Z200" s="116">
        <v>0</v>
      </c>
      <c r="AA200" s="116">
        <v>0</v>
      </c>
      <c r="AB200" s="116">
        <v>0</v>
      </c>
      <c r="AC200" s="116">
        <v>11</v>
      </c>
      <c r="AD200" s="116">
        <v>1</v>
      </c>
      <c r="AE200" s="116">
        <v>0</v>
      </c>
      <c r="AF200" s="116">
        <v>0</v>
      </c>
      <c r="AG200" s="116">
        <v>0</v>
      </c>
      <c r="AH200" s="116">
        <v>0</v>
      </c>
      <c r="AI200" s="116">
        <v>1</v>
      </c>
      <c r="AJ200" s="117">
        <v>0</v>
      </c>
      <c r="AK200" s="117">
        <v>11</v>
      </c>
      <c r="AL200" s="117">
        <v>0</v>
      </c>
      <c r="AM200" s="117">
        <v>0</v>
      </c>
      <c r="AN200" s="117">
        <v>58</v>
      </c>
      <c r="AO200" s="117">
        <v>0</v>
      </c>
      <c r="AP200" s="117">
        <v>11</v>
      </c>
      <c r="AQ200" s="117">
        <v>58</v>
      </c>
      <c r="AR200" s="44"/>
      <c r="AS200" s="44"/>
      <c r="AT200" s="46"/>
      <c r="AU200" s="62" t="s">
        <v>891</v>
      </c>
    </row>
    <row r="201" spans="1:47" ht="16.5" customHeight="1">
      <c r="A201" s="76" t="s">
        <v>323</v>
      </c>
      <c r="B201" s="41" t="s">
        <v>882</v>
      </c>
      <c r="C201" s="5" t="s">
        <v>883</v>
      </c>
      <c r="D201" s="77" t="s">
        <v>940</v>
      </c>
      <c r="E201" s="48"/>
      <c r="F201" s="76" t="s">
        <v>324</v>
      </c>
      <c r="G201" s="121" t="s">
        <v>843</v>
      </c>
      <c r="H201" s="122" t="s">
        <v>842</v>
      </c>
      <c r="I201" s="123" t="s">
        <v>888</v>
      </c>
      <c r="J201" s="124">
        <v>2</v>
      </c>
      <c r="K201" s="117">
        <v>0</v>
      </c>
      <c r="L201" s="117">
        <v>0</v>
      </c>
      <c r="M201" s="116">
        <v>12</v>
      </c>
      <c r="N201" s="116">
        <v>5</v>
      </c>
      <c r="O201" s="116">
        <v>1</v>
      </c>
      <c r="P201" s="43">
        <v>1</v>
      </c>
      <c r="Q201" s="116">
        <v>0</v>
      </c>
      <c r="R201" s="116">
        <v>1</v>
      </c>
      <c r="S201" s="116">
        <v>0</v>
      </c>
      <c r="T201" s="116">
        <v>3</v>
      </c>
      <c r="U201" s="116">
        <v>3</v>
      </c>
      <c r="V201" s="116">
        <v>0</v>
      </c>
      <c r="W201" s="116">
        <v>0</v>
      </c>
      <c r="X201" s="116">
        <v>1</v>
      </c>
      <c r="Y201" s="116">
        <v>0</v>
      </c>
      <c r="Z201" s="116">
        <v>5</v>
      </c>
      <c r="AA201" s="116">
        <v>0</v>
      </c>
      <c r="AB201" s="116">
        <v>2</v>
      </c>
      <c r="AC201" s="116">
        <v>0</v>
      </c>
      <c r="AD201" s="116">
        <v>0</v>
      </c>
      <c r="AE201" s="116">
        <v>0</v>
      </c>
      <c r="AF201" s="116">
        <v>2</v>
      </c>
      <c r="AG201" s="116">
        <v>2</v>
      </c>
      <c r="AH201" s="116">
        <v>1</v>
      </c>
      <c r="AI201" s="116">
        <v>1</v>
      </c>
      <c r="AJ201" s="117">
        <v>0</v>
      </c>
      <c r="AK201" s="117">
        <v>7</v>
      </c>
      <c r="AL201" s="117">
        <v>0</v>
      </c>
      <c r="AM201" s="117">
        <v>0</v>
      </c>
      <c r="AN201" s="117">
        <v>40</v>
      </c>
      <c r="AO201" s="117">
        <v>0</v>
      </c>
      <c r="AP201" s="117">
        <v>5</v>
      </c>
      <c r="AQ201" s="117">
        <v>41</v>
      </c>
      <c r="AR201" s="44"/>
      <c r="AS201" s="44"/>
      <c r="AT201" s="46"/>
      <c r="AU201" s="62" t="s">
        <v>927</v>
      </c>
    </row>
    <row r="202" spans="1:47" ht="16.5" customHeight="1">
      <c r="A202" s="76" t="s">
        <v>649</v>
      </c>
      <c r="B202" s="41" t="s">
        <v>882</v>
      </c>
      <c r="C202" s="5" t="s">
        <v>883</v>
      </c>
      <c r="D202" s="77" t="s">
        <v>940</v>
      </c>
      <c r="E202" s="48"/>
      <c r="F202" s="76" t="s">
        <v>650</v>
      </c>
      <c r="G202" s="121" t="s">
        <v>843</v>
      </c>
      <c r="H202" s="122" t="s">
        <v>842</v>
      </c>
      <c r="I202" s="123" t="s">
        <v>885</v>
      </c>
      <c r="J202" s="124">
        <v>2</v>
      </c>
      <c r="K202" s="117">
        <v>2</v>
      </c>
      <c r="L202" s="117">
        <v>1</v>
      </c>
      <c r="M202" s="116">
        <v>5</v>
      </c>
      <c r="N202" s="116">
        <v>5</v>
      </c>
      <c r="O202" s="116">
        <v>0</v>
      </c>
      <c r="P202" s="43">
        <v>6</v>
      </c>
      <c r="Q202" s="116">
        <v>6</v>
      </c>
      <c r="R202" s="116">
        <v>0</v>
      </c>
      <c r="S202" s="116">
        <v>0</v>
      </c>
      <c r="T202" s="116">
        <v>4</v>
      </c>
      <c r="U202" s="116">
        <v>1</v>
      </c>
      <c r="V202" s="116">
        <v>0</v>
      </c>
      <c r="W202" s="116">
        <v>0</v>
      </c>
      <c r="X202" s="116">
        <v>0</v>
      </c>
      <c r="Y202" s="116">
        <v>0</v>
      </c>
      <c r="Z202" s="116">
        <v>0</v>
      </c>
      <c r="AA202" s="116">
        <v>1</v>
      </c>
      <c r="AB202" s="116">
        <v>0</v>
      </c>
      <c r="AC202" s="116">
        <v>0</v>
      </c>
      <c r="AD202" s="116">
        <v>3</v>
      </c>
      <c r="AE202" s="116">
        <v>0</v>
      </c>
      <c r="AF202" s="116">
        <v>0</v>
      </c>
      <c r="AG202" s="116">
        <v>0</v>
      </c>
      <c r="AH202" s="116">
        <v>0</v>
      </c>
      <c r="AI202" s="116">
        <v>1</v>
      </c>
      <c r="AJ202" s="117">
        <v>3</v>
      </c>
      <c r="AK202" s="117">
        <v>5</v>
      </c>
      <c r="AL202" s="117">
        <v>0</v>
      </c>
      <c r="AM202" s="117">
        <v>4</v>
      </c>
      <c r="AN202" s="117">
        <v>47</v>
      </c>
      <c r="AO202" s="117">
        <v>0</v>
      </c>
      <c r="AP202" s="117">
        <v>5</v>
      </c>
      <c r="AQ202" s="117">
        <v>54</v>
      </c>
      <c r="AR202" s="44"/>
      <c r="AS202" s="44"/>
      <c r="AT202" s="46"/>
      <c r="AU202" s="62" t="s">
        <v>887</v>
      </c>
    </row>
    <row r="203" spans="1:47" ht="16.5" customHeight="1">
      <c r="A203" s="76" t="s">
        <v>326</v>
      </c>
      <c r="B203" s="41" t="s">
        <v>882</v>
      </c>
      <c r="C203" s="5" t="s">
        <v>883</v>
      </c>
      <c r="D203" s="77" t="s">
        <v>940</v>
      </c>
      <c r="E203" s="48"/>
      <c r="F203" s="76" t="s">
        <v>327</v>
      </c>
      <c r="G203" s="121" t="s">
        <v>843</v>
      </c>
      <c r="H203" s="122" t="s">
        <v>842</v>
      </c>
      <c r="I203" s="123" t="s">
        <v>888</v>
      </c>
      <c r="J203" s="124">
        <v>2</v>
      </c>
      <c r="K203" s="117">
        <v>2</v>
      </c>
      <c r="L203" s="117">
        <v>0</v>
      </c>
      <c r="M203" s="116">
        <v>19</v>
      </c>
      <c r="N203" s="116">
        <v>3</v>
      </c>
      <c r="O203" s="116">
        <v>0</v>
      </c>
      <c r="P203" s="43">
        <v>2</v>
      </c>
      <c r="Q203" s="116">
        <v>2</v>
      </c>
      <c r="R203" s="116">
        <v>0</v>
      </c>
      <c r="S203" s="116">
        <v>0</v>
      </c>
      <c r="T203" s="116">
        <v>4</v>
      </c>
      <c r="U203" s="116">
        <v>1</v>
      </c>
      <c r="V203" s="116">
        <v>0</v>
      </c>
      <c r="W203" s="116">
        <v>0</v>
      </c>
      <c r="X203" s="116">
        <v>0</v>
      </c>
      <c r="Y203" s="116">
        <v>0</v>
      </c>
      <c r="Z203" s="116">
        <v>19</v>
      </c>
      <c r="AA203" s="116">
        <v>1</v>
      </c>
      <c r="AB203" s="116">
        <v>0</v>
      </c>
      <c r="AC203" s="116">
        <v>0</v>
      </c>
      <c r="AD203" s="116">
        <v>0</v>
      </c>
      <c r="AE203" s="116">
        <v>0</v>
      </c>
      <c r="AF203" s="116">
        <v>0</v>
      </c>
      <c r="AG203" s="116">
        <v>0</v>
      </c>
      <c r="AH203" s="116">
        <v>0</v>
      </c>
      <c r="AI203" s="116">
        <v>1</v>
      </c>
      <c r="AJ203" s="117">
        <v>0</v>
      </c>
      <c r="AK203" s="117">
        <v>6</v>
      </c>
      <c r="AL203" s="117">
        <v>0</v>
      </c>
      <c r="AM203" s="117">
        <v>0</v>
      </c>
      <c r="AN203" s="117">
        <v>46</v>
      </c>
      <c r="AO203" s="117">
        <v>0</v>
      </c>
      <c r="AP203" s="117">
        <v>5</v>
      </c>
      <c r="AQ203" s="117">
        <v>47</v>
      </c>
      <c r="AR203" s="44"/>
      <c r="AS203" s="44"/>
      <c r="AT203" s="46"/>
      <c r="AU203" s="62" t="s">
        <v>902</v>
      </c>
    </row>
    <row r="204" spans="1:47" ht="16.5" customHeight="1">
      <c r="A204" s="76" t="s">
        <v>437</v>
      </c>
      <c r="B204" s="41" t="s">
        <v>882</v>
      </c>
      <c r="C204" s="5" t="s">
        <v>883</v>
      </c>
      <c r="D204" s="77" t="s">
        <v>940</v>
      </c>
      <c r="E204" s="48"/>
      <c r="F204" s="76" t="s">
        <v>438</v>
      </c>
      <c r="G204" s="121" t="s">
        <v>843</v>
      </c>
      <c r="H204" s="122" t="s">
        <v>842</v>
      </c>
      <c r="I204" s="123" t="s">
        <v>888</v>
      </c>
      <c r="J204" s="124">
        <v>2</v>
      </c>
      <c r="K204" s="117">
        <v>2</v>
      </c>
      <c r="L204" s="117">
        <v>1</v>
      </c>
      <c r="M204" s="116">
        <v>9</v>
      </c>
      <c r="N204" s="116">
        <v>6</v>
      </c>
      <c r="O204" s="116">
        <v>0</v>
      </c>
      <c r="P204" s="43">
        <v>6</v>
      </c>
      <c r="Q204" s="116">
        <v>4</v>
      </c>
      <c r="R204" s="116">
        <v>2</v>
      </c>
      <c r="S204" s="116">
        <v>0</v>
      </c>
      <c r="T204" s="116">
        <v>5</v>
      </c>
      <c r="U204" s="116">
        <v>1</v>
      </c>
      <c r="V204" s="116">
        <v>0</v>
      </c>
      <c r="W204" s="116">
        <v>0</v>
      </c>
      <c r="X204" s="116">
        <v>0</v>
      </c>
      <c r="Y204" s="116">
        <v>0</v>
      </c>
      <c r="Z204" s="116">
        <v>0</v>
      </c>
      <c r="AA204" s="116">
        <v>0</v>
      </c>
      <c r="AB204" s="116">
        <v>0</v>
      </c>
      <c r="AC204" s="116">
        <v>6</v>
      </c>
      <c r="AD204" s="116">
        <v>6</v>
      </c>
      <c r="AE204" s="116">
        <v>0</v>
      </c>
      <c r="AF204" s="116">
        <v>2</v>
      </c>
      <c r="AG204" s="116">
        <v>0</v>
      </c>
      <c r="AH204" s="116">
        <v>0</v>
      </c>
      <c r="AI204" s="116">
        <v>1</v>
      </c>
      <c r="AJ204" s="117">
        <v>2</v>
      </c>
      <c r="AK204" s="117">
        <v>8</v>
      </c>
      <c r="AL204" s="117">
        <v>0</v>
      </c>
      <c r="AM204" s="117">
        <v>16</v>
      </c>
      <c r="AN204" s="117">
        <v>49</v>
      </c>
      <c r="AO204" s="117">
        <v>0</v>
      </c>
      <c r="AP204" s="117">
        <v>6</v>
      </c>
      <c r="AQ204" s="117">
        <v>5</v>
      </c>
      <c r="AR204" s="44"/>
      <c r="AS204" s="44"/>
      <c r="AT204" s="46"/>
      <c r="AU204" s="62" t="s">
        <v>889</v>
      </c>
    </row>
    <row r="205" spans="1:47" ht="16.5" customHeight="1">
      <c r="A205" s="76" t="s">
        <v>575</v>
      </c>
      <c r="B205" s="41" t="s">
        <v>882</v>
      </c>
      <c r="C205" s="5" t="s">
        <v>883</v>
      </c>
      <c r="D205" s="77" t="s">
        <v>940</v>
      </c>
      <c r="E205" s="49"/>
      <c r="F205" s="76" t="s">
        <v>576</v>
      </c>
      <c r="G205" s="121"/>
      <c r="H205" s="122"/>
      <c r="I205" s="123" t="s">
        <v>888</v>
      </c>
      <c r="J205" s="124">
        <v>0</v>
      </c>
      <c r="K205" s="117">
        <v>1</v>
      </c>
      <c r="L205" s="117">
        <v>1</v>
      </c>
      <c r="M205" s="116">
        <v>4</v>
      </c>
      <c r="N205" s="116">
        <v>3</v>
      </c>
      <c r="O205" s="116">
        <v>0</v>
      </c>
      <c r="P205" s="43">
        <v>0</v>
      </c>
      <c r="Q205" s="116">
        <v>0</v>
      </c>
      <c r="R205" s="116">
        <v>0</v>
      </c>
      <c r="S205" s="116">
        <v>0</v>
      </c>
      <c r="T205" s="116">
        <v>0</v>
      </c>
      <c r="U205" s="116">
        <v>0</v>
      </c>
      <c r="V205" s="116">
        <v>0</v>
      </c>
      <c r="W205" s="116">
        <v>0</v>
      </c>
      <c r="X205" s="116">
        <v>0</v>
      </c>
      <c r="Y205" s="116">
        <v>0</v>
      </c>
      <c r="Z205" s="116">
        <v>3</v>
      </c>
      <c r="AA205" s="116">
        <v>2</v>
      </c>
      <c r="AB205" s="116">
        <v>0</v>
      </c>
      <c r="AC205" s="116">
        <v>0</v>
      </c>
      <c r="AD205" s="116">
        <v>0</v>
      </c>
      <c r="AE205" s="116">
        <v>0</v>
      </c>
      <c r="AF205" s="116">
        <v>0</v>
      </c>
      <c r="AG205" s="116">
        <v>0</v>
      </c>
      <c r="AH205" s="116">
        <v>0</v>
      </c>
      <c r="AI205" s="116">
        <v>0</v>
      </c>
      <c r="AJ205" s="117">
        <v>0</v>
      </c>
      <c r="AK205" s="117">
        <v>2</v>
      </c>
      <c r="AL205" s="117">
        <v>0</v>
      </c>
      <c r="AM205" s="117">
        <v>0</v>
      </c>
      <c r="AN205" s="117">
        <v>12</v>
      </c>
      <c r="AO205" s="117">
        <v>0</v>
      </c>
      <c r="AP205" s="117">
        <v>1</v>
      </c>
      <c r="AQ205" s="117">
        <v>12</v>
      </c>
      <c r="AR205" s="44"/>
      <c r="AS205" s="44"/>
      <c r="AT205" s="46"/>
      <c r="AU205" s="62" t="s">
        <v>941</v>
      </c>
    </row>
    <row r="206" spans="1:47" ht="16.5" customHeight="1">
      <c r="A206" s="76" t="s">
        <v>651</v>
      </c>
      <c r="B206" s="41" t="s">
        <v>882</v>
      </c>
      <c r="C206" s="5" t="s">
        <v>883</v>
      </c>
      <c r="D206" s="77" t="s">
        <v>940</v>
      </c>
      <c r="E206" s="47"/>
      <c r="F206" s="76" t="s">
        <v>652</v>
      </c>
      <c r="G206" s="121" t="s">
        <v>843</v>
      </c>
      <c r="H206" s="122"/>
      <c r="I206" s="123" t="s">
        <v>888</v>
      </c>
      <c r="J206" s="124">
        <v>2</v>
      </c>
      <c r="K206" s="117">
        <v>1</v>
      </c>
      <c r="L206" s="117">
        <v>1</v>
      </c>
      <c r="M206" s="116">
        <v>18</v>
      </c>
      <c r="N206" s="116">
        <v>8</v>
      </c>
      <c r="O206" s="116">
        <v>0</v>
      </c>
      <c r="P206" s="43">
        <v>0</v>
      </c>
      <c r="Q206" s="116">
        <v>0</v>
      </c>
      <c r="R206" s="116">
        <v>0</v>
      </c>
      <c r="S206" s="116">
        <v>0</v>
      </c>
      <c r="T206" s="116">
        <v>0</v>
      </c>
      <c r="U206" s="116">
        <v>0</v>
      </c>
      <c r="V206" s="116">
        <v>0</v>
      </c>
      <c r="W206" s="116">
        <v>0</v>
      </c>
      <c r="X206" s="116">
        <v>0</v>
      </c>
      <c r="Y206" s="116">
        <v>0</v>
      </c>
      <c r="Z206" s="116">
        <v>17</v>
      </c>
      <c r="AA206" s="116">
        <v>7</v>
      </c>
      <c r="AB206" s="116">
        <v>0</v>
      </c>
      <c r="AC206" s="116">
        <v>0</v>
      </c>
      <c r="AD206" s="116">
        <v>0</v>
      </c>
      <c r="AE206" s="116">
        <v>0</v>
      </c>
      <c r="AF206" s="116">
        <v>0</v>
      </c>
      <c r="AG206" s="116">
        <v>0</v>
      </c>
      <c r="AH206" s="116">
        <v>0</v>
      </c>
      <c r="AI206" s="116">
        <v>1</v>
      </c>
      <c r="AJ206" s="117">
        <v>0</v>
      </c>
      <c r="AK206" s="117">
        <v>4</v>
      </c>
      <c r="AL206" s="117">
        <v>0</v>
      </c>
      <c r="AM206" s="117">
        <v>0</v>
      </c>
      <c r="AN206" s="117">
        <v>29</v>
      </c>
      <c r="AO206" s="117">
        <v>0</v>
      </c>
      <c r="AP206" s="117">
        <v>4</v>
      </c>
      <c r="AQ206" s="117">
        <v>29</v>
      </c>
      <c r="AR206" s="44"/>
      <c r="AS206" s="44"/>
      <c r="AT206" s="46"/>
      <c r="AU206" s="62" t="s">
        <v>908</v>
      </c>
    </row>
    <row r="207" spans="1:47" ht="16.5" customHeight="1">
      <c r="A207" s="76" t="s">
        <v>341</v>
      </c>
      <c r="B207" s="41" t="s">
        <v>882</v>
      </c>
      <c r="C207" s="5" t="s">
        <v>883</v>
      </c>
      <c r="D207" s="77" t="s">
        <v>940</v>
      </c>
      <c r="E207" s="49"/>
      <c r="F207" s="76" t="s">
        <v>342</v>
      </c>
      <c r="G207" s="121" t="s">
        <v>843</v>
      </c>
      <c r="H207" s="122"/>
      <c r="I207" s="123" t="s">
        <v>888</v>
      </c>
      <c r="J207" s="124">
        <v>2</v>
      </c>
      <c r="K207" s="117">
        <v>2</v>
      </c>
      <c r="L207" s="117">
        <v>1</v>
      </c>
      <c r="M207" s="116">
        <v>5</v>
      </c>
      <c r="N207" s="116">
        <v>3</v>
      </c>
      <c r="O207" s="116">
        <v>0</v>
      </c>
      <c r="P207" s="43">
        <v>8</v>
      </c>
      <c r="Q207" s="116">
        <v>8</v>
      </c>
      <c r="R207" s="116">
        <v>0</v>
      </c>
      <c r="S207" s="116">
        <v>0</v>
      </c>
      <c r="T207" s="116">
        <v>0</v>
      </c>
      <c r="U207" s="116">
        <v>0</v>
      </c>
      <c r="V207" s="116">
        <v>0</v>
      </c>
      <c r="W207" s="116">
        <v>0</v>
      </c>
      <c r="X207" s="116">
        <v>0</v>
      </c>
      <c r="Y207" s="116">
        <v>0</v>
      </c>
      <c r="Z207" s="116">
        <v>12</v>
      </c>
      <c r="AA207" s="116">
        <v>2</v>
      </c>
      <c r="AB207" s="116">
        <v>0</v>
      </c>
      <c r="AC207" s="116">
        <v>0</v>
      </c>
      <c r="AD207" s="116">
        <v>0</v>
      </c>
      <c r="AE207" s="116">
        <v>0</v>
      </c>
      <c r="AF207" s="116">
        <v>0</v>
      </c>
      <c r="AG207" s="116">
        <v>0</v>
      </c>
      <c r="AH207" s="116">
        <v>0</v>
      </c>
      <c r="AI207" s="116">
        <v>1</v>
      </c>
      <c r="AJ207" s="117">
        <v>0</v>
      </c>
      <c r="AK207" s="117">
        <v>6</v>
      </c>
      <c r="AL207" s="117">
        <v>0</v>
      </c>
      <c r="AM207" s="117">
        <v>0</v>
      </c>
      <c r="AN207" s="117">
        <v>38</v>
      </c>
      <c r="AO207" s="117">
        <v>0</v>
      </c>
      <c r="AP207" s="117">
        <v>6</v>
      </c>
      <c r="AQ207" s="117">
        <v>38</v>
      </c>
      <c r="AR207" s="44"/>
      <c r="AS207" s="44"/>
      <c r="AT207" s="46"/>
      <c r="AU207" s="62" t="s">
        <v>889</v>
      </c>
    </row>
    <row r="208" spans="1:47" ht="16.5" customHeight="1">
      <c r="A208" s="76" t="s">
        <v>109</v>
      </c>
      <c r="B208" s="41" t="s">
        <v>882</v>
      </c>
      <c r="C208" s="5" t="s">
        <v>883</v>
      </c>
      <c r="D208" s="77" t="s">
        <v>940</v>
      </c>
      <c r="E208" s="47"/>
      <c r="F208" s="76" t="s">
        <v>110</v>
      </c>
      <c r="G208" s="121" t="s">
        <v>843</v>
      </c>
      <c r="H208" s="122" t="s">
        <v>842</v>
      </c>
      <c r="I208" s="123" t="s">
        <v>888</v>
      </c>
      <c r="J208" s="124">
        <v>2</v>
      </c>
      <c r="K208" s="117">
        <v>2</v>
      </c>
      <c r="L208" s="117">
        <v>1</v>
      </c>
      <c r="M208" s="116">
        <v>8</v>
      </c>
      <c r="N208" s="116">
        <v>2</v>
      </c>
      <c r="O208" s="116">
        <v>0</v>
      </c>
      <c r="P208" s="43">
        <v>13</v>
      </c>
      <c r="Q208" s="116">
        <v>12</v>
      </c>
      <c r="R208" s="116">
        <v>1</v>
      </c>
      <c r="S208" s="116">
        <v>0</v>
      </c>
      <c r="T208" s="116">
        <v>4</v>
      </c>
      <c r="U208" s="116">
        <v>1</v>
      </c>
      <c r="V208" s="116">
        <v>0</v>
      </c>
      <c r="W208" s="116">
        <v>0</v>
      </c>
      <c r="X208" s="116">
        <v>0</v>
      </c>
      <c r="Y208" s="116">
        <v>0</v>
      </c>
      <c r="Z208" s="116">
        <v>15</v>
      </c>
      <c r="AA208" s="116">
        <v>1</v>
      </c>
      <c r="AB208" s="116">
        <v>0</v>
      </c>
      <c r="AC208" s="116">
        <v>0</v>
      </c>
      <c r="AD208" s="116">
        <v>0</v>
      </c>
      <c r="AE208" s="116">
        <v>0</v>
      </c>
      <c r="AF208" s="116">
        <v>0</v>
      </c>
      <c r="AG208" s="116">
        <v>0</v>
      </c>
      <c r="AH208" s="116">
        <v>0</v>
      </c>
      <c r="AI208" s="116">
        <v>1</v>
      </c>
      <c r="AJ208" s="117">
        <v>0</v>
      </c>
      <c r="AK208" s="117">
        <v>6</v>
      </c>
      <c r="AL208" s="117">
        <v>0</v>
      </c>
      <c r="AM208" s="117">
        <v>0</v>
      </c>
      <c r="AN208" s="117">
        <v>45</v>
      </c>
      <c r="AO208" s="117">
        <v>0</v>
      </c>
      <c r="AP208" s="117">
        <v>4</v>
      </c>
      <c r="AQ208" s="117">
        <v>47</v>
      </c>
      <c r="AR208" s="44"/>
      <c r="AS208" s="44"/>
      <c r="AT208" s="46"/>
      <c r="AU208" s="62" t="s">
        <v>907</v>
      </c>
    </row>
    <row r="209" spans="1:47" ht="16.5" customHeight="1">
      <c r="A209" s="76" t="s">
        <v>449</v>
      </c>
      <c r="B209" s="41" t="s">
        <v>882</v>
      </c>
      <c r="C209" s="5" t="s">
        <v>883</v>
      </c>
      <c r="D209" s="77" t="s">
        <v>940</v>
      </c>
      <c r="E209" s="48"/>
      <c r="F209" s="76" t="s">
        <v>450</v>
      </c>
      <c r="G209" s="121" t="s">
        <v>843</v>
      </c>
      <c r="H209" s="122" t="s">
        <v>842</v>
      </c>
      <c r="I209" s="123" t="s">
        <v>885</v>
      </c>
      <c r="J209" s="124">
        <v>2</v>
      </c>
      <c r="K209" s="117">
        <v>0</v>
      </c>
      <c r="L209" s="117">
        <v>1</v>
      </c>
      <c r="M209" s="116">
        <v>14</v>
      </c>
      <c r="N209" s="116">
        <v>6</v>
      </c>
      <c r="O209" s="116">
        <v>1</v>
      </c>
      <c r="P209" s="43">
        <v>1</v>
      </c>
      <c r="Q209" s="116">
        <v>0</v>
      </c>
      <c r="R209" s="116">
        <v>1</v>
      </c>
      <c r="S209" s="116">
        <v>0</v>
      </c>
      <c r="T209" s="116">
        <v>0</v>
      </c>
      <c r="U209" s="116">
        <v>1</v>
      </c>
      <c r="V209" s="116">
        <v>0</v>
      </c>
      <c r="W209" s="116">
        <v>0</v>
      </c>
      <c r="X209" s="116">
        <v>0</v>
      </c>
      <c r="Y209" s="116">
        <v>0</v>
      </c>
      <c r="Z209" s="116">
        <v>11</v>
      </c>
      <c r="AA209" s="116">
        <v>4</v>
      </c>
      <c r="AB209" s="116">
        <v>5</v>
      </c>
      <c r="AC209" s="116">
        <v>0</v>
      </c>
      <c r="AD209" s="116">
        <v>0</v>
      </c>
      <c r="AE209" s="116">
        <v>0</v>
      </c>
      <c r="AF209" s="116">
        <v>0</v>
      </c>
      <c r="AG209" s="116">
        <v>0</v>
      </c>
      <c r="AH209" s="116">
        <v>0</v>
      </c>
      <c r="AI209" s="116">
        <v>1</v>
      </c>
      <c r="AJ209" s="117">
        <v>2</v>
      </c>
      <c r="AK209" s="117">
        <v>12</v>
      </c>
      <c r="AL209" s="117">
        <v>0</v>
      </c>
      <c r="AM209" s="117">
        <v>3</v>
      </c>
      <c r="AN209" s="117">
        <v>65</v>
      </c>
      <c r="AO209" s="117">
        <v>0</v>
      </c>
      <c r="AP209" s="117">
        <v>12</v>
      </c>
      <c r="AQ209" s="117">
        <v>68</v>
      </c>
      <c r="AR209" s="44"/>
      <c r="AS209" s="44"/>
      <c r="AT209" s="46"/>
      <c r="AU209" s="62" t="s">
        <v>887</v>
      </c>
    </row>
    <row r="210" spans="1:47" ht="16.5" customHeight="1">
      <c r="A210" s="76" t="s">
        <v>452</v>
      </c>
      <c r="B210" s="41" t="s">
        <v>882</v>
      </c>
      <c r="C210" s="5" t="s">
        <v>883</v>
      </c>
      <c r="D210" s="77" t="s">
        <v>940</v>
      </c>
      <c r="E210" s="48"/>
      <c r="F210" s="76" t="s">
        <v>453</v>
      </c>
      <c r="G210" s="121" t="s">
        <v>843</v>
      </c>
      <c r="H210" s="122" t="s">
        <v>842</v>
      </c>
      <c r="I210" s="123" t="s">
        <v>888</v>
      </c>
      <c r="J210" s="124">
        <v>2</v>
      </c>
      <c r="K210" s="117">
        <v>2</v>
      </c>
      <c r="L210" s="117">
        <v>1</v>
      </c>
      <c r="M210" s="116">
        <v>6</v>
      </c>
      <c r="N210" s="116">
        <v>1</v>
      </c>
      <c r="O210" s="116">
        <v>0</v>
      </c>
      <c r="P210" s="43">
        <v>10</v>
      </c>
      <c r="Q210" s="116">
        <v>6</v>
      </c>
      <c r="R210" s="116">
        <v>4</v>
      </c>
      <c r="S210" s="116">
        <v>0</v>
      </c>
      <c r="T210" s="116">
        <v>2</v>
      </c>
      <c r="U210" s="116">
        <v>0</v>
      </c>
      <c r="V210" s="116">
        <v>0</v>
      </c>
      <c r="W210" s="116">
        <v>0</v>
      </c>
      <c r="X210" s="116">
        <v>0</v>
      </c>
      <c r="Y210" s="116">
        <v>0</v>
      </c>
      <c r="Z210" s="116">
        <v>9</v>
      </c>
      <c r="AA210" s="116">
        <v>5</v>
      </c>
      <c r="AB210" s="116">
        <v>0</v>
      </c>
      <c r="AC210" s="116">
        <v>0</v>
      </c>
      <c r="AD210" s="116">
        <v>0</v>
      </c>
      <c r="AE210" s="116">
        <v>0</v>
      </c>
      <c r="AF210" s="116">
        <v>0</v>
      </c>
      <c r="AG210" s="116">
        <v>0</v>
      </c>
      <c r="AH210" s="116">
        <v>0</v>
      </c>
      <c r="AI210" s="116">
        <v>1</v>
      </c>
      <c r="AJ210" s="117">
        <v>1</v>
      </c>
      <c r="AK210" s="117">
        <v>6</v>
      </c>
      <c r="AL210" s="117">
        <v>0</v>
      </c>
      <c r="AM210" s="117">
        <v>16</v>
      </c>
      <c r="AN210" s="117">
        <v>36</v>
      </c>
      <c r="AO210" s="117">
        <v>0</v>
      </c>
      <c r="AP210" s="117">
        <v>5</v>
      </c>
      <c r="AQ210" s="117">
        <v>54</v>
      </c>
      <c r="AR210" s="44"/>
      <c r="AS210" s="44"/>
      <c r="AT210" s="46"/>
      <c r="AU210" s="62" t="s">
        <v>887</v>
      </c>
    </row>
    <row r="211" spans="1:47" ht="16.5" customHeight="1">
      <c r="A211" s="76" t="s">
        <v>572</v>
      </c>
      <c r="B211" s="41" t="s">
        <v>882</v>
      </c>
      <c r="C211" s="5" t="s">
        <v>883</v>
      </c>
      <c r="D211" s="77" t="s">
        <v>940</v>
      </c>
      <c r="E211" s="49"/>
      <c r="F211" s="76" t="s">
        <v>573</v>
      </c>
      <c r="G211" s="121" t="s">
        <v>843</v>
      </c>
      <c r="H211" s="122" t="s">
        <v>842</v>
      </c>
      <c r="I211" s="123" t="s">
        <v>888</v>
      </c>
      <c r="J211" s="124">
        <v>2</v>
      </c>
      <c r="K211" s="117">
        <v>1</v>
      </c>
      <c r="L211" s="117">
        <v>1</v>
      </c>
      <c r="M211" s="116">
        <v>12</v>
      </c>
      <c r="N211" s="116">
        <v>12</v>
      </c>
      <c r="O211" s="116">
        <v>0</v>
      </c>
      <c r="P211" s="43">
        <v>0</v>
      </c>
      <c r="Q211" s="116">
        <v>0</v>
      </c>
      <c r="R211" s="116">
        <v>0</v>
      </c>
      <c r="S211" s="116">
        <v>0</v>
      </c>
      <c r="T211" s="116">
        <v>0</v>
      </c>
      <c r="U211" s="116">
        <v>0</v>
      </c>
      <c r="V211" s="116">
        <v>0</v>
      </c>
      <c r="W211" s="116">
        <v>0</v>
      </c>
      <c r="X211" s="116">
        <v>0</v>
      </c>
      <c r="Y211" s="116">
        <v>0</v>
      </c>
      <c r="Z211" s="116">
        <v>11</v>
      </c>
      <c r="AA211" s="116">
        <v>11</v>
      </c>
      <c r="AB211" s="116">
        <v>0</v>
      </c>
      <c r="AC211" s="116">
        <v>0</v>
      </c>
      <c r="AD211" s="116">
        <v>0</v>
      </c>
      <c r="AE211" s="116">
        <v>0</v>
      </c>
      <c r="AF211" s="116">
        <v>0</v>
      </c>
      <c r="AG211" s="116">
        <v>0</v>
      </c>
      <c r="AH211" s="116">
        <v>0</v>
      </c>
      <c r="AI211" s="116">
        <v>1</v>
      </c>
      <c r="AJ211" s="117">
        <v>0</v>
      </c>
      <c r="AK211" s="117">
        <v>9</v>
      </c>
      <c r="AL211" s="117">
        <v>0</v>
      </c>
      <c r="AM211" s="117">
        <v>0</v>
      </c>
      <c r="AN211" s="117">
        <v>46</v>
      </c>
      <c r="AO211" s="117">
        <v>0</v>
      </c>
      <c r="AP211" s="117">
        <v>7</v>
      </c>
      <c r="AQ211" s="117">
        <v>48</v>
      </c>
      <c r="AR211" s="44"/>
      <c r="AS211" s="44"/>
      <c r="AT211" s="46"/>
      <c r="AU211" s="62" t="s">
        <v>915</v>
      </c>
    </row>
    <row r="212" spans="1:47" ht="16.5" customHeight="1">
      <c r="A212" s="76" t="s">
        <v>533</v>
      </c>
      <c r="B212" s="41" t="s">
        <v>882</v>
      </c>
      <c r="C212" s="5" t="s">
        <v>883</v>
      </c>
      <c r="D212" s="77" t="s">
        <v>940</v>
      </c>
      <c r="E212" s="47"/>
      <c r="F212" s="76" t="s">
        <v>534</v>
      </c>
      <c r="G212" s="121" t="s">
        <v>843</v>
      </c>
      <c r="H212" s="122" t="s">
        <v>842</v>
      </c>
      <c r="I212" s="123" t="s">
        <v>888</v>
      </c>
      <c r="J212" s="124">
        <v>2</v>
      </c>
      <c r="K212" s="117">
        <v>2</v>
      </c>
      <c r="L212" s="117">
        <v>1</v>
      </c>
      <c r="M212" s="116">
        <v>16</v>
      </c>
      <c r="N212" s="116">
        <v>1</v>
      </c>
      <c r="O212" s="116">
        <v>3</v>
      </c>
      <c r="P212" s="43">
        <v>2</v>
      </c>
      <c r="Q212" s="116">
        <v>2</v>
      </c>
      <c r="R212" s="116">
        <v>0</v>
      </c>
      <c r="S212" s="116">
        <v>0</v>
      </c>
      <c r="T212" s="116">
        <v>1</v>
      </c>
      <c r="U212" s="116">
        <v>0</v>
      </c>
      <c r="V212" s="116">
        <v>1</v>
      </c>
      <c r="W212" s="116">
        <v>0</v>
      </c>
      <c r="X212" s="116">
        <v>0</v>
      </c>
      <c r="Y212" s="116">
        <v>0</v>
      </c>
      <c r="Z212" s="116">
        <v>0</v>
      </c>
      <c r="AA212" s="116">
        <v>0</v>
      </c>
      <c r="AB212" s="116">
        <v>1</v>
      </c>
      <c r="AC212" s="116">
        <v>11</v>
      </c>
      <c r="AD212" s="116">
        <v>1</v>
      </c>
      <c r="AE212" s="116">
        <v>8</v>
      </c>
      <c r="AF212" s="116">
        <v>0</v>
      </c>
      <c r="AG212" s="116">
        <v>0</v>
      </c>
      <c r="AH212" s="116">
        <v>0</v>
      </c>
      <c r="AI212" s="116">
        <v>1</v>
      </c>
      <c r="AJ212" s="117">
        <v>0</v>
      </c>
      <c r="AK212" s="117">
        <v>7</v>
      </c>
      <c r="AL212" s="117">
        <v>1</v>
      </c>
      <c r="AM212" s="117">
        <v>7</v>
      </c>
      <c r="AN212" s="117">
        <v>38</v>
      </c>
      <c r="AO212" s="117">
        <v>0</v>
      </c>
      <c r="AP212" s="117">
        <v>6</v>
      </c>
      <c r="AQ212" s="117">
        <v>48</v>
      </c>
      <c r="AR212" s="44"/>
      <c r="AS212" s="44"/>
      <c r="AT212" s="46"/>
      <c r="AU212" s="62" t="s">
        <v>907</v>
      </c>
    </row>
    <row r="213" spans="1:47" ht="16.5" customHeight="1">
      <c r="A213" s="76" t="s">
        <v>536</v>
      </c>
      <c r="B213" s="41" t="s">
        <v>882</v>
      </c>
      <c r="C213" s="5" t="s">
        <v>883</v>
      </c>
      <c r="D213" s="77" t="s">
        <v>940</v>
      </c>
      <c r="E213" s="48"/>
      <c r="F213" s="76" t="s">
        <v>537</v>
      </c>
      <c r="G213" s="121" t="s">
        <v>843</v>
      </c>
      <c r="H213" s="122" t="s">
        <v>842</v>
      </c>
      <c r="I213" s="123" t="s">
        <v>885</v>
      </c>
      <c r="J213" s="124">
        <v>2</v>
      </c>
      <c r="K213" s="117">
        <v>2</v>
      </c>
      <c r="L213" s="117">
        <v>1</v>
      </c>
      <c r="M213" s="116">
        <v>14</v>
      </c>
      <c r="N213" s="116">
        <v>3</v>
      </c>
      <c r="O213" s="116">
        <v>0</v>
      </c>
      <c r="P213" s="43">
        <v>1</v>
      </c>
      <c r="Q213" s="116">
        <v>1</v>
      </c>
      <c r="R213" s="116">
        <v>0</v>
      </c>
      <c r="S213" s="116">
        <v>0</v>
      </c>
      <c r="T213" s="116">
        <v>12</v>
      </c>
      <c r="U213" s="116">
        <v>1</v>
      </c>
      <c r="V213" s="116">
        <v>0</v>
      </c>
      <c r="W213" s="116">
        <v>0</v>
      </c>
      <c r="X213" s="116">
        <v>0</v>
      </c>
      <c r="Y213" s="116">
        <v>0</v>
      </c>
      <c r="Z213" s="116">
        <v>3</v>
      </c>
      <c r="AA213" s="116">
        <v>1</v>
      </c>
      <c r="AB213" s="116">
        <v>0</v>
      </c>
      <c r="AC213" s="116">
        <v>0</v>
      </c>
      <c r="AD213" s="116">
        <v>0</v>
      </c>
      <c r="AE213" s="116">
        <v>0</v>
      </c>
      <c r="AF213" s="116">
        <v>0</v>
      </c>
      <c r="AG213" s="116">
        <v>0</v>
      </c>
      <c r="AH213" s="116">
        <v>0</v>
      </c>
      <c r="AI213" s="116">
        <v>1</v>
      </c>
      <c r="AJ213" s="117">
        <v>0</v>
      </c>
      <c r="AK213" s="117">
        <v>8</v>
      </c>
      <c r="AL213" s="117">
        <v>0</v>
      </c>
      <c r="AM213" s="117">
        <v>30</v>
      </c>
      <c r="AN213" s="117">
        <v>26</v>
      </c>
      <c r="AO213" s="117">
        <v>0</v>
      </c>
      <c r="AP213" s="117">
        <v>5</v>
      </c>
      <c r="AQ213" s="117">
        <v>59</v>
      </c>
      <c r="AR213" s="44"/>
      <c r="AS213" s="44"/>
      <c r="AT213" s="46"/>
      <c r="AU213" s="62" t="s">
        <v>900</v>
      </c>
    </row>
    <row r="214" spans="1:47" ht="16.5" customHeight="1">
      <c r="A214" s="76" t="s">
        <v>467</v>
      </c>
      <c r="B214" s="41" t="s">
        <v>882</v>
      </c>
      <c r="C214" s="5" t="s">
        <v>883</v>
      </c>
      <c r="D214" s="77" t="s">
        <v>940</v>
      </c>
      <c r="E214" s="48"/>
      <c r="F214" s="76" t="s">
        <v>468</v>
      </c>
      <c r="G214" s="121" t="s">
        <v>843</v>
      </c>
      <c r="H214" s="122" t="s">
        <v>842</v>
      </c>
      <c r="I214" s="123" t="s">
        <v>885</v>
      </c>
      <c r="J214" s="124">
        <v>2</v>
      </c>
      <c r="K214" s="117">
        <v>3</v>
      </c>
      <c r="L214" s="117">
        <v>1</v>
      </c>
      <c r="M214" s="116">
        <v>6</v>
      </c>
      <c r="N214" s="116">
        <v>1</v>
      </c>
      <c r="O214" s="116">
        <v>0</v>
      </c>
      <c r="P214" s="43">
        <v>9</v>
      </c>
      <c r="Q214" s="116">
        <v>6</v>
      </c>
      <c r="R214" s="116">
        <v>3</v>
      </c>
      <c r="S214" s="116">
        <v>0</v>
      </c>
      <c r="T214" s="116">
        <v>1</v>
      </c>
      <c r="U214" s="116">
        <v>1</v>
      </c>
      <c r="V214" s="116">
        <v>0</v>
      </c>
      <c r="W214" s="116">
        <v>0</v>
      </c>
      <c r="X214" s="116">
        <v>0</v>
      </c>
      <c r="Y214" s="116">
        <v>0</v>
      </c>
      <c r="Z214" s="116">
        <v>10</v>
      </c>
      <c r="AA214" s="116">
        <v>3</v>
      </c>
      <c r="AB214" s="116">
        <v>0</v>
      </c>
      <c r="AC214" s="116">
        <v>0</v>
      </c>
      <c r="AD214" s="116">
        <v>0</v>
      </c>
      <c r="AE214" s="116">
        <v>0</v>
      </c>
      <c r="AF214" s="116">
        <v>0</v>
      </c>
      <c r="AG214" s="116">
        <v>0</v>
      </c>
      <c r="AH214" s="116">
        <v>0</v>
      </c>
      <c r="AI214" s="116">
        <v>1</v>
      </c>
      <c r="AJ214" s="117">
        <v>1</v>
      </c>
      <c r="AK214" s="117">
        <v>10</v>
      </c>
      <c r="AL214" s="117">
        <v>1</v>
      </c>
      <c r="AM214" s="117">
        <v>15</v>
      </c>
      <c r="AN214" s="117">
        <v>40</v>
      </c>
      <c r="AO214" s="117">
        <v>0</v>
      </c>
      <c r="AP214" s="117">
        <v>9</v>
      </c>
      <c r="AQ214" s="117">
        <v>64</v>
      </c>
      <c r="AR214" s="44"/>
      <c r="AS214" s="44"/>
      <c r="AT214" s="46"/>
      <c r="AU214" s="62" t="s">
        <v>927</v>
      </c>
    </row>
    <row r="215" spans="1:47" ht="16.5" customHeight="1">
      <c r="A215" s="76" t="s">
        <v>545</v>
      </c>
      <c r="B215" s="41" t="s">
        <v>882</v>
      </c>
      <c r="C215" s="5" t="s">
        <v>883</v>
      </c>
      <c r="D215" s="77" t="s">
        <v>940</v>
      </c>
      <c r="E215" s="48"/>
      <c r="F215" s="76" t="s">
        <v>546</v>
      </c>
      <c r="G215" s="121" t="s">
        <v>843</v>
      </c>
      <c r="H215" s="122" t="s">
        <v>842</v>
      </c>
      <c r="I215" s="123" t="s">
        <v>888</v>
      </c>
      <c r="J215" s="124">
        <v>2</v>
      </c>
      <c r="K215" s="117">
        <v>1</v>
      </c>
      <c r="L215" s="117">
        <v>1</v>
      </c>
      <c r="M215" s="116">
        <v>5</v>
      </c>
      <c r="N215" s="116">
        <v>1</v>
      </c>
      <c r="O215" s="116">
        <v>0</v>
      </c>
      <c r="P215" s="43">
        <v>7</v>
      </c>
      <c r="Q215" s="116">
        <v>7</v>
      </c>
      <c r="R215" s="116">
        <v>0</v>
      </c>
      <c r="S215" s="116">
        <v>0</v>
      </c>
      <c r="T215" s="116">
        <v>0</v>
      </c>
      <c r="U215" s="116">
        <v>0</v>
      </c>
      <c r="V215" s="116">
        <v>0</v>
      </c>
      <c r="W215" s="116">
        <v>0</v>
      </c>
      <c r="X215" s="116">
        <v>0</v>
      </c>
      <c r="Y215" s="116">
        <v>0</v>
      </c>
      <c r="Z215" s="116">
        <v>11</v>
      </c>
      <c r="AA215" s="116">
        <v>0</v>
      </c>
      <c r="AB215" s="116">
        <v>0</v>
      </c>
      <c r="AC215" s="116">
        <v>0</v>
      </c>
      <c r="AD215" s="116">
        <v>0</v>
      </c>
      <c r="AE215" s="116">
        <v>0</v>
      </c>
      <c r="AF215" s="116">
        <v>0</v>
      </c>
      <c r="AG215" s="116">
        <v>0</v>
      </c>
      <c r="AH215" s="116">
        <v>0</v>
      </c>
      <c r="AI215" s="116">
        <v>1</v>
      </c>
      <c r="AJ215" s="117">
        <v>2</v>
      </c>
      <c r="AK215" s="117">
        <v>6</v>
      </c>
      <c r="AL215" s="117">
        <v>0</v>
      </c>
      <c r="AM215" s="117">
        <v>3</v>
      </c>
      <c r="AN215" s="117">
        <v>39</v>
      </c>
      <c r="AO215" s="117">
        <v>0</v>
      </c>
      <c r="AP215" s="117">
        <v>5</v>
      </c>
      <c r="AQ215" s="117">
        <v>45</v>
      </c>
      <c r="AR215" s="44"/>
      <c r="AS215" s="44"/>
      <c r="AT215" s="46"/>
      <c r="AU215" s="62" t="s">
        <v>887</v>
      </c>
    </row>
    <row r="216" spans="1:47" ht="16.5" customHeight="1">
      <c r="A216" s="76" t="s">
        <v>470</v>
      </c>
      <c r="B216" s="41" t="s">
        <v>882</v>
      </c>
      <c r="C216" s="5" t="s">
        <v>883</v>
      </c>
      <c r="D216" s="77" t="s">
        <v>940</v>
      </c>
      <c r="E216" s="47"/>
      <c r="F216" s="76" t="s">
        <v>471</v>
      </c>
      <c r="G216" s="121" t="s">
        <v>843</v>
      </c>
      <c r="H216" s="122" t="s">
        <v>842</v>
      </c>
      <c r="I216" s="123" t="s">
        <v>885</v>
      </c>
      <c r="J216" s="124">
        <v>2</v>
      </c>
      <c r="K216" s="117">
        <v>1</v>
      </c>
      <c r="L216" s="117">
        <v>1</v>
      </c>
      <c r="M216" s="116">
        <v>6</v>
      </c>
      <c r="N216" s="116">
        <v>6</v>
      </c>
      <c r="O216" s="116">
        <v>0</v>
      </c>
      <c r="P216" s="43">
        <v>6</v>
      </c>
      <c r="Q216" s="116">
        <v>5</v>
      </c>
      <c r="R216" s="116">
        <v>1</v>
      </c>
      <c r="S216" s="116">
        <v>0</v>
      </c>
      <c r="T216" s="116">
        <v>0</v>
      </c>
      <c r="U216" s="116">
        <v>0</v>
      </c>
      <c r="V216" s="116">
        <v>0</v>
      </c>
      <c r="W216" s="116">
        <v>1</v>
      </c>
      <c r="X216" s="116">
        <v>0</v>
      </c>
      <c r="Y216" s="116">
        <v>0</v>
      </c>
      <c r="Z216" s="116">
        <v>0</v>
      </c>
      <c r="AA216" s="116">
        <v>0</v>
      </c>
      <c r="AB216" s="116">
        <v>0</v>
      </c>
      <c r="AC216" s="116">
        <v>9</v>
      </c>
      <c r="AD216" s="116">
        <v>6</v>
      </c>
      <c r="AE216" s="116">
        <v>0</v>
      </c>
      <c r="AF216" s="116">
        <v>0</v>
      </c>
      <c r="AG216" s="116">
        <v>0</v>
      </c>
      <c r="AH216" s="116">
        <v>0</v>
      </c>
      <c r="AI216" s="116">
        <v>1</v>
      </c>
      <c r="AJ216" s="117">
        <v>1</v>
      </c>
      <c r="AK216" s="117">
        <v>4</v>
      </c>
      <c r="AL216" s="117">
        <v>0</v>
      </c>
      <c r="AM216" s="117">
        <v>16</v>
      </c>
      <c r="AN216" s="117">
        <v>23</v>
      </c>
      <c r="AO216" s="117">
        <v>0</v>
      </c>
      <c r="AP216" s="117">
        <v>3</v>
      </c>
      <c r="AQ216" s="117">
        <v>41</v>
      </c>
      <c r="AR216" s="44"/>
      <c r="AS216" s="44"/>
      <c r="AT216" s="46"/>
      <c r="AU216" s="62" t="s">
        <v>886</v>
      </c>
    </row>
    <row r="217" spans="1:47" ht="16.5" customHeight="1">
      <c r="A217" s="76" t="s">
        <v>554</v>
      </c>
      <c r="B217" s="41" t="s">
        <v>882</v>
      </c>
      <c r="C217" s="5" t="s">
        <v>883</v>
      </c>
      <c r="D217" s="77" t="s">
        <v>940</v>
      </c>
      <c r="E217" s="48"/>
      <c r="F217" s="76" t="s">
        <v>555</v>
      </c>
      <c r="G217" s="121" t="s">
        <v>843</v>
      </c>
      <c r="H217" s="122"/>
      <c r="I217" s="123" t="s">
        <v>885</v>
      </c>
      <c r="J217" s="124">
        <v>2</v>
      </c>
      <c r="K217" s="117">
        <v>1</v>
      </c>
      <c r="L217" s="117">
        <v>1</v>
      </c>
      <c r="M217" s="116">
        <v>6</v>
      </c>
      <c r="N217" s="116">
        <v>5</v>
      </c>
      <c r="O217" s="116">
        <v>0</v>
      </c>
      <c r="P217" s="43">
        <v>7</v>
      </c>
      <c r="Q217" s="116">
        <v>7</v>
      </c>
      <c r="R217" s="116">
        <v>0</v>
      </c>
      <c r="S217" s="116">
        <v>0</v>
      </c>
      <c r="T217" s="116">
        <v>3</v>
      </c>
      <c r="U217" s="116">
        <v>2</v>
      </c>
      <c r="V217" s="116">
        <v>0</v>
      </c>
      <c r="W217" s="116">
        <v>0</v>
      </c>
      <c r="X217" s="116">
        <v>0</v>
      </c>
      <c r="Y217" s="116">
        <v>0</v>
      </c>
      <c r="Z217" s="116">
        <v>11</v>
      </c>
      <c r="AA217" s="116">
        <v>2</v>
      </c>
      <c r="AB217" s="116">
        <v>0</v>
      </c>
      <c r="AC217" s="116">
        <v>0</v>
      </c>
      <c r="AD217" s="116">
        <v>0</v>
      </c>
      <c r="AE217" s="116">
        <v>0</v>
      </c>
      <c r="AF217" s="116">
        <v>0</v>
      </c>
      <c r="AG217" s="116">
        <v>0</v>
      </c>
      <c r="AH217" s="116">
        <v>0</v>
      </c>
      <c r="AI217" s="116">
        <v>1</v>
      </c>
      <c r="AJ217" s="117">
        <v>0</v>
      </c>
      <c r="AK217" s="117">
        <v>4</v>
      </c>
      <c r="AL217" s="117">
        <v>0</v>
      </c>
      <c r="AM217" s="117">
        <v>0</v>
      </c>
      <c r="AN217" s="117">
        <v>30</v>
      </c>
      <c r="AO217" s="117">
        <v>0</v>
      </c>
      <c r="AP217" s="117">
        <v>2</v>
      </c>
      <c r="AQ217" s="117">
        <v>31</v>
      </c>
      <c r="AR217" s="44"/>
      <c r="AS217" s="44"/>
      <c r="AT217" s="46"/>
      <c r="AU217" s="62" t="s">
        <v>902</v>
      </c>
    </row>
    <row r="218" spans="1:47" ht="16.5" customHeight="1">
      <c r="A218" s="76" t="s">
        <v>693</v>
      </c>
      <c r="B218" s="41" t="s">
        <v>882</v>
      </c>
      <c r="C218" s="5" t="s">
        <v>883</v>
      </c>
      <c r="D218" s="77" t="s">
        <v>940</v>
      </c>
      <c r="E218" s="48"/>
      <c r="F218" s="76" t="s">
        <v>694</v>
      </c>
      <c r="G218" s="121" t="s">
        <v>843</v>
      </c>
      <c r="H218" s="122" t="s">
        <v>844</v>
      </c>
      <c r="I218" s="123" t="s">
        <v>885</v>
      </c>
      <c r="J218" s="124">
        <v>2</v>
      </c>
      <c r="K218" s="117">
        <v>2</v>
      </c>
      <c r="L218" s="117">
        <v>1</v>
      </c>
      <c r="M218" s="116">
        <v>15</v>
      </c>
      <c r="N218" s="116">
        <v>1</v>
      </c>
      <c r="O218" s="116">
        <v>0</v>
      </c>
      <c r="P218" s="43">
        <v>14</v>
      </c>
      <c r="Q218" s="116">
        <v>11</v>
      </c>
      <c r="R218" s="116">
        <v>3</v>
      </c>
      <c r="S218" s="116">
        <v>0</v>
      </c>
      <c r="T218" s="116">
        <v>6</v>
      </c>
      <c r="U218" s="116">
        <v>1</v>
      </c>
      <c r="V218" s="116">
        <v>0</v>
      </c>
      <c r="W218" s="116">
        <v>0</v>
      </c>
      <c r="X218" s="116">
        <v>0</v>
      </c>
      <c r="Y218" s="116">
        <v>0</v>
      </c>
      <c r="Z218" s="116">
        <v>24</v>
      </c>
      <c r="AA218" s="116">
        <v>2</v>
      </c>
      <c r="AB218" s="116">
        <v>0</v>
      </c>
      <c r="AC218" s="116">
        <v>0</v>
      </c>
      <c r="AD218" s="116">
        <v>0</v>
      </c>
      <c r="AE218" s="116">
        <v>0</v>
      </c>
      <c r="AF218" s="116">
        <v>0</v>
      </c>
      <c r="AG218" s="116">
        <v>0</v>
      </c>
      <c r="AH218" s="116">
        <v>0</v>
      </c>
      <c r="AI218" s="116">
        <v>1</v>
      </c>
      <c r="AJ218" s="117">
        <v>0</v>
      </c>
      <c r="AK218" s="117">
        <v>10</v>
      </c>
      <c r="AL218" s="117">
        <v>0</v>
      </c>
      <c r="AM218" s="117">
        <v>11</v>
      </c>
      <c r="AN218" s="117">
        <v>40</v>
      </c>
      <c r="AO218" s="117">
        <v>2</v>
      </c>
      <c r="AP218" s="117">
        <v>2</v>
      </c>
      <c r="AQ218" s="117">
        <v>54</v>
      </c>
      <c r="AR218" s="44"/>
      <c r="AS218" s="44"/>
      <c r="AT218" s="46"/>
      <c r="AU218" s="62" t="s">
        <v>942</v>
      </c>
    </row>
    <row r="219" spans="1:47" ht="16.5" customHeight="1">
      <c r="A219" s="76" t="s">
        <v>709</v>
      </c>
      <c r="B219" s="41" t="s">
        <v>882</v>
      </c>
      <c r="C219" s="5" t="s">
        <v>883</v>
      </c>
      <c r="D219" s="77" t="s">
        <v>940</v>
      </c>
      <c r="E219" s="48"/>
      <c r="F219" s="76" t="s">
        <v>710</v>
      </c>
      <c r="G219" s="121" t="s">
        <v>843</v>
      </c>
      <c r="H219" s="122"/>
      <c r="I219" s="123" t="s">
        <v>888</v>
      </c>
      <c r="J219" s="124">
        <v>2</v>
      </c>
      <c r="K219" s="117">
        <v>1</v>
      </c>
      <c r="L219" s="117">
        <v>1</v>
      </c>
      <c r="M219" s="116">
        <v>4</v>
      </c>
      <c r="N219" s="116">
        <v>2</v>
      </c>
      <c r="O219" s="116">
        <v>0</v>
      </c>
      <c r="P219" s="43">
        <v>0</v>
      </c>
      <c r="Q219" s="116">
        <v>0</v>
      </c>
      <c r="R219" s="116">
        <v>0</v>
      </c>
      <c r="S219" s="116">
        <v>0</v>
      </c>
      <c r="T219" s="116">
        <v>0</v>
      </c>
      <c r="U219" s="116">
        <v>0</v>
      </c>
      <c r="V219" s="116">
        <v>0</v>
      </c>
      <c r="W219" s="116">
        <v>0</v>
      </c>
      <c r="X219" s="116">
        <v>0</v>
      </c>
      <c r="Y219" s="116">
        <v>0</v>
      </c>
      <c r="Z219" s="116">
        <v>0</v>
      </c>
      <c r="AA219" s="116">
        <v>0</v>
      </c>
      <c r="AB219" s="116">
        <v>0</v>
      </c>
      <c r="AC219" s="116">
        <v>0</v>
      </c>
      <c r="AD219" s="116">
        <v>0</v>
      </c>
      <c r="AE219" s="116">
        <v>0</v>
      </c>
      <c r="AF219" s="116">
        <v>3</v>
      </c>
      <c r="AG219" s="116">
        <v>1</v>
      </c>
      <c r="AH219" s="116">
        <v>0</v>
      </c>
      <c r="AI219" s="116">
        <v>1</v>
      </c>
      <c r="AJ219" s="117">
        <v>0</v>
      </c>
      <c r="AK219" s="117">
        <v>3</v>
      </c>
      <c r="AL219" s="117">
        <v>0</v>
      </c>
      <c r="AM219" s="117">
        <v>0</v>
      </c>
      <c r="AN219" s="117">
        <v>28</v>
      </c>
      <c r="AO219" s="117">
        <v>0</v>
      </c>
      <c r="AP219" s="117">
        <v>3</v>
      </c>
      <c r="AQ219" s="117">
        <v>28</v>
      </c>
      <c r="AR219" s="44"/>
      <c r="AS219" s="44"/>
      <c r="AT219" s="46"/>
      <c r="AU219" s="62" t="s">
        <v>943</v>
      </c>
    </row>
    <row r="220" spans="1:47" ht="16.5" customHeight="1">
      <c r="A220" s="76" t="s">
        <v>711</v>
      </c>
      <c r="B220" s="41" t="s">
        <v>882</v>
      </c>
      <c r="C220" s="5" t="s">
        <v>883</v>
      </c>
      <c r="D220" s="77" t="s">
        <v>940</v>
      </c>
      <c r="E220" s="47"/>
      <c r="F220" s="76" t="s">
        <v>712</v>
      </c>
      <c r="G220" s="121" t="s">
        <v>843</v>
      </c>
      <c r="H220" s="122"/>
      <c r="I220" s="123" t="s">
        <v>888</v>
      </c>
      <c r="J220" s="124">
        <v>2</v>
      </c>
      <c r="K220" s="117">
        <v>1</v>
      </c>
      <c r="L220" s="117">
        <v>1</v>
      </c>
      <c r="M220" s="116">
        <v>7</v>
      </c>
      <c r="N220" s="116">
        <v>4</v>
      </c>
      <c r="O220" s="116">
        <v>0</v>
      </c>
      <c r="P220" s="43">
        <v>9</v>
      </c>
      <c r="Q220" s="116">
        <v>8</v>
      </c>
      <c r="R220" s="116">
        <v>1</v>
      </c>
      <c r="S220" s="116">
        <v>0</v>
      </c>
      <c r="T220" s="116">
        <v>0</v>
      </c>
      <c r="U220" s="116">
        <v>0</v>
      </c>
      <c r="V220" s="116">
        <v>0</v>
      </c>
      <c r="W220" s="116">
        <v>1</v>
      </c>
      <c r="X220" s="116">
        <v>1</v>
      </c>
      <c r="Y220" s="116">
        <v>0</v>
      </c>
      <c r="Z220" s="116">
        <v>0</v>
      </c>
      <c r="AA220" s="116">
        <v>0</v>
      </c>
      <c r="AB220" s="116">
        <v>0</v>
      </c>
      <c r="AC220" s="116">
        <v>0</v>
      </c>
      <c r="AD220" s="116">
        <v>0</v>
      </c>
      <c r="AE220" s="116">
        <v>0</v>
      </c>
      <c r="AF220" s="116">
        <v>13</v>
      </c>
      <c r="AG220" s="116">
        <v>3</v>
      </c>
      <c r="AH220" s="116">
        <v>0</v>
      </c>
      <c r="AI220" s="116">
        <v>1</v>
      </c>
      <c r="AJ220" s="117">
        <v>0</v>
      </c>
      <c r="AK220" s="117">
        <v>5</v>
      </c>
      <c r="AL220" s="117">
        <v>1</v>
      </c>
      <c r="AM220" s="117">
        <v>0</v>
      </c>
      <c r="AN220" s="117">
        <v>41</v>
      </c>
      <c r="AO220" s="117">
        <v>0</v>
      </c>
      <c r="AP220" s="117">
        <v>4</v>
      </c>
      <c r="AQ220" s="117">
        <v>43</v>
      </c>
      <c r="AR220" s="44"/>
      <c r="AS220" s="44"/>
      <c r="AT220" s="46"/>
      <c r="AU220" s="62" t="s">
        <v>897</v>
      </c>
    </row>
    <row r="221" spans="1:47" ht="16.5" customHeight="1">
      <c r="A221" s="76" t="s">
        <v>485</v>
      </c>
      <c r="B221" s="41" t="s">
        <v>882</v>
      </c>
      <c r="C221" s="5" t="s">
        <v>883</v>
      </c>
      <c r="D221" s="77" t="s">
        <v>940</v>
      </c>
      <c r="E221" s="48"/>
      <c r="F221" s="76" t="s">
        <v>486</v>
      </c>
      <c r="G221" s="121" t="s">
        <v>843</v>
      </c>
      <c r="H221" s="122" t="s">
        <v>842</v>
      </c>
      <c r="I221" s="123" t="s">
        <v>885</v>
      </c>
      <c r="J221" s="124">
        <v>2</v>
      </c>
      <c r="K221" s="117">
        <v>2</v>
      </c>
      <c r="L221" s="117">
        <v>1</v>
      </c>
      <c r="M221" s="116">
        <v>7</v>
      </c>
      <c r="N221" s="116">
        <v>1</v>
      </c>
      <c r="O221" s="116">
        <v>0</v>
      </c>
      <c r="P221" s="43">
        <v>8</v>
      </c>
      <c r="Q221" s="116">
        <v>5</v>
      </c>
      <c r="R221" s="116">
        <v>3</v>
      </c>
      <c r="S221" s="116">
        <v>0</v>
      </c>
      <c r="T221" s="116">
        <v>0</v>
      </c>
      <c r="U221" s="116">
        <v>0</v>
      </c>
      <c r="V221" s="116">
        <v>0</v>
      </c>
      <c r="W221" s="116">
        <v>1</v>
      </c>
      <c r="X221" s="116">
        <v>0</v>
      </c>
      <c r="Y221" s="116">
        <v>0</v>
      </c>
      <c r="Z221" s="116">
        <v>10</v>
      </c>
      <c r="AA221" s="116">
        <v>3</v>
      </c>
      <c r="AB221" s="116">
        <v>0</v>
      </c>
      <c r="AC221" s="116">
        <v>0</v>
      </c>
      <c r="AD221" s="116">
        <v>0</v>
      </c>
      <c r="AE221" s="116">
        <v>0</v>
      </c>
      <c r="AF221" s="116">
        <v>0</v>
      </c>
      <c r="AG221" s="116">
        <v>0</v>
      </c>
      <c r="AH221" s="116">
        <v>0</v>
      </c>
      <c r="AI221" s="116">
        <v>1</v>
      </c>
      <c r="AJ221" s="117">
        <v>1</v>
      </c>
      <c r="AK221" s="117">
        <v>11</v>
      </c>
      <c r="AL221" s="117">
        <v>0</v>
      </c>
      <c r="AM221" s="117">
        <v>14</v>
      </c>
      <c r="AN221" s="117">
        <v>37</v>
      </c>
      <c r="AO221" s="117">
        <v>0</v>
      </c>
      <c r="AP221" s="117">
        <v>7</v>
      </c>
      <c r="AQ221" s="117">
        <v>53</v>
      </c>
      <c r="AR221" s="44"/>
      <c r="AS221" s="44"/>
      <c r="AT221" s="46"/>
      <c r="AU221" s="62" t="s">
        <v>893</v>
      </c>
    </row>
    <row r="222" spans="1:47" ht="16.5" customHeight="1">
      <c r="A222" s="76" t="s">
        <v>488</v>
      </c>
      <c r="B222" s="41" t="s">
        <v>882</v>
      </c>
      <c r="C222" s="5" t="s">
        <v>883</v>
      </c>
      <c r="D222" s="77" t="s">
        <v>940</v>
      </c>
      <c r="E222" s="49"/>
      <c r="F222" s="76" t="s">
        <v>489</v>
      </c>
      <c r="G222" s="121" t="s">
        <v>843</v>
      </c>
      <c r="H222" s="122"/>
      <c r="I222" s="123" t="s">
        <v>888</v>
      </c>
      <c r="J222" s="124">
        <v>2</v>
      </c>
      <c r="K222" s="117">
        <v>1</v>
      </c>
      <c r="L222" s="117">
        <v>1</v>
      </c>
      <c r="M222" s="116">
        <v>9</v>
      </c>
      <c r="N222" s="116">
        <v>3</v>
      </c>
      <c r="O222" s="116">
        <v>0</v>
      </c>
      <c r="P222" s="43">
        <v>2</v>
      </c>
      <c r="Q222" s="116">
        <v>2</v>
      </c>
      <c r="R222" s="116">
        <v>0</v>
      </c>
      <c r="S222" s="116">
        <v>0</v>
      </c>
      <c r="T222" s="116">
        <v>1</v>
      </c>
      <c r="U222" s="116">
        <v>1</v>
      </c>
      <c r="V222" s="116">
        <v>0</v>
      </c>
      <c r="W222" s="116">
        <v>0</v>
      </c>
      <c r="X222" s="116">
        <v>0</v>
      </c>
      <c r="Y222" s="116">
        <v>0</v>
      </c>
      <c r="Z222" s="116">
        <v>9</v>
      </c>
      <c r="AA222" s="116">
        <v>1</v>
      </c>
      <c r="AB222" s="116">
        <v>0</v>
      </c>
      <c r="AC222" s="116">
        <v>0</v>
      </c>
      <c r="AD222" s="116">
        <v>0</v>
      </c>
      <c r="AE222" s="116">
        <v>0</v>
      </c>
      <c r="AF222" s="116">
        <v>0</v>
      </c>
      <c r="AG222" s="116">
        <v>0</v>
      </c>
      <c r="AH222" s="116">
        <v>0</v>
      </c>
      <c r="AI222" s="116">
        <v>1</v>
      </c>
      <c r="AJ222" s="117">
        <v>0</v>
      </c>
      <c r="AK222" s="117">
        <v>6</v>
      </c>
      <c r="AL222" s="117">
        <v>2</v>
      </c>
      <c r="AM222" s="117">
        <v>4</v>
      </c>
      <c r="AN222" s="117">
        <v>21</v>
      </c>
      <c r="AO222" s="117">
        <v>0</v>
      </c>
      <c r="AP222" s="117">
        <v>4</v>
      </c>
      <c r="AQ222" s="117">
        <v>31</v>
      </c>
      <c r="AR222" s="44"/>
      <c r="AS222" s="44"/>
      <c r="AT222" s="46"/>
      <c r="AU222" s="62" t="s">
        <v>897</v>
      </c>
    </row>
    <row r="223" spans="1:47" ht="16.5" customHeight="1">
      <c r="A223" s="76" t="s">
        <v>717</v>
      </c>
      <c r="B223" s="41" t="s">
        <v>882</v>
      </c>
      <c r="C223" s="5" t="s">
        <v>883</v>
      </c>
      <c r="D223" s="77" t="s">
        <v>940</v>
      </c>
      <c r="E223" s="48"/>
      <c r="F223" s="76" t="s">
        <v>718</v>
      </c>
      <c r="G223" s="121" t="s">
        <v>843</v>
      </c>
      <c r="H223" s="122"/>
      <c r="I223" s="123" t="s">
        <v>888</v>
      </c>
      <c r="J223" s="124">
        <v>2</v>
      </c>
      <c r="K223" s="117">
        <v>2</v>
      </c>
      <c r="L223" s="117">
        <v>1</v>
      </c>
      <c r="M223" s="116">
        <v>5</v>
      </c>
      <c r="N223" s="116">
        <v>1</v>
      </c>
      <c r="O223" s="116">
        <v>0</v>
      </c>
      <c r="P223" s="43">
        <v>5</v>
      </c>
      <c r="Q223" s="116">
        <v>2</v>
      </c>
      <c r="R223" s="116">
        <v>3</v>
      </c>
      <c r="S223" s="116">
        <v>0</v>
      </c>
      <c r="T223" s="116">
        <v>3</v>
      </c>
      <c r="U223" s="116">
        <v>0</v>
      </c>
      <c r="V223" s="116">
        <v>0</v>
      </c>
      <c r="W223" s="116">
        <v>0</v>
      </c>
      <c r="X223" s="116">
        <v>0</v>
      </c>
      <c r="Y223" s="116">
        <v>0</v>
      </c>
      <c r="Z223" s="116">
        <v>3</v>
      </c>
      <c r="AA223" s="116">
        <v>3</v>
      </c>
      <c r="AB223" s="116">
        <v>0</v>
      </c>
      <c r="AC223" s="116">
        <v>0</v>
      </c>
      <c r="AD223" s="116">
        <v>0</v>
      </c>
      <c r="AE223" s="116">
        <v>0</v>
      </c>
      <c r="AF223" s="116">
        <v>0</v>
      </c>
      <c r="AG223" s="116">
        <v>0</v>
      </c>
      <c r="AH223" s="116">
        <v>0</v>
      </c>
      <c r="AI223" s="116">
        <v>1</v>
      </c>
      <c r="AJ223" s="117">
        <v>1</v>
      </c>
      <c r="AK223" s="117">
        <v>2</v>
      </c>
      <c r="AL223" s="117">
        <v>0</v>
      </c>
      <c r="AM223" s="117">
        <v>7</v>
      </c>
      <c r="AN223" s="117">
        <v>11</v>
      </c>
      <c r="AO223" s="117">
        <v>0</v>
      </c>
      <c r="AP223" s="117">
        <v>2</v>
      </c>
      <c r="AQ223" s="117">
        <v>19</v>
      </c>
      <c r="AR223" s="44"/>
      <c r="AS223" s="44"/>
      <c r="AT223" s="46"/>
      <c r="AU223" s="62" t="s">
        <v>908</v>
      </c>
    </row>
    <row r="224" spans="1:47" ht="16.5" customHeight="1">
      <c r="A224" s="76" t="s">
        <v>365</v>
      </c>
      <c r="B224" s="41" t="s">
        <v>882</v>
      </c>
      <c r="C224" s="5" t="s">
        <v>883</v>
      </c>
      <c r="D224" s="77" t="s">
        <v>940</v>
      </c>
      <c r="E224" s="47"/>
      <c r="F224" s="76" t="s">
        <v>366</v>
      </c>
      <c r="G224" s="121" t="s">
        <v>843</v>
      </c>
      <c r="H224" s="122"/>
      <c r="I224" s="123" t="s">
        <v>888</v>
      </c>
      <c r="J224" s="124">
        <v>2</v>
      </c>
      <c r="K224" s="117">
        <v>2</v>
      </c>
      <c r="L224" s="117">
        <v>1</v>
      </c>
      <c r="M224" s="116">
        <v>7</v>
      </c>
      <c r="N224" s="116">
        <v>1</v>
      </c>
      <c r="O224" s="116">
        <v>0</v>
      </c>
      <c r="P224" s="43">
        <v>12</v>
      </c>
      <c r="Q224" s="116">
        <v>9</v>
      </c>
      <c r="R224" s="116">
        <v>3</v>
      </c>
      <c r="S224" s="116">
        <v>0</v>
      </c>
      <c r="T224" s="116">
        <v>0</v>
      </c>
      <c r="U224" s="116">
        <v>0</v>
      </c>
      <c r="V224" s="116">
        <v>0</v>
      </c>
      <c r="W224" s="116">
        <v>0</v>
      </c>
      <c r="X224" s="116">
        <v>0</v>
      </c>
      <c r="Y224" s="116">
        <v>0</v>
      </c>
      <c r="Z224" s="116">
        <v>0</v>
      </c>
      <c r="AA224" s="116">
        <v>0</v>
      </c>
      <c r="AB224" s="116">
        <v>0</v>
      </c>
      <c r="AC224" s="116">
        <v>15</v>
      </c>
      <c r="AD224" s="116">
        <v>3</v>
      </c>
      <c r="AE224" s="116">
        <v>0</v>
      </c>
      <c r="AF224" s="116">
        <v>0</v>
      </c>
      <c r="AG224" s="116">
        <v>0</v>
      </c>
      <c r="AH224" s="116">
        <v>0</v>
      </c>
      <c r="AI224" s="116">
        <v>1</v>
      </c>
      <c r="AJ224" s="117">
        <v>0</v>
      </c>
      <c r="AK224" s="117">
        <v>5</v>
      </c>
      <c r="AL224" s="117">
        <v>0</v>
      </c>
      <c r="AM224" s="117">
        <v>0</v>
      </c>
      <c r="AN224" s="117">
        <v>35</v>
      </c>
      <c r="AO224" s="117">
        <v>0</v>
      </c>
      <c r="AP224" s="117">
        <v>4</v>
      </c>
      <c r="AQ224" s="117">
        <v>36</v>
      </c>
      <c r="AR224" s="44"/>
      <c r="AS224" s="44"/>
      <c r="AT224" s="46"/>
      <c r="AU224" s="62" t="s">
        <v>944</v>
      </c>
    </row>
    <row r="225" spans="1:47" ht="16.5" customHeight="1">
      <c r="A225" s="76" t="s">
        <v>725</v>
      </c>
      <c r="B225" s="41" t="s">
        <v>882</v>
      </c>
      <c r="C225" s="5" t="s">
        <v>883</v>
      </c>
      <c r="D225" s="77" t="s">
        <v>940</v>
      </c>
      <c r="E225" s="49"/>
      <c r="F225" s="76" t="s">
        <v>726</v>
      </c>
      <c r="G225" s="121" t="s">
        <v>843</v>
      </c>
      <c r="H225" s="122" t="s">
        <v>842</v>
      </c>
      <c r="I225" s="123" t="s">
        <v>888</v>
      </c>
      <c r="J225" s="124">
        <v>2</v>
      </c>
      <c r="K225" s="117">
        <v>1</v>
      </c>
      <c r="L225" s="117">
        <v>1</v>
      </c>
      <c r="M225" s="116">
        <v>4</v>
      </c>
      <c r="N225" s="116">
        <v>7</v>
      </c>
      <c r="O225" s="116">
        <v>0</v>
      </c>
      <c r="P225" s="43">
        <v>5</v>
      </c>
      <c r="Q225" s="116">
        <v>5</v>
      </c>
      <c r="R225" s="116">
        <v>0</v>
      </c>
      <c r="S225" s="116">
        <v>0</v>
      </c>
      <c r="T225" s="116">
        <v>0</v>
      </c>
      <c r="U225" s="116">
        <v>0</v>
      </c>
      <c r="V225" s="116">
        <v>0</v>
      </c>
      <c r="W225" s="116">
        <v>0</v>
      </c>
      <c r="X225" s="116">
        <v>0</v>
      </c>
      <c r="Y225" s="116">
        <v>0</v>
      </c>
      <c r="Z225" s="116">
        <v>8</v>
      </c>
      <c r="AA225" s="116">
        <v>6</v>
      </c>
      <c r="AB225" s="116">
        <v>0</v>
      </c>
      <c r="AC225" s="116">
        <v>0</v>
      </c>
      <c r="AD225" s="116">
        <v>0</v>
      </c>
      <c r="AE225" s="116">
        <v>0</v>
      </c>
      <c r="AF225" s="116">
        <v>0</v>
      </c>
      <c r="AG225" s="116">
        <v>0</v>
      </c>
      <c r="AH225" s="116">
        <v>0</v>
      </c>
      <c r="AI225" s="116">
        <v>1</v>
      </c>
      <c r="AJ225" s="117">
        <v>1</v>
      </c>
      <c r="AK225" s="117">
        <v>5</v>
      </c>
      <c r="AL225" s="117">
        <v>0</v>
      </c>
      <c r="AM225" s="117">
        <v>14</v>
      </c>
      <c r="AN225" s="117">
        <v>26</v>
      </c>
      <c r="AO225" s="117">
        <v>0</v>
      </c>
      <c r="AP225" s="117">
        <v>4</v>
      </c>
      <c r="AQ225" s="117">
        <v>42</v>
      </c>
      <c r="AR225" s="44"/>
      <c r="AS225" s="44"/>
      <c r="AT225" s="46"/>
      <c r="AU225" s="62" t="s">
        <v>887</v>
      </c>
    </row>
    <row r="226" spans="1:47" ht="16.5" customHeight="1">
      <c r="A226" s="76" t="s">
        <v>51</v>
      </c>
      <c r="B226" s="41" t="s">
        <v>882</v>
      </c>
      <c r="C226" s="5" t="s">
        <v>883</v>
      </c>
      <c r="D226" s="77" t="s">
        <v>940</v>
      </c>
      <c r="E226" s="49"/>
      <c r="F226" s="76" t="s">
        <v>52</v>
      </c>
      <c r="G226" s="121" t="s">
        <v>843</v>
      </c>
      <c r="H226" s="122"/>
      <c r="I226" s="123" t="s">
        <v>888</v>
      </c>
      <c r="J226" s="124">
        <v>2</v>
      </c>
      <c r="K226" s="117">
        <v>1</v>
      </c>
      <c r="L226" s="117">
        <v>1</v>
      </c>
      <c r="M226" s="116">
        <v>7</v>
      </c>
      <c r="N226" s="116">
        <v>1</v>
      </c>
      <c r="O226" s="116">
        <v>0</v>
      </c>
      <c r="P226" s="43">
        <v>10</v>
      </c>
      <c r="Q226" s="116">
        <v>7</v>
      </c>
      <c r="R226" s="116">
        <v>3</v>
      </c>
      <c r="S226" s="116">
        <v>0</v>
      </c>
      <c r="T226" s="116">
        <v>0</v>
      </c>
      <c r="U226" s="116">
        <v>0</v>
      </c>
      <c r="V226" s="116">
        <v>0</v>
      </c>
      <c r="W226" s="116">
        <v>0</v>
      </c>
      <c r="X226" s="116">
        <v>0</v>
      </c>
      <c r="Y226" s="116">
        <v>0</v>
      </c>
      <c r="Z226" s="116">
        <v>0</v>
      </c>
      <c r="AA226" s="116">
        <v>0</v>
      </c>
      <c r="AB226" s="116">
        <v>0</v>
      </c>
      <c r="AC226" s="116">
        <v>13</v>
      </c>
      <c r="AD226" s="116">
        <v>3</v>
      </c>
      <c r="AE226" s="116">
        <v>0</v>
      </c>
      <c r="AF226" s="116">
        <v>0</v>
      </c>
      <c r="AG226" s="116">
        <v>0</v>
      </c>
      <c r="AH226" s="116">
        <v>0</v>
      </c>
      <c r="AI226" s="116">
        <v>1</v>
      </c>
      <c r="AJ226" s="117">
        <v>0</v>
      </c>
      <c r="AK226" s="117">
        <v>8</v>
      </c>
      <c r="AL226" s="117">
        <v>0</v>
      </c>
      <c r="AM226" s="117">
        <v>0</v>
      </c>
      <c r="AN226" s="117">
        <v>63</v>
      </c>
      <c r="AO226" s="117">
        <v>0</v>
      </c>
      <c r="AP226" s="117">
        <v>8</v>
      </c>
      <c r="AQ226" s="117">
        <v>63</v>
      </c>
      <c r="AR226" s="44"/>
      <c r="AS226" s="44"/>
      <c r="AT226" s="46"/>
      <c r="AU226" s="62" t="s">
        <v>945</v>
      </c>
    </row>
    <row r="227" spans="1:47" ht="16.5" customHeight="1">
      <c r="A227" s="76" t="s">
        <v>368</v>
      </c>
      <c r="B227" s="41" t="s">
        <v>882</v>
      </c>
      <c r="C227" s="5" t="s">
        <v>883</v>
      </c>
      <c r="D227" s="77" t="s">
        <v>940</v>
      </c>
      <c r="E227" s="47"/>
      <c r="F227" s="76" t="s">
        <v>369</v>
      </c>
      <c r="G227" s="121" t="s">
        <v>843</v>
      </c>
      <c r="H227" s="122" t="s">
        <v>842</v>
      </c>
      <c r="I227" s="123" t="s">
        <v>888</v>
      </c>
      <c r="J227" s="124">
        <v>2</v>
      </c>
      <c r="K227" s="117">
        <v>1</v>
      </c>
      <c r="L227" s="117">
        <v>1</v>
      </c>
      <c r="M227" s="116">
        <v>10</v>
      </c>
      <c r="N227" s="116">
        <v>4</v>
      </c>
      <c r="O227" s="116">
        <v>0</v>
      </c>
      <c r="P227" s="43">
        <v>3</v>
      </c>
      <c r="Q227" s="116">
        <v>3</v>
      </c>
      <c r="R227" s="116">
        <v>0</v>
      </c>
      <c r="S227" s="116">
        <v>0</v>
      </c>
      <c r="T227" s="116">
        <v>0</v>
      </c>
      <c r="U227" s="116">
        <v>0</v>
      </c>
      <c r="V227" s="116">
        <v>0</v>
      </c>
      <c r="W227" s="116">
        <v>0</v>
      </c>
      <c r="X227" s="116">
        <v>0</v>
      </c>
      <c r="Y227" s="116">
        <v>0</v>
      </c>
      <c r="Z227" s="116">
        <v>12</v>
      </c>
      <c r="AA227" s="116">
        <v>3</v>
      </c>
      <c r="AB227" s="116">
        <v>0</v>
      </c>
      <c r="AC227" s="116">
        <v>1</v>
      </c>
      <c r="AD227" s="116">
        <v>0</v>
      </c>
      <c r="AE227" s="116">
        <v>0</v>
      </c>
      <c r="AF227" s="116">
        <v>0</v>
      </c>
      <c r="AG227" s="116">
        <v>0</v>
      </c>
      <c r="AH227" s="116">
        <v>0</v>
      </c>
      <c r="AI227" s="116">
        <v>1</v>
      </c>
      <c r="AJ227" s="117">
        <v>0</v>
      </c>
      <c r="AK227" s="117">
        <v>8</v>
      </c>
      <c r="AL227" s="117">
        <v>1</v>
      </c>
      <c r="AM227" s="117">
        <v>8</v>
      </c>
      <c r="AN227" s="117">
        <v>41</v>
      </c>
      <c r="AO227" s="117">
        <v>0</v>
      </c>
      <c r="AP227" s="117">
        <v>8</v>
      </c>
      <c r="AQ227" s="117">
        <v>51</v>
      </c>
      <c r="AR227" s="44"/>
      <c r="AS227" s="44"/>
      <c r="AT227" s="46"/>
      <c r="AU227" s="62" t="s">
        <v>887</v>
      </c>
    </row>
    <row r="228" spans="1:47" ht="16.5" customHeight="1">
      <c r="A228" s="76" t="s">
        <v>737</v>
      </c>
      <c r="B228" s="41" t="s">
        <v>882</v>
      </c>
      <c r="C228" s="5" t="s">
        <v>883</v>
      </c>
      <c r="D228" s="77" t="s">
        <v>940</v>
      </c>
      <c r="E228" s="47"/>
      <c r="F228" s="76" t="s">
        <v>738</v>
      </c>
      <c r="G228" s="121" t="s">
        <v>843</v>
      </c>
      <c r="H228" s="122" t="s">
        <v>842</v>
      </c>
      <c r="I228" s="123" t="s">
        <v>888</v>
      </c>
      <c r="J228" s="124">
        <v>2</v>
      </c>
      <c r="K228" s="117">
        <v>1</v>
      </c>
      <c r="L228" s="117">
        <v>1</v>
      </c>
      <c r="M228" s="116">
        <v>8</v>
      </c>
      <c r="N228" s="116">
        <v>3</v>
      </c>
      <c r="O228" s="116">
        <v>0</v>
      </c>
      <c r="P228" s="43">
        <v>8</v>
      </c>
      <c r="Q228" s="116">
        <v>6</v>
      </c>
      <c r="R228" s="116">
        <v>2</v>
      </c>
      <c r="S228" s="116">
        <v>0</v>
      </c>
      <c r="T228" s="116">
        <v>5</v>
      </c>
      <c r="U228" s="116">
        <v>2</v>
      </c>
      <c r="V228" s="116">
        <v>0</v>
      </c>
      <c r="W228" s="116">
        <v>0</v>
      </c>
      <c r="X228" s="116">
        <v>0</v>
      </c>
      <c r="Y228" s="116">
        <v>0</v>
      </c>
      <c r="Z228" s="116">
        <v>0</v>
      </c>
      <c r="AA228" s="116">
        <v>0</v>
      </c>
      <c r="AB228" s="116">
        <v>0</v>
      </c>
      <c r="AC228" s="116">
        <v>0</v>
      </c>
      <c r="AD228" s="116">
        <v>0</v>
      </c>
      <c r="AE228" s="116">
        <v>0</v>
      </c>
      <c r="AF228" s="116">
        <v>8</v>
      </c>
      <c r="AG228" s="116">
        <v>2</v>
      </c>
      <c r="AH228" s="116">
        <v>0</v>
      </c>
      <c r="AI228" s="116">
        <v>1</v>
      </c>
      <c r="AJ228" s="117">
        <v>0</v>
      </c>
      <c r="AK228" s="117">
        <v>6</v>
      </c>
      <c r="AL228" s="117">
        <v>0</v>
      </c>
      <c r="AM228" s="117">
        <v>0</v>
      </c>
      <c r="AN228" s="117">
        <v>54</v>
      </c>
      <c r="AO228" s="117">
        <v>0</v>
      </c>
      <c r="AP228" s="117">
        <v>4</v>
      </c>
      <c r="AQ228" s="117">
        <v>56</v>
      </c>
      <c r="AR228" s="44"/>
      <c r="AS228" s="44"/>
      <c r="AT228" s="46"/>
      <c r="AU228" s="62" t="s">
        <v>908</v>
      </c>
    </row>
    <row r="229" spans="1:47" ht="16.5" customHeight="1">
      <c r="A229" s="76" t="s">
        <v>739</v>
      </c>
      <c r="B229" s="41" t="s">
        <v>882</v>
      </c>
      <c r="C229" s="5" t="s">
        <v>883</v>
      </c>
      <c r="D229" s="77" t="s">
        <v>940</v>
      </c>
      <c r="E229" s="48"/>
      <c r="F229" s="76" t="s">
        <v>740</v>
      </c>
      <c r="G229" s="121" t="s">
        <v>843</v>
      </c>
      <c r="H229" s="122" t="s">
        <v>842</v>
      </c>
      <c r="I229" s="123" t="s">
        <v>888</v>
      </c>
      <c r="J229" s="124">
        <v>2</v>
      </c>
      <c r="K229" s="117">
        <v>1</v>
      </c>
      <c r="L229" s="117">
        <v>1</v>
      </c>
      <c r="M229" s="116">
        <v>9</v>
      </c>
      <c r="N229" s="116">
        <v>7</v>
      </c>
      <c r="O229" s="116">
        <v>0</v>
      </c>
      <c r="P229" s="43">
        <v>1</v>
      </c>
      <c r="Q229" s="116">
        <v>1</v>
      </c>
      <c r="R229" s="116">
        <v>0</v>
      </c>
      <c r="S229" s="116">
        <v>0</v>
      </c>
      <c r="T229" s="116">
        <v>2</v>
      </c>
      <c r="U229" s="116">
        <v>2</v>
      </c>
      <c r="V229" s="116">
        <v>0</v>
      </c>
      <c r="W229" s="116">
        <v>0</v>
      </c>
      <c r="X229" s="116">
        <v>0</v>
      </c>
      <c r="Y229" s="116">
        <v>0</v>
      </c>
      <c r="Z229" s="116">
        <v>7</v>
      </c>
      <c r="AA229" s="116">
        <v>4</v>
      </c>
      <c r="AB229" s="116">
        <v>0</v>
      </c>
      <c r="AC229" s="116">
        <v>0</v>
      </c>
      <c r="AD229" s="116">
        <v>0</v>
      </c>
      <c r="AE229" s="116">
        <v>0</v>
      </c>
      <c r="AF229" s="116">
        <v>0</v>
      </c>
      <c r="AG229" s="116">
        <v>0</v>
      </c>
      <c r="AH229" s="116">
        <v>0</v>
      </c>
      <c r="AI229" s="116">
        <v>1</v>
      </c>
      <c r="AJ229" s="117">
        <v>2</v>
      </c>
      <c r="AK229" s="117">
        <v>8</v>
      </c>
      <c r="AL229" s="117">
        <v>0</v>
      </c>
      <c r="AM229" s="117">
        <v>3</v>
      </c>
      <c r="AN229" s="117">
        <v>54</v>
      </c>
      <c r="AO229" s="117">
        <v>0</v>
      </c>
      <c r="AP229" s="117">
        <v>7</v>
      </c>
      <c r="AQ229" s="117">
        <v>60</v>
      </c>
      <c r="AR229" s="44"/>
      <c r="AS229" s="44"/>
      <c r="AT229" s="46"/>
      <c r="AU229" s="62" t="s">
        <v>908</v>
      </c>
    </row>
    <row r="230" spans="1:47" ht="16.5" customHeight="1">
      <c r="A230" s="76" t="s">
        <v>747</v>
      </c>
      <c r="B230" s="41" t="s">
        <v>882</v>
      </c>
      <c r="C230" s="5" t="s">
        <v>883</v>
      </c>
      <c r="D230" s="77" t="s">
        <v>940</v>
      </c>
      <c r="E230" s="48"/>
      <c r="F230" s="76" t="s">
        <v>748</v>
      </c>
      <c r="G230" s="121" t="s">
        <v>843</v>
      </c>
      <c r="H230" s="122" t="s">
        <v>842</v>
      </c>
      <c r="I230" s="123" t="s">
        <v>888</v>
      </c>
      <c r="J230" s="124">
        <v>2</v>
      </c>
      <c r="K230" s="117">
        <v>1</v>
      </c>
      <c r="L230" s="117">
        <v>1</v>
      </c>
      <c r="M230" s="116">
        <v>11</v>
      </c>
      <c r="N230" s="116">
        <v>10</v>
      </c>
      <c r="O230" s="116">
        <v>0</v>
      </c>
      <c r="P230" s="43">
        <v>0</v>
      </c>
      <c r="Q230" s="116">
        <v>0</v>
      </c>
      <c r="R230" s="116">
        <v>0</v>
      </c>
      <c r="S230" s="116">
        <v>0</v>
      </c>
      <c r="T230" s="116">
        <v>0</v>
      </c>
      <c r="U230" s="116">
        <v>0</v>
      </c>
      <c r="V230" s="116">
        <v>0</v>
      </c>
      <c r="W230" s="116">
        <v>0</v>
      </c>
      <c r="X230" s="116">
        <v>0</v>
      </c>
      <c r="Y230" s="116">
        <v>0</v>
      </c>
      <c r="Z230" s="116">
        <v>11</v>
      </c>
      <c r="AA230" s="116">
        <v>9</v>
      </c>
      <c r="AB230" s="116">
        <v>0</v>
      </c>
      <c r="AC230" s="116">
        <v>0</v>
      </c>
      <c r="AD230" s="116">
        <v>0</v>
      </c>
      <c r="AE230" s="116">
        <v>0</v>
      </c>
      <c r="AF230" s="116">
        <v>0</v>
      </c>
      <c r="AG230" s="116">
        <v>0</v>
      </c>
      <c r="AH230" s="116">
        <v>0</v>
      </c>
      <c r="AI230" s="116">
        <v>1</v>
      </c>
      <c r="AJ230" s="117">
        <v>0</v>
      </c>
      <c r="AK230" s="117">
        <v>5</v>
      </c>
      <c r="AL230" s="117">
        <v>0</v>
      </c>
      <c r="AM230" s="117">
        <v>0</v>
      </c>
      <c r="AN230" s="117">
        <v>48</v>
      </c>
      <c r="AO230" s="117">
        <v>0</v>
      </c>
      <c r="AP230" s="117">
        <v>4</v>
      </c>
      <c r="AQ230" s="117">
        <v>49</v>
      </c>
      <c r="AR230" s="44"/>
      <c r="AS230" s="44"/>
      <c r="AT230" s="46"/>
      <c r="AU230" s="62" t="s">
        <v>897</v>
      </c>
    </row>
    <row r="231" spans="1:47" ht="16.5" customHeight="1">
      <c r="A231" s="76" t="s">
        <v>539</v>
      </c>
      <c r="B231" s="41" t="s">
        <v>882</v>
      </c>
      <c r="C231" s="5" t="s">
        <v>883</v>
      </c>
      <c r="D231" s="77" t="s">
        <v>940</v>
      </c>
      <c r="E231" s="47"/>
      <c r="F231" s="76" t="s">
        <v>540</v>
      </c>
      <c r="G231" s="121" t="s">
        <v>843</v>
      </c>
      <c r="H231" s="122" t="s">
        <v>842</v>
      </c>
      <c r="I231" s="123" t="s">
        <v>888</v>
      </c>
      <c r="J231" s="124">
        <v>2</v>
      </c>
      <c r="K231" s="117">
        <v>1</v>
      </c>
      <c r="L231" s="117">
        <v>1</v>
      </c>
      <c r="M231" s="116">
        <v>3</v>
      </c>
      <c r="N231" s="116">
        <v>1</v>
      </c>
      <c r="O231" s="116">
        <v>0</v>
      </c>
      <c r="P231" s="43">
        <v>12</v>
      </c>
      <c r="Q231" s="116">
        <v>10</v>
      </c>
      <c r="R231" s="116">
        <v>2</v>
      </c>
      <c r="S231" s="116">
        <v>0</v>
      </c>
      <c r="T231" s="116">
        <v>1</v>
      </c>
      <c r="U231" s="116">
        <v>0</v>
      </c>
      <c r="V231" s="116">
        <v>0</v>
      </c>
      <c r="W231" s="116">
        <v>0</v>
      </c>
      <c r="X231" s="116">
        <v>0</v>
      </c>
      <c r="Y231" s="116">
        <v>0</v>
      </c>
      <c r="Z231" s="116">
        <v>12</v>
      </c>
      <c r="AA231" s="116">
        <v>2</v>
      </c>
      <c r="AB231" s="116">
        <v>0</v>
      </c>
      <c r="AC231" s="116">
        <v>0</v>
      </c>
      <c r="AD231" s="116">
        <v>0</v>
      </c>
      <c r="AE231" s="116">
        <v>0</v>
      </c>
      <c r="AF231" s="116">
        <v>0</v>
      </c>
      <c r="AG231" s="116">
        <v>0</v>
      </c>
      <c r="AH231" s="116">
        <v>0</v>
      </c>
      <c r="AI231" s="116">
        <v>1</v>
      </c>
      <c r="AJ231" s="117">
        <v>0</v>
      </c>
      <c r="AK231" s="117">
        <v>6</v>
      </c>
      <c r="AL231" s="117">
        <v>0</v>
      </c>
      <c r="AM231" s="117">
        <v>14</v>
      </c>
      <c r="AN231" s="117">
        <v>19</v>
      </c>
      <c r="AO231" s="117">
        <v>0</v>
      </c>
      <c r="AP231" s="117">
        <v>4</v>
      </c>
      <c r="AQ231" s="117">
        <v>34</v>
      </c>
      <c r="AR231" s="44"/>
      <c r="AS231" s="44"/>
      <c r="AT231" s="46"/>
      <c r="AU231" s="62" t="s">
        <v>896</v>
      </c>
    </row>
    <row r="232" spans="1:47" ht="16.5" customHeight="1">
      <c r="A232" s="76" t="s">
        <v>569</v>
      </c>
      <c r="B232" s="41" t="s">
        <v>882</v>
      </c>
      <c r="C232" s="5" t="s">
        <v>883</v>
      </c>
      <c r="D232" s="77" t="s">
        <v>940</v>
      </c>
      <c r="E232" s="48"/>
      <c r="F232" s="76" t="s">
        <v>570</v>
      </c>
      <c r="G232" s="121" t="s">
        <v>843</v>
      </c>
      <c r="H232" s="122"/>
      <c r="I232" s="123" t="s">
        <v>888</v>
      </c>
      <c r="J232" s="124">
        <v>2</v>
      </c>
      <c r="K232" s="117">
        <v>1</v>
      </c>
      <c r="L232" s="117">
        <v>1</v>
      </c>
      <c r="M232" s="116">
        <v>5</v>
      </c>
      <c r="N232" s="116">
        <v>3</v>
      </c>
      <c r="O232" s="116">
        <v>0</v>
      </c>
      <c r="P232" s="43">
        <v>0</v>
      </c>
      <c r="Q232" s="116">
        <v>0</v>
      </c>
      <c r="R232" s="116">
        <v>0</v>
      </c>
      <c r="S232" s="116">
        <v>0</v>
      </c>
      <c r="T232" s="116">
        <v>0</v>
      </c>
      <c r="U232" s="116">
        <v>0</v>
      </c>
      <c r="V232" s="116">
        <v>0</v>
      </c>
      <c r="W232" s="116">
        <v>0</v>
      </c>
      <c r="X232" s="116">
        <v>0</v>
      </c>
      <c r="Y232" s="116">
        <v>0</v>
      </c>
      <c r="Z232" s="116">
        <v>4</v>
      </c>
      <c r="AA232" s="116">
        <v>2</v>
      </c>
      <c r="AB232" s="116">
        <v>0</v>
      </c>
      <c r="AC232" s="116">
        <v>0</v>
      </c>
      <c r="AD232" s="116">
        <v>0</v>
      </c>
      <c r="AE232" s="116">
        <v>0</v>
      </c>
      <c r="AF232" s="116">
        <v>0</v>
      </c>
      <c r="AG232" s="116">
        <v>0</v>
      </c>
      <c r="AH232" s="116">
        <v>0</v>
      </c>
      <c r="AI232" s="116">
        <v>1</v>
      </c>
      <c r="AJ232" s="117">
        <v>0</v>
      </c>
      <c r="AK232" s="117">
        <v>3</v>
      </c>
      <c r="AL232" s="117">
        <v>0</v>
      </c>
      <c r="AM232" s="117">
        <v>0</v>
      </c>
      <c r="AN232" s="117">
        <v>30</v>
      </c>
      <c r="AO232" s="117">
        <v>0</v>
      </c>
      <c r="AP232" s="117">
        <v>3</v>
      </c>
      <c r="AQ232" s="117">
        <v>30</v>
      </c>
      <c r="AR232" s="44"/>
      <c r="AS232" s="44"/>
      <c r="AT232" s="46"/>
      <c r="AU232" s="62" t="s">
        <v>891</v>
      </c>
    </row>
    <row r="233" spans="1:47" ht="16.5" customHeight="1">
      <c r="A233" s="76" t="s">
        <v>759</v>
      </c>
      <c r="B233" s="41" t="s">
        <v>882</v>
      </c>
      <c r="C233" s="5" t="s">
        <v>883</v>
      </c>
      <c r="D233" s="77" t="s">
        <v>940</v>
      </c>
      <c r="E233" s="50"/>
      <c r="F233" s="76" t="s">
        <v>760</v>
      </c>
      <c r="G233" s="121" t="s">
        <v>843</v>
      </c>
      <c r="H233" s="122"/>
      <c r="I233" s="123" t="s">
        <v>888</v>
      </c>
      <c r="J233" s="124">
        <v>2</v>
      </c>
      <c r="K233" s="117">
        <v>1</v>
      </c>
      <c r="L233" s="117">
        <v>1</v>
      </c>
      <c r="M233" s="116">
        <v>8</v>
      </c>
      <c r="N233" s="116">
        <v>4</v>
      </c>
      <c r="O233" s="116">
        <v>0</v>
      </c>
      <c r="P233" s="43">
        <v>3</v>
      </c>
      <c r="Q233" s="116">
        <v>2</v>
      </c>
      <c r="R233" s="116">
        <v>1</v>
      </c>
      <c r="S233" s="116">
        <v>0</v>
      </c>
      <c r="T233" s="116">
        <v>2</v>
      </c>
      <c r="U233" s="116">
        <v>1</v>
      </c>
      <c r="V233" s="116">
        <v>0</v>
      </c>
      <c r="W233" s="116">
        <v>0</v>
      </c>
      <c r="X233" s="116">
        <v>0</v>
      </c>
      <c r="Y233" s="116">
        <v>0</v>
      </c>
      <c r="Z233" s="116">
        <v>7</v>
      </c>
      <c r="AA233" s="116">
        <v>3</v>
      </c>
      <c r="AB233" s="116">
        <v>0</v>
      </c>
      <c r="AC233" s="116">
        <v>0</v>
      </c>
      <c r="AD233" s="116">
        <v>0</v>
      </c>
      <c r="AE233" s="116">
        <v>0</v>
      </c>
      <c r="AF233" s="116">
        <v>0</v>
      </c>
      <c r="AG233" s="116">
        <v>0</v>
      </c>
      <c r="AH233" s="116">
        <v>0</v>
      </c>
      <c r="AI233" s="116">
        <v>1</v>
      </c>
      <c r="AJ233" s="117">
        <v>0</v>
      </c>
      <c r="AK233" s="117">
        <v>4</v>
      </c>
      <c r="AL233" s="117">
        <v>1</v>
      </c>
      <c r="AM233" s="117">
        <v>7</v>
      </c>
      <c r="AN233" s="117">
        <v>16</v>
      </c>
      <c r="AO233" s="117">
        <v>3</v>
      </c>
      <c r="AP233" s="117">
        <v>2</v>
      </c>
      <c r="AQ233" s="117">
        <v>24</v>
      </c>
      <c r="AR233" s="44"/>
      <c r="AS233" s="44"/>
      <c r="AT233" s="46"/>
      <c r="AU233" s="62" t="s">
        <v>889</v>
      </c>
    </row>
    <row r="234" spans="1:47" ht="16.5" customHeight="1">
      <c r="A234" s="76" t="s">
        <v>761</v>
      </c>
      <c r="B234" s="41" t="s">
        <v>882</v>
      </c>
      <c r="C234" s="5" t="s">
        <v>883</v>
      </c>
      <c r="D234" s="77" t="s">
        <v>940</v>
      </c>
      <c r="E234" s="47"/>
      <c r="F234" s="76" t="s">
        <v>762</v>
      </c>
      <c r="G234" s="121" t="s">
        <v>843</v>
      </c>
      <c r="H234" s="122"/>
      <c r="I234" s="123" t="s">
        <v>885</v>
      </c>
      <c r="J234" s="124">
        <v>2</v>
      </c>
      <c r="K234" s="117">
        <v>2</v>
      </c>
      <c r="L234" s="117">
        <v>2</v>
      </c>
      <c r="M234" s="116">
        <v>6</v>
      </c>
      <c r="N234" s="116">
        <v>2</v>
      </c>
      <c r="O234" s="116">
        <v>0</v>
      </c>
      <c r="P234" s="43">
        <v>13</v>
      </c>
      <c r="Q234" s="116">
        <v>9</v>
      </c>
      <c r="R234" s="116">
        <v>4</v>
      </c>
      <c r="S234" s="116">
        <v>0</v>
      </c>
      <c r="T234" s="116">
        <v>0</v>
      </c>
      <c r="U234" s="116">
        <v>0</v>
      </c>
      <c r="V234" s="116">
        <v>0</v>
      </c>
      <c r="W234" s="116">
        <v>1</v>
      </c>
      <c r="X234" s="116">
        <v>1</v>
      </c>
      <c r="Y234" s="116">
        <v>0</v>
      </c>
      <c r="Z234" s="116">
        <v>13</v>
      </c>
      <c r="AA234" s="116">
        <v>4</v>
      </c>
      <c r="AB234" s="116">
        <v>0</v>
      </c>
      <c r="AC234" s="116">
        <v>0</v>
      </c>
      <c r="AD234" s="116">
        <v>0</v>
      </c>
      <c r="AE234" s="116">
        <v>0</v>
      </c>
      <c r="AF234" s="116">
        <v>0</v>
      </c>
      <c r="AG234" s="116">
        <v>0</v>
      </c>
      <c r="AH234" s="116">
        <v>0</v>
      </c>
      <c r="AI234" s="116">
        <v>1</v>
      </c>
      <c r="AJ234" s="117">
        <v>1</v>
      </c>
      <c r="AK234" s="117">
        <v>1</v>
      </c>
      <c r="AL234" s="117">
        <v>0</v>
      </c>
      <c r="AM234" s="117">
        <v>13</v>
      </c>
      <c r="AN234" s="117">
        <v>7</v>
      </c>
      <c r="AO234" s="117">
        <v>0</v>
      </c>
      <c r="AP234" s="117">
        <v>1</v>
      </c>
      <c r="AQ234" s="117">
        <v>21</v>
      </c>
      <c r="AR234" s="44"/>
      <c r="AS234" s="44"/>
      <c r="AT234" s="46"/>
      <c r="AU234" s="62" t="s">
        <v>893</v>
      </c>
    </row>
    <row r="235" spans="1:47" ht="16.5" customHeight="1">
      <c r="A235" s="76" t="s">
        <v>371</v>
      </c>
      <c r="B235" s="41" t="s">
        <v>882</v>
      </c>
      <c r="C235" s="5" t="s">
        <v>883</v>
      </c>
      <c r="D235" s="77" t="s">
        <v>940</v>
      </c>
      <c r="E235" s="48"/>
      <c r="F235" s="76" t="s">
        <v>372</v>
      </c>
      <c r="G235" s="121" t="s">
        <v>843</v>
      </c>
      <c r="H235" s="122"/>
      <c r="I235" s="123" t="s">
        <v>888</v>
      </c>
      <c r="J235" s="124">
        <v>2</v>
      </c>
      <c r="K235" s="117">
        <v>1</v>
      </c>
      <c r="L235" s="117">
        <v>1</v>
      </c>
      <c r="M235" s="116">
        <v>6</v>
      </c>
      <c r="N235" s="116">
        <v>2</v>
      </c>
      <c r="O235" s="116">
        <v>0</v>
      </c>
      <c r="P235" s="43">
        <v>9</v>
      </c>
      <c r="Q235" s="116">
        <v>5</v>
      </c>
      <c r="R235" s="116">
        <v>4</v>
      </c>
      <c r="S235" s="116">
        <v>0</v>
      </c>
      <c r="T235" s="116">
        <v>0</v>
      </c>
      <c r="U235" s="116">
        <v>0</v>
      </c>
      <c r="V235" s="116">
        <v>0</v>
      </c>
      <c r="W235" s="116">
        <v>0</v>
      </c>
      <c r="X235" s="116">
        <v>0</v>
      </c>
      <c r="Y235" s="116">
        <v>0</v>
      </c>
      <c r="Z235" s="116">
        <v>0</v>
      </c>
      <c r="AA235" s="116">
        <v>0</v>
      </c>
      <c r="AB235" s="116">
        <v>0</v>
      </c>
      <c r="AC235" s="116">
        <v>10</v>
      </c>
      <c r="AD235" s="116">
        <v>5</v>
      </c>
      <c r="AE235" s="116">
        <v>0</v>
      </c>
      <c r="AF235" s="116">
        <v>0</v>
      </c>
      <c r="AG235" s="116">
        <v>0</v>
      </c>
      <c r="AH235" s="116">
        <v>0</v>
      </c>
      <c r="AI235" s="116">
        <v>1</v>
      </c>
      <c r="AJ235" s="117">
        <v>0</v>
      </c>
      <c r="AK235" s="117">
        <v>6</v>
      </c>
      <c r="AL235" s="117">
        <v>0</v>
      </c>
      <c r="AM235" s="117">
        <v>0</v>
      </c>
      <c r="AN235" s="117">
        <v>40</v>
      </c>
      <c r="AO235" s="117">
        <v>2</v>
      </c>
      <c r="AP235" s="117">
        <v>4</v>
      </c>
      <c r="AQ235" s="117">
        <v>43</v>
      </c>
      <c r="AR235" s="44"/>
      <c r="AS235" s="44"/>
      <c r="AT235" s="46"/>
      <c r="AU235" s="62" t="s">
        <v>913</v>
      </c>
    </row>
    <row r="236" spans="1:47" ht="16.5" customHeight="1">
      <c r="A236" s="76" t="s">
        <v>763</v>
      </c>
      <c r="B236" s="41" t="s">
        <v>882</v>
      </c>
      <c r="C236" s="5" t="s">
        <v>883</v>
      </c>
      <c r="D236" s="77" t="s">
        <v>940</v>
      </c>
      <c r="E236" s="48"/>
      <c r="F236" s="76" t="s">
        <v>764</v>
      </c>
      <c r="G236" s="121" t="s">
        <v>843</v>
      </c>
      <c r="H236" s="122"/>
      <c r="I236" s="123" t="s">
        <v>888</v>
      </c>
      <c r="J236" s="124">
        <v>2</v>
      </c>
      <c r="K236" s="117">
        <v>1</v>
      </c>
      <c r="L236" s="117">
        <v>1</v>
      </c>
      <c r="M236" s="116">
        <v>6</v>
      </c>
      <c r="N236" s="116">
        <v>1</v>
      </c>
      <c r="O236" s="116">
        <v>0</v>
      </c>
      <c r="P236" s="43">
        <v>8</v>
      </c>
      <c r="Q236" s="116">
        <v>3</v>
      </c>
      <c r="R236" s="116">
        <v>5</v>
      </c>
      <c r="S236" s="116">
        <v>0</v>
      </c>
      <c r="T236" s="116">
        <v>0</v>
      </c>
      <c r="U236" s="116">
        <v>0</v>
      </c>
      <c r="V236" s="116">
        <v>0</v>
      </c>
      <c r="W236" s="116">
        <v>0</v>
      </c>
      <c r="X236" s="116">
        <v>0</v>
      </c>
      <c r="Y236" s="116">
        <v>0</v>
      </c>
      <c r="Z236" s="116">
        <v>8</v>
      </c>
      <c r="AA236" s="116">
        <v>5</v>
      </c>
      <c r="AB236" s="116">
        <v>0</v>
      </c>
      <c r="AC236" s="116">
        <v>0</v>
      </c>
      <c r="AD236" s="116">
        <v>0</v>
      </c>
      <c r="AE236" s="116">
        <v>0</v>
      </c>
      <c r="AF236" s="116">
        <v>0</v>
      </c>
      <c r="AG236" s="116">
        <v>0</v>
      </c>
      <c r="AH236" s="116">
        <v>0</v>
      </c>
      <c r="AI236" s="116">
        <v>1</v>
      </c>
      <c r="AJ236" s="117">
        <v>1</v>
      </c>
      <c r="AK236" s="117">
        <v>5</v>
      </c>
      <c r="AL236" s="117">
        <v>1</v>
      </c>
      <c r="AM236" s="117">
        <v>10</v>
      </c>
      <c r="AN236" s="117">
        <v>16</v>
      </c>
      <c r="AO236" s="117">
        <v>0</v>
      </c>
      <c r="AP236" s="117">
        <v>2</v>
      </c>
      <c r="AQ236" s="117">
        <v>31</v>
      </c>
      <c r="AR236" s="44"/>
      <c r="AS236" s="44"/>
      <c r="AT236" s="46"/>
      <c r="AU236" s="62" t="s">
        <v>937</v>
      </c>
    </row>
    <row r="237" spans="1:47" ht="16.5" customHeight="1">
      <c r="A237" s="76" t="s">
        <v>96</v>
      </c>
      <c r="B237" s="41" t="s">
        <v>882</v>
      </c>
      <c r="C237" s="5" t="s">
        <v>883</v>
      </c>
      <c r="D237" s="77" t="s">
        <v>940</v>
      </c>
      <c r="E237" s="48"/>
      <c r="F237" s="76" t="s">
        <v>97</v>
      </c>
      <c r="G237" s="121" t="s">
        <v>843</v>
      </c>
      <c r="H237" s="122" t="s">
        <v>842</v>
      </c>
      <c r="I237" s="123" t="s">
        <v>888</v>
      </c>
      <c r="J237" s="124">
        <v>2</v>
      </c>
      <c r="K237" s="117">
        <v>1</v>
      </c>
      <c r="L237" s="117">
        <v>3</v>
      </c>
      <c r="M237" s="116">
        <v>4</v>
      </c>
      <c r="N237" s="116">
        <v>2</v>
      </c>
      <c r="O237" s="116">
        <v>0</v>
      </c>
      <c r="P237" s="43">
        <v>9</v>
      </c>
      <c r="Q237" s="116">
        <v>7</v>
      </c>
      <c r="R237" s="116">
        <v>2</v>
      </c>
      <c r="S237" s="116">
        <v>0</v>
      </c>
      <c r="T237" s="116">
        <v>0</v>
      </c>
      <c r="U237" s="116">
        <v>0</v>
      </c>
      <c r="V237" s="116">
        <v>0</v>
      </c>
      <c r="W237" s="116">
        <v>0</v>
      </c>
      <c r="X237" s="116">
        <v>0</v>
      </c>
      <c r="Y237" s="116">
        <v>0</v>
      </c>
      <c r="Z237" s="116">
        <v>0</v>
      </c>
      <c r="AA237" s="116">
        <v>0</v>
      </c>
      <c r="AB237" s="116">
        <v>0</v>
      </c>
      <c r="AC237" s="116">
        <v>0</v>
      </c>
      <c r="AD237" s="116">
        <v>0</v>
      </c>
      <c r="AE237" s="116">
        <v>0</v>
      </c>
      <c r="AF237" s="116">
        <v>10</v>
      </c>
      <c r="AG237" s="116">
        <v>3</v>
      </c>
      <c r="AH237" s="116">
        <v>0</v>
      </c>
      <c r="AI237" s="116">
        <v>1</v>
      </c>
      <c r="AJ237" s="117">
        <v>0</v>
      </c>
      <c r="AK237" s="117">
        <v>6</v>
      </c>
      <c r="AL237" s="117">
        <v>0</v>
      </c>
      <c r="AM237" s="117">
        <v>11</v>
      </c>
      <c r="AN237" s="117">
        <v>42</v>
      </c>
      <c r="AO237" s="117">
        <v>0</v>
      </c>
      <c r="AP237" s="117">
        <v>4</v>
      </c>
      <c r="AQ237" s="117">
        <v>55</v>
      </c>
      <c r="AR237" s="44"/>
      <c r="AS237" s="44"/>
      <c r="AT237" s="46"/>
      <c r="AU237" s="62" t="s">
        <v>887</v>
      </c>
    </row>
    <row r="238" spans="1:47" ht="16.5" customHeight="1">
      <c r="A238" s="76" t="s">
        <v>374</v>
      </c>
      <c r="B238" s="41" t="s">
        <v>882</v>
      </c>
      <c r="C238" s="5" t="s">
        <v>883</v>
      </c>
      <c r="D238" s="77" t="s">
        <v>940</v>
      </c>
      <c r="E238" s="48"/>
      <c r="F238" s="76" t="s">
        <v>375</v>
      </c>
      <c r="G238" s="121" t="s">
        <v>843</v>
      </c>
      <c r="H238" s="122" t="s">
        <v>842</v>
      </c>
      <c r="I238" s="123" t="s">
        <v>885</v>
      </c>
      <c r="J238" s="124">
        <v>2</v>
      </c>
      <c r="K238" s="117">
        <v>1</v>
      </c>
      <c r="L238" s="117">
        <v>3</v>
      </c>
      <c r="M238" s="116">
        <v>7</v>
      </c>
      <c r="N238" s="116">
        <v>1</v>
      </c>
      <c r="O238" s="116">
        <v>0</v>
      </c>
      <c r="P238" s="43">
        <v>3</v>
      </c>
      <c r="Q238" s="116">
        <v>1</v>
      </c>
      <c r="R238" s="116">
        <v>2</v>
      </c>
      <c r="S238" s="116">
        <v>0</v>
      </c>
      <c r="T238" s="116">
        <v>0</v>
      </c>
      <c r="U238" s="116">
        <v>0</v>
      </c>
      <c r="V238" s="116">
        <v>0</v>
      </c>
      <c r="W238" s="116">
        <v>0</v>
      </c>
      <c r="X238" s="116">
        <v>0</v>
      </c>
      <c r="Y238" s="116">
        <v>0</v>
      </c>
      <c r="Z238" s="116">
        <v>7</v>
      </c>
      <c r="AA238" s="116">
        <v>2</v>
      </c>
      <c r="AB238" s="116">
        <v>0</v>
      </c>
      <c r="AC238" s="116">
        <v>0</v>
      </c>
      <c r="AD238" s="116">
        <v>0</v>
      </c>
      <c r="AE238" s="116">
        <v>0</v>
      </c>
      <c r="AF238" s="116">
        <v>0</v>
      </c>
      <c r="AG238" s="116">
        <v>0</v>
      </c>
      <c r="AH238" s="116">
        <v>0</v>
      </c>
      <c r="AI238" s="116">
        <v>1</v>
      </c>
      <c r="AJ238" s="117">
        <v>0</v>
      </c>
      <c r="AK238" s="117">
        <v>7</v>
      </c>
      <c r="AL238" s="117">
        <v>0</v>
      </c>
      <c r="AM238" s="117">
        <v>2</v>
      </c>
      <c r="AN238" s="117">
        <v>41</v>
      </c>
      <c r="AO238" s="117">
        <v>0</v>
      </c>
      <c r="AP238" s="117">
        <v>5</v>
      </c>
      <c r="AQ238" s="117">
        <v>45</v>
      </c>
      <c r="AR238" s="44"/>
      <c r="AS238" s="44"/>
      <c r="AT238" s="46"/>
      <c r="AU238" s="62" t="s">
        <v>904</v>
      </c>
    </row>
    <row r="239" spans="1:47" ht="16.5" customHeight="1">
      <c r="A239" s="76" t="s">
        <v>503</v>
      </c>
      <c r="B239" s="41" t="s">
        <v>882</v>
      </c>
      <c r="C239" s="5" t="s">
        <v>883</v>
      </c>
      <c r="D239" s="77" t="s">
        <v>940</v>
      </c>
      <c r="E239" s="48"/>
      <c r="F239" s="76" t="s">
        <v>504</v>
      </c>
      <c r="G239" s="121" t="s">
        <v>843</v>
      </c>
      <c r="H239" s="122" t="s">
        <v>842</v>
      </c>
      <c r="I239" s="123" t="s">
        <v>885</v>
      </c>
      <c r="J239" s="124">
        <v>2</v>
      </c>
      <c r="K239" s="117">
        <v>1</v>
      </c>
      <c r="L239" s="117">
        <v>1</v>
      </c>
      <c r="M239" s="116">
        <v>6</v>
      </c>
      <c r="N239" s="116">
        <v>5</v>
      </c>
      <c r="O239" s="116">
        <v>0</v>
      </c>
      <c r="P239" s="43">
        <v>8</v>
      </c>
      <c r="Q239" s="116">
        <v>8</v>
      </c>
      <c r="R239" s="116">
        <v>0</v>
      </c>
      <c r="S239" s="116">
        <v>0</v>
      </c>
      <c r="T239" s="116">
        <v>1</v>
      </c>
      <c r="U239" s="116">
        <v>0</v>
      </c>
      <c r="V239" s="116">
        <v>0</v>
      </c>
      <c r="W239" s="116">
        <v>0</v>
      </c>
      <c r="X239" s="116">
        <v>0</v>
      </c>
      <c r="Y239" s="116">
        <v>0</v>
      </c>
      <c r="Z239" s="116">
        <v>12</v>
      </c>
      <c r="AA239" s="116">
        <v>4</v>
      </c>
      <c r="AB239" s="116">
        <v>0</v>
      </c>
      <c r="AC239" s="116">
        <v>0</v>
      </c>
      <c r="AD239" s="116">
        <v>0</v>
      </c>
      <c r="AE239" s="116">
        <v>0</v>
      </c>
      <c r="AF239" s="116">
        <v>0</v>
      </c>
      <c r="AG239" s="116">
        <v>0</v>
      </c>
      <c r="AH239" s="116">
        <v>0</v>
      </c>
      <c r="AI239" s="116">
        <v>1</v>
      </c>
      <c r="AJ239" s="117">
        <v>0</v>
      </c>
      <c r="AK239" s="117">
        <v>9</v>
      </c>
      <c r="AL239" s="117">
        <v>0</v>
      </c>
      <c r="AM239" s="117">
        <v>16</v>
      </c>
      <c r="AN239" s="117">
        <v>36</v>
      </c>
      <c r="AO239" s="117">
        <v>0</v>
      </c>
      <c r="AP239" s="117">
        <v>7</v>
      </c>
      <c r="AQ239" s="117">
        <v>54</v>
      </c>
      <c r="AR239" s="44"/>
      <c r="AS239" s="44"/>
      <c r="AT239" s="46"/>
      <c r="AU239" s="62" t="s">
        <v>893</v>
      </c>
    </row>
    <row r="240" spans="1:47" ht="16.5" customHeight="1">
      <c r="A240" s="76" t="s">
        <v>765</v>
      </c>
      <c r="B240" s="41" t="s">
        <v>882</v>
      </c>
      <c r="C240" s="5" t="s">
        <v>883</v>
      </c>
      <c r="D240" s="77" t="s">
        <v>940</v>
      </c>
      <c r="E240" s="49"/>
      <c r="F240" s="76" t="s">
        <v>766</v>
      </c>
      <c r="G240" s="121" t="s">
        <v>843</v>
      </c>
      <c r="H240" s="122"/>
      <c r="I240" s="123" t="s">
        <v>888</v>
      </c>
      <c r="J240" s="124">
        <v>2</v>
      </c>
      <c r="K240" s="117">
        <v>2</v>
      </c>
      <c r="L240" s="117">
        <v>0</v>
      </c>
      <c r="M240" s="116">
        <v>18</v>
      </c>
      <c r="N240" s="116">
        <v>16</v>
      </c>
      <c r="O240" s="116">
        <v>1</v>
      </c>
      <c r="P240" s="43">
        <v>3</v>
      </c>
      <c r="Q240" s="116">
        <v>2</v>
      </c>
      <c r="R240" s="116">
        <v>1</v>
      </c>
      <c r="S240" s="116">
        <v>0</v>
      </c>
      <c r="T240" s="116">
        <v>0</v>
      </c>
      <c r="U240" s="116">
        <v>0</v>
      </c>
      <c r="V240" s="116">
        <v>0</v>
      </c>
      <c r="W240" s="116">
        <v>0</v>
      </c>
      <c r="X240" s="116">
        <v>0</v>
      </c>
      <c r="Y240" s="116">
        <v>0</v>
      </c>
      <c r="Z240" s="116">
        <v>14</v>
      </c>
      <c r="AA240" s="116">
        <v>12</v>
      </c>
      <c r="AB240" s="116">
        <v>12</v>
      </c>
      <c r="AC240" s="116">
        <v>0</v>
      </c>
      <c r="AD240" s="116">
        <v>0</v>
      </c>
      <c r="AE240" s="116">
        <v>0</v>
      </c>
      <c r="AF240" s="116">
        <v>0</v>
      </c>
      <c r="AG240" s="116">
        <v>0</v>
      </c>
      <c r="AH240" s="116">
        <v>0</v>
      </c>
      <c r="AI240" s="116">
        <v>1</v>
      </c>
      <c r="AJ240" s="117">
        <v>0</v>
      </c>
      <c r="AK240" s="117">
        <v>9</v>
      </c>
      <c r="AL240" s="117">
        <v>0</v>
      </c>
      <c r="AM240" s="117">
        <v>0</v>
      </c>
      <c r="AN240" s="117">
        <v>69</v>
      </c>
      <c r="AO240" s="117">
        <v>0</v>
      </c>
      <c r="AP240" s="117">
        <v>9</v>
      </c>
      <c r="AQ240" s="117">
        <v>69</v>
      </c>
      <c r="AR240" s="44"/>
      <c r="AS240" s="44"/>
      <c r="AT240" s="46"/>
      <c r="AU240" s="62" t="s">
        <v>887</v>
      </c>
    </row>
    <row r="241" spans="1:47" ht="16.5" customHeight="1">
      <c r="A241" s="76" t="s">
        <v>560</v>
      </c>
      <c r="B241" s="41" t="s">
        <v>882</v>
      </c>
      <c r="C241" s="5" t="s">
        <v>883</v>
      </c>
      <c r="D241" s="77" t="s">
        <v>940</v>
      </c>
      <c r="E241" s="47"/>
      <c r="F241" s="76" t="s">
        <v>561</v>
      </c>
      <c r="G241" s="121" t="s">
        <v>843</v>
      </c>
      <c r="H241" s="122" t="s">
        <v>842</v>
      </c>
      <c r="I241" s="123" t="s">
        <v>885</v>
      </c>
      <c r="J241" s="124">
        <v>2</v>
      </c>
      <c r="K241" s="117">
        <v>1</v>
      </c>
      <c r="L241" s="117">
        <v>1</v>
      </c>
      <c r="M241" s="116">
        <v>9</v>
      </c>
      <c r="N241" s="116">
        <v>8</v>
      </c>
      <c r="O241" s="116">
        <v>0</v>
      </c>
      <c r="P241" s="43">
        <v>0</v>
      </c>
      <c r="Q241" s="116">
        <v>0</v>
      </c>
      <c r="R241" s="116">
        <v>0</v>
      </c>
      <c r="S241" s="116">
        <v>0</v>
      </c>
      <c r="T241" s="116">
        <v>0</v>
      </c>
      <c r="U241" s="116">
        <v>0</v>
      </c>
      <c r="V241" s="116">
        <v>0</v>
      </c>
      <c r="W241" s="116">
        <v>7</v>
      </c>
      <c r="X241" s="116">
        <v>6</v>
      </c>
      <c r="Y241" s="116">
        <v>0</v>
      </c>
      <c r="Z241" s="116">
        <v>1</v>
      </c>
      <c r="AA241" s="116">
        <v>1</v>
      </c>
      <c r="AB241" s="116">
        <v>0</v>
      </c>
      <c r="AC241" s="116">
        <v>0</v>
      </c>
      <c r="AD241" s="116">
        <v>0</v>
      </c>
      <c r="AE241" s="116">
        <v>0</v>
      </c>
      <c r="AF241" s="116">
        <v>0</v>
      </c>
      <c r="AG241" s="116">
        <v>0</v>
      </c>
      <c r="AH241" s="116">
        <v>0</v>
      </c>
      <c r="AI241" s="116">
        <v>1</v>
      </c>
      <c r="AJ241" s="117">
        <v>0</v>
      </c>
      <c r="AK241" s="117">
        <v>11</v>
      </c>
      <c r="AL241" s="117">
        <v>0</v>
      </c>
      <c r="AM241" s="117">
        <v>17</v>
      </c>
      <c r="AN241" s="117">
        <v>32</v>
      </c>
      <c r="AO241" s="117">
        <v>0</v>
      </c>
      <c r="AP241" s="117">
        <v>6</v>
      </c>
      <c r="AQ241" s="117">
        <v>54</v>
      </c>
      <c r="AR241" s="44"/>
      <c r="AS241" s="44"/>
      <c r="AT241" s="46"/>
      <c r="AU241" s="62" t="s">
        <v>891</v>
      </c>
    </row>
    <row r="242" spans="1:47" ht="16.5" customHeight="1">
      <c r="A242" s="76" t="s">
        <v>100</v>
      </c>
      <c r="B242" s="41" t="s">
        <v>882</v>
      </c>
      <c r="C242" s="5" t="s">
        <v>883</v>
      </c>
      <c r="D242" s="77" t="s">
        <v>940</v>
      </c>
      <c r="E242" s="48"/>
      <c r="F242" s="76" t="s">
        <v>101</v>
      </c>
      <c r="G242" s="121" t="s">
        <v>843</v>
      </c>
      <c r="H242" s="122" t="s">
        <v>842</v>
      </c>
      <c r="I242" s="123" t="s">
        <v>888</v>
      </c>
      <c r="J242" s="124">
        <v>2</v>
      </c>
      <c r="K242" s="117">
        <v>3</v>
      </c>
      <c r="L242" s="117">
        <v>1</v>
      </c>
      <c r="M242" s="116">
        <v>12</v>
      </c>
      <c r="N242" s="116">
        <v>2</v>
      </c>
      <c r="O242" s="116">
        <v>0</v>
      </c>
      <c r="P242" s="43">
        <v>15</v>
      </c>
      <c r="Q242" s="116">
        <v>13</v>
      </c>
      <c r="R242" s="116">
        <v>2</v>
      </c>
      <c r="S242" s="116">
        <v>0</v>
      </c>
      <c r="T242" s="116">
        <v>12</v>
      </c>
      <c r="U242" s="116">
        <v>1</v>
      </c>
      <c r="V242" s="116">
        <v>0</v>
      </c>
      <c r="W242" s="116">
        <v>0</v>
      </c>
      <c r="X242" s="116">
        <v>0</v>
      </c>
      <c r="Y242" s="116">
        <v>0</v>
      </c>
      <c r="Z242" s="116">
        <v>13</v>
      </c>
      <c r="AA242" s="116">
        <v>2</v>
      </c>
      <c r="AB242" s="116">
        <v>0</v>
      </c>
      <c r="AC242" s="116">
        <v>0</v>
      </c>
      <c r="AD242" s="116">
        <v>0</v>
      </c>
      <c r="AE242" s="116">
        <v>0</v>
      </c>
      <c r="AF242" s="116">
        <v>0</v>
      </c>
      <c r="AG242" s="116">
        <v>0</v>
      </c>
      <c r="AH242" s="116">
        <v>0</v>
      </c>
      <c r="AI242" s="116">
        <v>1</v>
      </c>
      <c r="AJ242" s="117">
        <v>0</v>
      </c>
      <c r="AK242" s="117">
        <v>9</v>
      </c>
      <c r="AL242" s="117">
        <v>0</v>
      </c>
      <c r="AM242" s="117">
        <v>0</v>
      </c>
      <c r="AN242" s="117">
        <v>60</v>
      </c>
      <c r="AO242" s="117">
        <v>0</v>
      </c>
      <c r="AP242" s="117">
        <v>7</v>
      </c>
      <c r="AQ242" s="117">
        <v>62</v>
      </c>
      <c r="AR242" s="44"/>
      <c r="AS242" s="44"/>
      <c r="AT242" s="46"/>
      <c r="AU242" s="62" t="s">
        <v>946</v>
      </c>
    </row>
    <row r="243" spans="1:47" ht="16.5" customHeight="1">
      <c r="A243" s="76" t="s">
        <v>777</v>
      </c>
      <c r="B243" s="41" t="s">
        <v>882</v>
      </c>
      <c r="C243" s="5" t="s">
        <v>883</v>
      </c>
      <c r="D243" s="77" t="s">
        <v>940</v>
      </c>
      <c r="E243" s="48"/>
      <c r="F243" s="76" t="s">
        <v>778</v>
      </c>
      <c r="G243" s="121" t="s">
        <v>843</v>
      </c>
      <c r="H243" s="122" t="s">
        <v>842</v>
      </c>
      <c r="I243" s="123" t="s">
        <v>888</v>
      </c>
      <c r="J243" s="124">
        <v>2</v>
      </c>
      <c r="K243" s="117">
        <v>1</v>
      </c>
      <c r="L243" s="117">
        <v>1</v>
      </c>
      <c r="M243" s="116">
        <v>13</v>
      </c>
      <c r="N243" s="116">
        <v>6</v>
      </c>
      <c r="O243" s="116">
        <v>0</v>
      </c>
      <c r="P243" s="43">
        <v>0</v>
      </c>
      <c r="Q243" s="116">
        <v>0</v>
      </c>
      <c r="R243" s="116">
        <v>0</v>
      </c>
      <c r="S243" s="116">
        <v>0</v>
      </c>
      <c r="T243" s="116">
        <v>0</v>
      </c>
      <c r="U243" s="116">
        <v>0</v>
      </c>
      <c r="V243" s="116">
        <v>0</v>
      </c>
      <c r="W243" s="116">
        <v>0</v>
      </c>
      <c r="X243" s="116">
        <v>0</v>
      </c>
      <c r="Y243" s="116">
        <v>0</v>
      </c>
      <c r="Z243" s="116">
        <v>12</v>
      </c>
      <c r="AA243" s="116">
        <v>5</v>
      </c>
      <c r="AB243" s="116">
        <v>0</v>
      </c>
      <c r="AC243" s="116">
        <v>0</v>
      </c>
      <c r="AD243" s="116">
        <v>0</v>
      </c>
      <c r="AE243" s="116">
        <v>0</v>
      </c>
      <c r="AF243" s="116">
        <v>0</v>
      </c>
      <c r="AG243" s="116">
        <v>0</v>
      </c>
      <c r="AH243" s="116">
        <v>0</v>
      </c>
      <c r="AI243" s="116">
        <v>1</v>
      </c>
      <c r="AJ243" s="117">
        <v>0</v>
      </c>
      <c r="AK243" s="117">
        <v>8</v>
      </c>
      <c r="AL243" s="117">
        <v>0</v>
      </c>
      <c r="AM243" s="117">
        <v>0</v>
      </c>
      <c r="AN243" s="117">
        <v>52</v>
      </c>
      <c r="AO243" s="117">
        <v>0</v>
      </c>
      <c r="AP243" s="117">
        <v>8</v>
      </c>
      <c r="AQ243" s="117">
        <v>53</v>
      </c>
      <c r="AR243" s="44"/>
      <c r="AS243" s="44"/>
      <c r="AT243" s="46"/>
      <c r="AU243" s="62" t="s">
        <v>934</v>
      </c>
    </row>
    <row r="244" spans="1:47" ht="16.5" customHeight="1">
      <c r="A244" s="76" t="s">
        <v>506</v>
      </c>
      <c r="B244" s="41" t="s">
        <v>882</v>
      </c>
      <c r="C244" s="5" t="s">
        <v>883</v>
      </c>
      <c r="D244" s="77" t="s">
        <v>940</v>
      </c>
      <c r="E244" s="49"/>
      <c r="F244" s="76" t="s">
        <v>507</v>
      </c>
      <c r="G244" s="121" t="s">
        <v>843</v>
      </c>
      <c r="H244" s="122" t="s">
        <v>842</v>
      </c>
      <c r="I244" s="123" t="s">
        <v>888</v>
      </c>
      <c r="J244" s="124">
        <v>2</v>
      </c>
      <c r="K244" s="117">
        <v>0</v>
      </c>
      <c r="L244" s="117">
        <v>0</v>
      </c>
      <c r="M244" s="116">
        <v>13</v>
      </c>
      <c r="N244" s="116">
        <v>4</v>
      </c>
      <c r="O244" s="116">
        <v>1</v>
      </c>
      <c r="P244" s="43">
        <v>0</v>
      </c>
      <c r="Q244" s="116">
        <v>0</v>
      </c>
      <c r="R244" s="116">
        <v>0</v>
      </c>
      <c r="S244" s="116">
        <v>0</v>
      </c>
      <c r="T244" s="116">
        <v>0</v>
      </c>
      <c r="U244" s="116">
        <v>0</v>
      </c>
      <c r="V244" s="116">
        <v>0</v>
      </c>
      <c r="W244" s="116">
        <v>0</v>
      </c>
      <c r="X244" s="116">
        <v>0</v>
      </c>
      <c r="Y244" s="116">
        <v>0</v>
      </c>
      <c r="Z244" s="116">
        <v>11</v>
      </c>
      <c r="AA244" s="116">
        <v>3</v>
      </c>
      <c r="AB244" s="116">
        <v>4</v>
      </c>
      <c r="AC244" s="116">
        <v>0</v>
      </c>
      <c r="AD244" s="116">
        <v>0</v>
      </c>
      <c r="AE244" s="116">
        <v>0</v>
      </c>
      <c r="AF244" s="116">
        <v>0</v>
      </c>
      <c r="AG244" s="116">
        <v>0</v>
      </c>
      <c r="AH244" s="116">
        <v>0</v>
      </c>
      <c r="AI244" s="116">
        <v>1</v>
      </c>
      <c r="AJ244" s="117">
        <v>0</v>
      </c>
      <c r="AK244" s="117">
        <v>6</v>
      </c>
      <c r="AL244" s="117">
        <v>0</v>
      </c>
      <c r="AM244" s="117">
        <v>25</v>
      </c>
      <c r="AN244" s="117">
        <v>27</v>
      </c>
      <c r="AO244" s="117">
        <v>0</v>
      </c>
      <c r="AP244" s="117">
        <v>3</v>
      </c>
      <c r="AQ244" s="117">
        <v>53</v>
      </c>
      <c r="AR244" s="44"/>
      <c r="AS244" s="44"/>
      <c r="AT244" s="46"/>
      <c r="AU244" s="62" t="s">
        <v>893</v>
      </c>
    </row>
    <row r="245" spans="1:47" ht="16.5" customHeight="1">
      <c r="A245" s="76" t="s">
        <v>33</v>
      </c>
      <c r="B245" s="41" t="s">
        <v>882</v>
      </c>
      <c r="C245" s="5" t="s">
        <v>883</v>
      </c>
      <c r="D245" s="77" t="s">
        <v>940</v>
      </c>
      <c r="E245" s="48"/>
      <c r="F245" s="76" t="s">
        <v>34</v>
      </c>
      <c r="G245" s="121" t="s">
        <v>843</v>
      </c>
      <c r="H245" s="122"/>
      <c r="I245" s="123" t="s">
        <v>885</v>
      </c>
      <c r="J245" s="124">
        <v>2</v>
      </c>
      <c r="K245" s="117">
        <v>1</v>
      </c>
      <c r="L245" s="117">
        <v>1</v>
      </c>
      <c r="M245" s="116">
        <v>13</v>
      </c>
      <c r="N245" s="116">
        <v>6</v>
      </c>
      <c r="O245" s="116">
        <v>0</v>
      </c>
      <c r="P245" s="43">
        <v>13</v>
      </c>
      <c r="Q245" s="116">
        <v>12</v>
      </c>
      <c r="R245" s="116">
        <v>1</v>
      </c>
      <c r="S245" s="116">
        <v>0</v>
      </c>
      <c r="T245" s="116">
        <v>3</v>
      </c>
      <c r="U245" s="116">
        <v>0</v>
      </c>
      <c r="V245" s="116">
        <v>0</v>
      </c>
      <c r="W245" s="116">
        <v>4</v>
      </c>
      <c r="X245" s="116">
        <v>1</v>
      </c>
      <c r="Y245" s="116">
        <v>0</v>
      </c>
      <c r="Z245" s="116">
        <v>0</v>
      </c>
      <c r="AA245" s="116">
        <v>0</v>
      </c>
      <c r="AB245" s="116">
        <v>0</v>
      </c>
      <c r="AC245" s="116">
        <v>17</v>
      </c>
      <c r="AD245" s="116">
        <v>5</v>
      </c>
      <c r="AE245" s="116">
        <v>0</v>
      </c>
      <c r="AF245" s="116">
        <v>0</v>
      </c>
      <c r="AG245" s="116">
        <v>0</v>
      </c>
      <c r="AH245" s="116">
        <v>0</v>
      </c>
      <c r="AI245" s="116">
        <v>1</v>
      </c>
      <c r="AJ245" s="117">
        <v>0</v>
      </c>
      <c r="AK245" s="117">
        <v>2</v>
      </c>
      <c r="AL245" s="117">
        <v>0</v>
      </c>
      <c r="AM245" s="117">
        <v>0</v>
      </c>
      <c r="AN245" s="117">
        <v>10</v>
      </c>
      <c r="AO245" s="117">
        <v>0</v>
      </c>
      <c r="AP245" s="117">
        <v>1</v>
      </c>
      <c r="AQ245" s="117">
        <v>11</v>
      </c>
      <c r="AR245" s="44"/>
      <c r="AS245" s="44"/>
      <c r="AT245" s="46"/>
      <c r="AU245" s="62" t="s">
        <v>927</v>
      </c>
    </row>
    <row r="246" spans="1:47" ht="16.5" customHeight="1">
      <c r="A246" s="76" t="s">
        <v>377</v>
      </c>
      <c r="B246" s="41" t="s">
        <v>882</v>
      </c>
      <c r="C246" s="5" t="s">
        <v>883</v>
      </c>
      <c r="D246" s="77" t="s">
        <v>940</v>
      </c>
      <c r="E246" s="48"/>
      <c r="F246" s="76" t="s">
        <v>378</v>
      </c>
      <c r="G246" s="121"/>
      <c r="H246" s="122"/>
      <c r="I246" s="123" t="s">
        <v>885</v>
      </c>
      <c r="J246" s="124">
        <v>0</v>
      </c>
      <c r="K246" s="117">
        <v>1</v>
      </c>
      <c r="L246" s="117">
        <v>1</v>
      </c>
      <c r="M246" s="116">
        <v>13</v>
      </c>
      <c r="N246" s="116">
        <v>6</v>
      </c>
      <c r="O246" s="116">
        <v>0</v>
      </c>
      <c r="P246" s="43">
        <v>13</v>
      </c>
      <c r="Q246" s="116">
        <v>12</v>
      </c>
      <c r="R246" s="116">
        <v>1</v>
      </c>
      <c r="S246" s="116">
        <v>0</v>
      </c>
      <c r="T246" s="116">
        <v>3</v>
      </c>
      <c r="U246" s="116">
        <v>0</v>
      </c>
      <c r="V246" s="116">
        <v>0</v>
      </c>
      <c r="W246" s="116">
        <v>4</v>
      </c>
      <c r="X246" s="116">
        <v>1</v>
      </c>
      <c r="Y246" s="116">
        <v>0</v>
      </c>
      <c r="Z246" s="116">
        <v>0</v>
      </c>
      <c r="AA246" s="116">
        <v>0</v>
      </c>
      <c r="AB246" s="116">
        <v>0</v>
      </c>
      <c r="AC246" s="116">
        <v>17</v>
      </c>
      <c r="AD246" s="116">
        <v>5</v>
      </c>
      <c r="AE246" s="116">
        <v>0</v>
      </c>
      <c r="AF246" s="116">
        <v>0</v>
      </c>
      <c r="AG246" s="116">
        <v>0</v>
      </c>
      <c r="AH246" s="116">
        <v>0</v>
      </c>
      <c r="AI246" s="116">
        <v>0</v>
      </c>
      <c r="AJ246" s="117">
        <v>0</v>
      </c>
      <c r="AK246" s="117">
        <v>1</v>
      </c>
      <c r="AL246" s="117">
        <v>0</v>
      </c>
      <c r="AM246" s="117">
        <v>0</v>
      </c>
      <c r="AN246" s="117">
        <v>4</v>
      </c>
      <c r="AO246" s="117">
        <v>0</v>
      </c>
      <c r="AP246" s="117">
        <v>0</v>
      </c>
      <c r="AQ246" s="117">
        <v>5</v>
      </c>
      <c r="AR246" s="44"/>
      <c r="AS246" s="44"/>
      <c r="AT246" s="46"/>
      <c r="AU246" s="62" t="s">
        <v>927</v>
      </c>
    </row>
    <row r="247" spans="1:47" ht="16.5" customHeight="1">
      <c r="A247" s="76" t="s">
        <v>383</v>
      </c>
      <c r="B247" s="41" t="s">
        <v>882</v>
      </c>
      <c r="C247" s="5" t="s">
        <v>883</v>
      </c>
      <c r="D247" s="77" t="s">
        <v>940</v>
      </c>
      <c r="E247" s="47"/>
      <c r="F247" s="76" t="s">
        <v>384</v>
      </c>
      <c r="G247" s="121" t="s">
        <v>843</v>
      </c>
      <c r="H247" s="122" t="s">
        <v>842</v>
      </c>
      <c r="I247" s="123" t="s">
        <v>888</v>
      </c>
      <c r="J247" s="124">
        <v>2</v>
      </c>
      <c r="K247" s="117">
        <v>1</v>
      </c>
      <c r="L247" s="117">
        <v>0</v>
      </c>
      <c r="M247" s="116">
        <v>11</v>
      </c>
      <c r="N247" s="116">
        <v>7</v>
      </c>
      <c r="O247" s="116">
        <v>1</v>
      </c>
      <c r="P247" s="43">
        <v>1</v>
      </c>
      <c r="Q247" s="116">
        <v>1</v>
      </c>
      <c r="R247" s="116">
        <v>0</v>
      </c>
      <c r="S247" s="116">
        <v>0</v>
      </c>
      <c r="T247" s="116">
        <v>3</v>
      </c>
      <c r="U247" s="116">
        <v>4</v>
      </c>
      <c r="V247" s="116">
        <v>0</v>
      </c>
      <c r="W247" s="116">
        <v>0</v>
      </c>
      <c r="X247" s="116">
        <v>0</v>
      </c>
      <c r="Y247" s="116">
        <v>0</v>
      </c>
      <c r="Z247" s="116">
        <v>7</v>
      </c>
      <c r="AA247" s="116">
        <v>2</v>
      </c>
      <c r="AB247" s="116">
        <v>3</v>
      </c>
      <c r="AC247" s="116">
        <v>0</v>
      </c>
      <c r="AD247" s="116">
        <v>0</v>
      </c>
      <c r="AE247" s="116">
        <v>0</v>
      </c>
      <c r="AF247" s="116">
        <v>0</v>
      </c>
      <c r="AG247" s="116">
        <v>0</v>
      </c>
      <c r="AH247" s="116">
        <v>0</v>
      </c>
      <c r="AI247" s="116">
        <v>1</v>
      </c>
      <c r="AJ247" s="117">
        <v>0</v>
      </c>
      <c r="AK247" s="117">
        <v>7</v>
      </c>
      <c r="AL247" s="117">
        <v>0</v>
      </c>
      <c r="AM247" s="117">
        <v>0</v>
      </c>
      <c r="AN247" s="117">
        <v>34</v>
      </c>
      <c r="AO247" s="117">
        <v>0</v>
      </c>
      <c r="AP247" s="117">
        <v>2</v>
      </c>
      <c r="AQ247" s="117">
        <v>37</v>
      </c>
      <c r="AR247" s="44"/>
      <c r="AS247" s="44"/>
      <c r="AT247" s="46"/>
      <c r="AU247" s="62" t="s">
        <v>947</v>
      </c>
    </row>
    <row r="248" spans="1:47" ht="16.5" customHeight="1">
      <c r="A248" s="76" t="s">
        <v>512</v>
      </c>
      <c r="B248" s="41" t="s">
        <v>882</v>
      </c>
      <c r="C248" s="5" t="s">
        <v>883</v>
      </c>
      <c r="D248" s="77" t="s">
        <v>940</v>
      </c>
      <c r="E248" s="48"/>
      <c r="F248" s="76" t="s">
        <v>513</v>
      </c>
      <c r="G248" s="121" t="s">
        <v>843</v>
      </c>
      <c r="H248" s="122"/>
      <c r="I248" s="123" t="s">
        <v>888</v>
      </c>
      <c r="J248" s="124">
        <v>2</v>
      </c>
      <c r="K248" s="117">
        <v>1</v>
      </c>
      <c r="L248" s="117">
        <v>0</v>
      </c>
      <c r="M248" s="116">
        <v>9</v>
      </c>
      <c r="N248" s="116">
        <v>3</v>
      </c>
      <c r="O248" s="116">
        <v>1</v>
      </c>
      <c r="P248" s="43">
        <v>1</v>
      </c>
      <c r="Q248" s="116">
        <v>1</v>
      </c>
      <c r="R248" s="116">
        <v>0</v>
      </c>
      <c r="S248" s="116">
        <v>0</v>
      </c>
      <c r="T248" s="116">
        <v>2</v>
      </c>
      <c r="U248" s="116">
        <v>0</v>
      </c>
      <c r="V248" s="116">
        <v>0</v>
      </c>
      <c r="W248" s="116">
        <v>1</v>
      </c>
      <c r="X248" s="116">
        <v>1</v>
      </c>
      <c r="Y248" s="116">
        <v>1</v>
      </c>
      <c r="Z248" s="116">
        <v>0</v>
      </c>
      <c r="AA248" s="116">
        <v>0</v>
      </c>
      <c r="AB248" s="116">
        <v>0</v>
      </c>
      <c r="AC248" s="116">
        <v>5</v>
      </c>
      <c r="AD248" s="116">
        <v>2</v>
      </c>
      <c r="AE248" s="116">
        <v>3</v>
      </c>
      <c r="AF248" s="116">
        <v>0</v>
      </c>
      <c r="AG248" s="116">
        <v>0</v>
      </c>
      <c r="AH248" s="116">
        <v>0</v>
      </c>
      <c r="AI248" s="116">
        <v>1</v>
      </c>
      <c r="AJ248" s="117">
        <v>1</v>
      </c>
      <c r="AK248" s="117">
        <v>6</v>
      </c>
      <c r="AL248" s="117">
        <v>0</v>
      </c>
      <c r="AM248" s="117">
        <v>17</v>
      </c>
      <c r="AN248" s="117">
        <v>36</v>
      </c>
      <c r="AO248" s="117">
        <v>0</v>
      </c>
      <c r="AP248" s="117">
        <v>5</v>
      </c>
      <c r="AQ248" s="117">
        <v>55</v>
      </c>
      <c r="AR248" s="44"/>
      <c r="AS248" s="44"/>
      <c r="AT248" s="46"/>
      <c r="AU248" s="62" t="s">
        <v>887</v>
      </c>
    </row>
    <row r="249" spans="1:47" ht="16.5" customHeight="1">
      <c r="A249" s="76" t="s">
        <v>515</v>
      </c>
      <c r="B249" s="41" t="s">
        <v>882</v>
      </c>
      <c r="C249" s="5" t="s">
        <v>883</v>
      </c>
      <c r="D249" s="77" t="s">
        <v>940</v>
      </c>
      <c r="E249" s="47"/>
      <c r="F249" s="76" t="s">
        <v>516</v>
      </c>
      <c r="G249" s="121" t="s">
        <v>843</v>
      </c>
      <c r="H249" s="122"/>
      <c r="I249" s="123" t="s">
        <v>885</v>
      </c>
      <c r="J249" s="124">
        <v>2</v>
      </c>
      <c r="K249" s="117">
        <v>1</v>
      </c>
      <c r="L249" s="117">
        <v>1</v>
      </c>
      <c r="M249" s="116">
        <v>5</v>
      </c>
      <c r="N249" s="116">
        <v>2</v>
      </c>
      <c r="O249" s="116">
        <v>0</v>
      </c>
      <c r="P249" s="43">
        <v>7</v>
      </c>
      <c r="Q249" s="116">
        <v>3</v>
      </c>
      <c r="R249" s="116">
        <v>4</v>
      </c>
      <c r="S249" s="116">
        <v>0</v>
      </c>
      <c r="T249" s="116">
        <v>0</v>
      </c>
      <c r="U249" s="116">
        <v>0</v>
      </c>
      <c r="V249" s="116">
        <v>0</v>
      </c>
      <c r="W249" s="116">
        <v>0</v>
      </c>
      <c r="X249" s="116">
        <v>0</v>
      </c>
      <c r="Y249" s="116">
        <v>0</v>
      </c>
      <c r="Z249" s="116">
        <v>7</v>
      </c>
      <c r="AA249" s="116">
        <v>5</v>
      </c>
      <c r="AB249" s="116">
        <v>0</v>
      </c>
      <c r="AC249" s="116">
        <v>0</v>
      </c>
      <c r="AD249" s="116">
        <v>0</v>
      </c>
      <c r="AE249" s="116">
        <v>0</v>
      </c>
      <c r="AF249" s="116">
        <v>0</v>
      </c>
      <c r="AG249" s="116">
        <v>0</v>
      </c>
      <c r="AH249" s="116">
        <v>0</v>
      </c>
      <c r="AI249" s="116">
        <v>1</v>
      </c>
      <c r="AJ249" s="117">
        <v>1</v>
      </c>
      <c r="AK249" s="117">
        <v>2</v>
      </c>
      <c r="AL249" s="117">
        <v>0</v>
      </c>
      <c r="AM249" s="117">
        <v>4</v>
      </c>
      <c r="AN249" s="117">
        <v>17</v>
      </c>
      <c r="AO249" s="117">
        <v>0</v>
      </c>
      <c r="AP249" s="117">
        <v>1</v>
      </c>
      <c r="AQ249" s="117">
        <v>23</v>
      </c>
      <c r="AR249" s="44"/>
      <c r="AS249" s="44"/>
      <c r="AT249" s="46"/>
      <c r="AU249" s="62" t="s">
        <v>891</v>
      </c>
    </row>
    <row r="250" spans="1:47" ht="16.5" customHeight="1">
      <c r="A250" s="76" t="s">
        <v>793</v>
      </c>
      <c r="B250" s="41" t="s">
        <v>882</v>
      </c>
      <c r="C250" s="5" t="s">
        <v>883</v>
      </c>
      <c r="D250" s="77" t="s">
        <v>940</v>
      </c>
      <c r="E250" s="48"/>
      <c r="F250" s="76" t="s">
        <v>794</v>
      </c>
      <c r="G250" s="121" t="s">
        <v>843</v>
      </c>
      <c r="H250" s="122"/>
      <c r="I250" s="123" t="s">
        <v>885</v>
      </c>
      <c r="J250" s="124">
        <v>2</v>
      </c>
      <c r="K250" s="117">
        <v>7</v>
      </c>
      <c r="L250" s="117">
        <v>1</v>
      </c>
      <c r="M250" s="116">
        <v>13</v>
      </c>
      <c r="N250" s="116">
        <v>2</v>
      </c>
      <c r="O250" s="116">
        <v>0</v>
      </c>
      <c r="P250" s="43">
        <v>5</v>
      </c>
      <c r="Q250" s="116">
        <v>4</v>
      </c>
      <c r="R250" s="116">
        <v>1</v>
      </c>
      <c r="S250" s="116">
        <v>0</v>
      </c>
      <c r="T250" s="116">
        <v>0</v>
      </c>
      <c r="U250" s="116">
        <v>0</v>
      </c>
      <c r="V250" s="116">
        <v>0</v>
      </c>
      <c r="W250" s="116">
        <v>0</v>
      </c>
      <c r="X250" s="116">
        <v>0</v>
      </c>
      <c r="Y250" s="116">
        <v>0</v>
      </c>
      <c r="Z250" s="116">
        <v>6</v>
      </c>
      <c r="AA250" s="116">
        <v>0</v>
      </c>
      <c r="AB250" s="116">
        <v>0</v>
      </c>
      <c r="AC250" s="116">
        <v>10</v>
      </c>
      <c r="AD250" s="116">
        <v>2</v>
      </c>
      <c r="AE250" s="116">
        <v>0</v>
      </c>
      <c r="AF250" s="116">
        <v>0</v>
      </c>
      <c r="AG250" s="116">
        <v>0</v>
      </c>
      <c r="AH250" s="116">
        <v>0</v>
      </c>
      <c r="AI250" s="116">
        <v>1</v>
      </c>
      <c r="AJ250" s="117">
        <v>1</v>
      </c>
      <c r="AK250" s="117">
        <v>5</v>
      </c>
      <c r="AL250" s="117">
        <v>0</v>
      </c>
      <c r="AM250" s="117">
        <v>18</v>
      </c>
      <c r="AN250" s="117">
        <v>17</v>
      </c>
      <c r="AO250" s="117">
        <v>0</v>
      </c>
      <c r="AP250" s="117">
        <v>5</v>
      </c>
      <c r="AQ250" s="117">
        <v>36</v>
      </c>
      <c r="AR250" s="44"/>
      <c r="AS250" s="44"/>
      <c r="AT250" s="46"/>
      <c r="AU250" s="62" t="s">
        <v>900</v>
      </c>
    </row>
    <row r="251" spans="1:47" ht="16.5" customHeight="1">
      <c r="A251" s="76" t="s">
        <v>795</v>
      </c>
      <c r="B251" s="41" t="s">
        <v>882</v>
      </c>
      <c r="C251" s="5" t="s">
        <v>883</v>
      </c>
      <c r="D251" s="77" t="s">
        <v>940</v>
      </c>
      <c r="E251" s="48"/>
      <c r="F251" s="76" t="s">
        <v>796</v>
      </c>
      <c r="G251" s="121" t="s">
        <v>843</v>
      </c>
      <c r="H251" s="122"/>
      <c r="I251" s="123" t="s">
        <v>885</v>
      </c>
      <c r="J251" s="124">
        <v>2</v>
      </c>
      <c r="K251" s="117">
        <v>0</v>
      </c>
      <c r="L251" s="117">
        <v>0</v>
      </c>
      <c r="M251" s="116">
        <v>3</v>
      </c>
      <c r="N251" s="116">
        <v>2</v>
      </c>
      <c r="O251" s="116">
        <v>6</v>
      </c>
      <c r="P251" s="43">
        <v>0</v>
      </c>
      <c r="Q251" s="116">
        <v>0</v>
      </c>
      <c r="R251" s="116">
        <v>0</v>
      </c>
      <c r="S251" s="116">
        <v>0</v>
      </c>
      <c r="T251" s="116">
        <v>0</v>
      </c>
      <c r="U251" s="116">
        <v>0</v>
      </c>
      <c r="V251" s="116">
        <v>5</v>
      </c>
      <c r="W251" s="116">
        <v>0</v>
      </c>
      <c r="X251" s="116">
        <v>0</v>
      </c>
      <c r="Y251" s="116">
        <v>0</v>
      </c>
      <c r="Z251" s="116">
        <v>2</v>
      </c>
      <c r="AA251" s="116">
        <v>1</v>
      </c>
      <c r="AB251" s="116">
        <v>2</v>
      </c>
      <c r="AC251" s="116">
        <v>0</v>
      </c>
      <c r="AD251" s="116">
        <v>0</v>
      </c>
      <c r="AE251" s="116">
        <v>0</v>
      </c>
      <c r="AF251" s="116">
        <v>0</v>
      </c>
      <c r="AG251" s="116">
        <v>0</v>
      </c>
      <c r="AH251" s="116">
        <v>0</v>
      </c>
      <c r="AI251" s="116">
        <v>1</v>
      </c>
      <c r="AJ251" s="117">
        <v>1</v>
      </c>
      <c r="AK251" s="117">
        <v>2</v>
      </c>
      <c r="AL251" s="117">
        <v>0</v>
      </c>
      <c r="AM251" s="117">
        <v>5</v>
      </c>
      <c r="AN251" s="117">
        <v>7</v>
      </c>
      <c r="AO251" s="117">
        <v>0</v>
      </c>
      <c r="AP251" s="117">
        <v>2</v>
      </c>
      <c r="AQ251" s="117">
        <v>13</v>
      </c>
      <c r="AR251" s="44"/>
      <c r="AS251" s="44"/>
      <c r="AT251" s="46"/>
      <c r="AU251" s="62" t="s">
        <v>893</v>
      </c>
    </row>
    <row r="252" spans="1:47" ht="16.5" customHeight="1">
      <c r="A252" s="76" t="s">
        <v>386</v>
      </c>
      <c r="B252" s="41" t="s">
        <v>882</v>
      </c>
      <c r="C252" s="5" t="s">
        <v>883</v>
      </c>
      <c r="D252" s="77" t="s">
        <v>940</v>
      </c>
      <c r="E252" s="48"/>
      <c r="F252" s="76" t="s">
        <v>387</v>
      </c>
      <c r="G252" s="121" t="s">
        <v>843</v>
      </c>
      <c r="H252" s="122"/>
      <c r="I252" s="123" t="s">
        <v>885</v>
      </c>
      <c r="J252" s="124">
        <v>2</v>
      </c>
      <c r="K252" s="117">
        <v>0</v>
      </c>
      <c r="L252" s="117">
        <v>0</v>
      </c>
      <c r="M252" s="116">
        <v>12</v>
      </c>
      <c r="N252" s="116">
        <v>1</v>
      </c>
      <c r="O252" s="116">
        <v>0</v>
      </c>
      <c r="P252" s="43">
        <v>0</v>
      </c>
      <c r="Q252" s="116">
        <v>0</v>
      </c>
      <c r="R252" s="116">
        <v>0</v>
      </c>
      <c r="S252" s="116">
        <v>0</v>
      </c>
      <c r="T252" s="116">
        <v>0</v>
      </c>
      <c r="U252" s="116">
        <v>0</v>
      </c>
      <c r="V252" s="116">
        <v>0</v>
      </c>
      <c r="W252" s="116">
        <v>1</v>
      </c>
      <c r="X252" s="116">
        <v>0</v>
      </c>
      <c r="Y252" s="116">
        <v>0</v>
      </c>
      <c r="Z252" s="116">
        <v>11</v>
      </c>
      <c r="AA252" s="116">
        <v>1</v>
      </c>
      <c r="AB252" s="116">
        <v>0</v>
      </c>
      <c r="AC252" s="116">
        <v>0</v>
      </c>
      <c r="AD252" s="116">
        <v>0</v>
      </c>
      <c r="AE252" s="116">
        <v>0</v>
      </c>
      <c r="AF252" s="116">
        <v>0</v>
      </c>
      <c r="AG252" s="116">
        <v>0</v>
      </c>
      <c r="AH252" s="116">
        <v>0</v>
      </c>
      <c r="AI252" s="116">
        <v>1</v>
      </c>
      <c r="AJ252" s="117">
        <v>0</v>
      </c>
      <c r="AK252" s="117">
        <v>6</v>
      </c>
      <c r="AL252" s="117">
        <v>0</v>
      </c>
      <c r="AM252" s="117">
        <v>0</v>
      </c>
      <c r="AN252" s="117">
        <v>23</v>
      </c>
      <c r="AO252" s="117">
        <v>0</v>
      </c>
      <c r="AP252" s="117">
        <v>5</v>
      </c>
      <c r="AQ252" s="117">
        <v>24</v>
      </c>
      <c r="AR252" s="44"/>
      <c r="AS252" s="44"/>
      <c r="AT252" s="46"/>
      <c r="AU252" s="62" t="s">
        <v>891</v>
      </c>
    </row>
    <row r="253" spans="1:47" ht="16.5" customHeight="1">
      <c r="A253" s="76" t="s">
        <v>518</v>
      </c>
      <c r="B253" s="41" t="s">
        <v>882</v>
      </c>
      <c r="C253" s="5" t="s">
        <v>883</v>
      </c>
      <c r="D253" s="77" t="s">
        <v>940</v>
      </c>
      <c r="E253" s="48"/>
      <c r="F253" s="76" t="s">
        <v>519</v>
      </c>
      <c r="G253" s="121" t="s">
        <v>843</v>
      </c>
      <c r="H253" s="122" t="s">
        <v>842</v>
      </c>
      <c r="I253" s="123" t="s">
        <v>888</v>
      </c>
      <c r="J253" s="124">
        <v>2</v>
      </c>
      <c r="K253" s="117">
        <v>1</v>
      </c>
      <c r="L253" s="117">
        <v>1</v>
      </c>
      <c r="M253" s="116">
        <v>17</v>
      </c>
      <c r="N253" s="116">
        <v>5</v>
      </c>
      <c r="O253" s="116">
        <v>0</v>
      </c>
      <c r="P253" s="43">
        <v>0</v>
      </c>
      <c r="Q253" s="116">
        <v>0</v>
      </c>
      <c r="R253" s="116">
        <v>0</v>
      </c>
      <c r="S253" s="116">
        <v>0</v>
      </c>
      <c r="T253" s="116">
        <v>5</v>
      </c>
      <c r="U253" s="116">
        <v>1</v>
      </c>
      <c r="V253" s="116">
        <v>0</v>
      </c>
      <c r="W253" s="116">
        <v>0</v>
      </c>
      <c r="X253" s="116">
        <v>0</v>
      </c>
      <c r="Y253" s="116">
        <v>0</v>
      </c>
      <c r="Z253" s="116">
        <v>11</v>
      </c>
      <c r="AA253" s="116">
        <v>3</v>
      </c>
      <c r="AB253" s="116">
        <v>0</v>
      </c>
      <c r="AC253" s="116">
        <v>0</v>
      </c>
      <c r="AD253" s="116">
        <v>0</v>
      </c>
      <c r="AE253" s="116">
        <v>0</v>
      </c>
      <c r="AF253" s="116">
        <v>0</v>
      </c>
      <c r="AG253" s="116">
        <v>0</v>
      </c>
      <c r="AH253" s="116">
        <v>0</v>
      </c>
      <c r="AI253" s="116">
        <v>1</v>
      </c>
      <c r="AJ253" s="117">
        <v>1</v>
      </c>
      <c r="AK253" s="117">
        <v>5</v>
      </c>
      <c r="AL253" s="117">
        <v>0</v>
      </c>
      <c r="AM253" s="117">
        <v>14</v>
      </c>
      <c r="AN253" s="117">
        <v>41</v>
      </c>
      <c r="AO253" s="117">
        <v>1</v>
      </c>
      <c r="AP253" s="117">
        <v>4</v>
      </c>
      <c r="AQ253" s="117">
        <v>57</v>
      </c>
      <c r="AR253" s="44"/>
      <c r="AS253" s="44"/>
      <c r="AT253" s="46"/>
      <c r="AU253" s="62" t="s">
        <v>887</v>
      </c>
    </row>
    <row r="254" spans="1:47" ht="16.5" customHeight="1">
      <c r="A254" s="76" t="s">
        <v>42</v>
      </c>
      <c r="B254" s="41" t="s">
        <v>882</v>
      </c>
      <c r="C254" s="5" t="s">
        <v>883</v>
      </c>
      <c r="D254" s="77" t="s">
        <v>940</v>
      </c>
      <c r="E254" s="48"/>
      <c r="F254" s="76" t="s">
        <v>43</v>
      </c>
      <c r="G254" s="121" t="s">
        <v>843</v>
      </c>
      <c r="H254" s="122" t="s">
        <v>842</v>
      </c>
      <c r="I254" s="123" t="s">
        <v>888</v>
      </c>
      <c r="J254" s="124">
        <v>2</v>
      </c>
      <c r="K254" s="117">
        <v>0</v>
      </c>
      <c r="L254" s="117">
        <v>0</v>
      </c>
      <c r="M254" s="116">
        <v>15</v>
      </c>
      <c r="N254" s="116">
        <v>5</v>
      </c>
      <c r="O254" s="116">
        <v>1</v>
      </c>
      <c r="P254" s="43">
        <v>2</v>
      </c>
      <c r="Q254" s="116">
        <v>2</v>
      </c>
      <c r="R254" s="116">
        <v>0</v>
      </c>
      <c r="S254" s="116">
        <v>0</v>
      </c>
      <c r="T254" s="116">
        <v>4</v>
      </c>
      <c r="U254" s="116">
        <v>1</v>
      </c>
      <c r="V254" s="116">
        <v>5</v>
      </c>
      <c r="W254" s="116">
        <v>0</v>
      </c>
      <c r="X254" s="116">
        <v>0</v>
      </c>
      <c r="Y254" s="116">
        <v>0</v>
      </c>
      <c r="Z254" s="116">
        <v>0</v>
      </c>
      <c r="AA254" s="116">
        <v>0</v>
      </c>
      <c r="AB254" s="116">
        <v>0</v>
      </c>
      <c r="AC254" s="116">
        <v>9</v>
      </c>
      <c r="AD254" s="116">
        <v>4</v>
      </c>
      <c r="AE254" s="116">
        <v>0</v>
      </c>
      <c r="AF254" s="116">
        <v>0</v>
      </c>
      <c r="AG254" s="116">
        <v>0</v>
      </c>
      <c r="AH254" s="116">
        <v>0</v>
      </c>
      <c r="AI254" s="116">
        <v>1</v>
      </c>
      <c r="AJ254" s="117">
        <v>0</v>
      </c>
      <c r="AK254" s="117">
        <v>8</v>
      </c>
      <c r="AL254" s="117">
        <v>0</v>
      </c>
      <c r="AM254" s="117">
        <v>0</v>
      </c>
      <c r="AN254" s="117">
        <v>51</v>
      </c>
      <c r="AO254" s="117">
        <v>0</v>
      </c>
      <c r="AP254" s="117">
        <v>8</v>
      </c>
      <c r="AQ254" s="117">
        <v>51</v>
      </c>
      <c r="AR254" s="44"/>
      <c r="AS254" s="44"/>
      <c r="AT254" s="46"/>
      <c r="AU254" s="62" t="s">
        <v>902</v>
      </c>
    </row>
    <row r="255" spans="1:47" ht="16.5" customHeight="1">
      <c r="A255" s="76" t="s">
        <v>84</v>
      </c>
      <c r="B255" s="41" t="s">
        <v>882</v>
      </c>
      <c r="C255" s="5" t="s">
        <v>883</v>
      </c>
      <c r="D255" s="77" t="s">
        <v>940</v>
      </c>
      <c r="E255" s="48"/>
      <c r="F255" s="76" t="s">
        <v>85</v>
      </c>
      <c r="G255" s="121" t="s">
        <v>843</v>
      </c>
      <c r="H255" s="122"/>
      <c r="I255" s="123" t="s">
        <v>888</v>
      </c>
      <c r="J255" s="124">
        <v>2</v>
      </c>
      <c r="K255" s="117">
        <v>0</v>
      </c>
      <c r="L255" s="117">
        <v>0</v>
      </c>
      <c r="M255" s="116">
        <v>20</v>
      </c>
      <c r="N255" s="116">
        <v>14</v>
      </c>
      <c r="O255" s="116">
        <v>1</v>
      </c>
      <c r="P255" s="43">
        <v>0</v>
      </c>
      <c r="Q255" s="116">
        <v>0</v>
      </c>
      <c r="R255" s="116">
        <v>0</v>
      </c>
      <c r="S255" s="116">
        <v>0</v>
      </c>
      <c r="T255" s="116">
        <v>6</v>
      </c>
      <c r="U255" s="116">
        <v>2</v>
      </c>
      <c r="V255" s="116">
        <v>0</v>
      </c>
      <c r="W255" s="116">
        <v>1</v>
      </c>
      <c r="X255" s="116">
        <v>1</v>
      </c>
      <c r="Y255" s="116">
        <v>0</v>
      </c>
      <c r="Z255" s="116">
        <v>0</v>
      </c>
      <c r="AA255" s="116">
        <v>0</v>
      </c>
      <c r="AB255" s="116">
        <v>0</v>
      </c>
      <c r="AC255" s="116">
        <v>11</v>
      </c>
      <c r="AD255" s="116">
        <v>10</v>
      </c>
      <c r="AE255" s="116">
        <v>4</v>
      </c>
      <c r="AF255" s="116">
        <v>0</v>
      </c>
      <c r="AG255" s="116">
        <v>0</v>
      </c>
      <c r="AH255" s="116">
        <v>0</v>
      </c>
      <c r="AI255" s="116">
        <v>1</v>
      </c>
      <c r="AJ255" s="117">
        <v>0</v>
      </c>
      <c r="AK255" s="117">
        <v>12</v>
      </c>
      <c r="AL255" s="117">
        <v>0</v>
      </c>
      <c r="AM255" s="117">
        <v>0</v>
      </c>
      <c r="AN255" s="117">
        <v>69</v>
      </c>
      <c r="AO255" s="117">
        <v>0</v>
      </c>
      <c r="AP255" s="117">
        <v>10</v>
      </c>
      <c r="AQ255" s="117">
        <v>72</v>
      </c>
      <c r="AR255" s="44"/>
      <c r="AS255" s="44"/>
      <c r="AT255" s="46"/>
      <c r="AU255" s="62" t="s">
        <v>948</v>
      </c>
    </row>
    <row r="256" spans="1:47" ht="16.5" customHeight="1">
      <c r="A256" s="76" t="s">
        <v>69</v>
      </c>
      <c r="B256" s="41" t="s">
        <v>882</v>
      </c>
      <c r="C256" s="5" t="s">
        <v>883</v>
      </c>
      <c r="D256" s="77" t="s">
        <v>940</v>
      </c>
      <c r="E256" s="48"/>
      <c r="F256" s="76" t="s">
        <v>70</v>
      </c>
      <c r="G256" s="121" t="s">
        <v>843</v>
      </c>
      <c r="H256" s="122"/>
      <c r="I256" s="123" t="s">
        <v>888</v>
      </c>
      <c r="J256" s="124">
        <v>2</v>
      </c>
      <c r="K256" s="117">
        <v>1</v>
      </c>
      <c r="L256" s="117">
        <v>0</v>
      </c>
      <c r="M256" s="116">
        <v>12</v>
      </c>
      <c r="N256" s="116">
        <v>4</v>
      </c>
      <c r="O256" s="116">
        <v>1</v>
      </c>
      <c r="P256" s="43">
        <v>1</v>
      </c>
      <c r="Q256" s="116">
        <v>1</v>
      </c>
      <c r="R256" s="116">
        <v>0</v>
      </c>
      <c r="S256" s="116">
        <v>0</v>
      </c>
      <c r="T256" s="116">
        <v>0</v>
      </c>
      <c r="U256" s="116">
        <v>0</v>
      </c>
      <c r="V256" s="116">
        <v>0</v>
      </c>
      <c r="W256" s="116">
        <v>1</v>
      </c>
      <c r="X256" s="116">
        <v>0</v>
      </c>
      <c r="Y256" s="116">
        <v>0</v>
      </c>
      <c r="Z256" s="116">
        <v>9</v>
      </c>
      <c r="AA256" s="116">
        <v>4</v>
      </c>
      <c r="AB256" s="116">
        <v>4</v>
      </c>
      <c r="AC256" s="116">
        <v>0</v>
      </c>
      <c r="AD256" s="116">
        <v>0</v>
      </c>
      <c r="AE256" s="116">
        <v>0</v>
      </c>
      <c r="AF256" s="116">
        <v>0</v>
      </c>
      <c r="AG256" s="116">
        <v>0</v>
      </c>
      <c r="AH256" s="116">
        <v>0</v>
      </c>
      <c r="AI256" s="116">
        <v>1</v>
      </c>
      <c r="AJ256" s="117">
        <v>0</v>
      </c>
      <c r="AK256" s="117">
        <v>9</v>
      </c>
      <c r="AL256" s="117">
        <v>0</v>
      </c>
      <c r="AM256" s="117">
        <v>0</v>
      </c>
      <c r="AN256" s="117">
        <v>50</v>
      </c>
      <c r="AO256" s="117">
        <v>0</v>
      </c>
      <c r="AP256" s="117">
        <v>9</v>
      </c>
      <c r="AQ256" s="117">
        <v>50</v>
      </c>
      <c r="AR256" s="44"/>
      <c r="AS256" s="44"/>
      <c r="AT256" s="46"/>
      <c r="AU256" s="62" t="s">
        <v>927</v>
      </c>
    </row>
    <row r="257" spans="1:47" ht="16.5" customHeight="1">
      <c r="A257" s="76" t="s">
        <v>389</v>
      </c>
      <c r="B257" s="41" t="s">
        <v>882</v>
      </c>
      <c r="C257" s="5" t="s">
        <v>883</v>
      </c>
      <c r="D257" s="77" t="s">
        <v>940</v>
      </c>
      <c r="E257" s="49"/>
      <c r="F257" s="76" t="s">
        <v>390</v>
      </c>
      <c r="G257" s="121" t="s">
        <v>843</v>
      </c>
      <c r="H257" s="122" t="s">
        <v>842</v>
      </c>
      <c r="I257" s="123" t="s">
        <v>888</v>
      </c>
      <c r="J257" s="124">
        <v>2</v>
      </c>
      <c r="K257" s="117">
        <v>3</v>
      </c>
      <c r="L257" s="117">
        <v>1</v>
      </c>
      <c r="M257" s="116">
        <v>16</v>
      </c>
      <c r="N257" s="116">
        <v>5</v>
      </c>
      <c r="O257" s="116">
        <v>0</v>
      </c>
      <c r="P257" s="43">
        <v>2</v>
      </c>
      <c r="Q257" s="116">
        <v>2</v>
      </c>
      <c r="R257" s="116">
        <v>0</v>
      </c>
      <c r="S257" s="116">
        <v>0</v>
      </c>
      <c r="T257" s="116">
        <v>0</v>
      </c>
      <c r="U257" s="116">
        <v>1</v>
      </c>
      <c r="V257" s="116">
        <v>0</v>
      </c>
      <c r="W257" s="116">
        <v>0</v>
      </c>
      <c r="X257" s="116">
        <v>0</v>
      </c>
      <c r="Y257" s="116">
        <v>0</v>
      </c>
      <c r="Z257" s="116">
        <v>15</v>
      </c>
      <c r="AA257" s="116">
        <v>0</v>
      </c>
      <c r="AB257" s="116">
        <v>0</v>
      </c>
      <c r="AC257" s="116">
        <v>3</v>
      </c>
      <c r="AD257" s="116">
        <v>4</v>
      </c>
      <c r="AE257" s="116">
        <v>0</v>
      </c>
      <c r="AF257" s="116">
        <v>0</v>
      </c>
      <c r="AG257" s="116">
        <v>0</v>
      </c>
      <c r="AH257" s="116">
        <v>0</v>
      </c>
      <c r="AI257" s="116">
        <v>1</v>
      </c>
      <c r="AJ257" s="117">
        <v>0</v>
      </c>
      <c r="AK257" s="117">
        <v>7</v>
      </c>
      <c r="AL257" s="117">
        <v>1</v>
      </c>
      <c r="AM257" s="117">
        <v>7</v>
      </c>
      <c r="AN257" s="117">
        <v>46</v>
      </c>
      <c r="AO257" s="117">
        <v>0</v>
      </c>
      <c r="AP257" s="117">
        <v>4</v>
      </c>
      <c r="AQ257" s="117">
        <v>58</v>
      </c>
      <c r="AR257" s="44"/>
      <c r="AS257" s="44"/>
      <c r="AT257" s="46"/>
      <c r="AU257" s="62" t="s">
        <v>893</v>
      </c>
    </row>
    <row r="258" spans="1:47" ht="16.5" customHeight="1">
      <c r="A258" s="76" t="s">
        <v>521</v>
      </c>
      <c r="B258" s="41" t="s">
        <v>882</v>
      </c>
      <c r="C258" s="5" t="s">
        <v>883</v>
      </c>
      <c r="D258" s="77" t="s">
        <v>940</v>
      </c>
      <c r="E258" s="47"/>
      <c r="F258" s="76" t="s">
        <v>522</v>
      </c>
      <c r="G258" s="121" t="s">
        <v>843</v>
      </c>
      <c r="H258" s="122"/>
      <c r="I258" s="123" t="s">
        <v>885</v>
      </c>
      <c r="J258" s="124">
        <v>2</v>
      </c>
      <c r="K258" s="117">
        <v>0</v>
      </c>
      <c r="L258" s="117">
        <v>1</v>
      </c>
      <c r="M258" s="116">
        <v>8</v>
      </c>
      <c r="N258" s="116">
        <v>4</v>
      </c>
      <c r="O258" s="116">
        <v>1</v>
      </c>
      <c r="P258" s="43">
        <v>4</v>
      </c>
      <c r="Q258" s="116">
        <v>2</v>
      </c>
      <c r="R258" s="116">
        <v>2</v>
      </c>
      <c r="S258" s="116">
        <v>0</v>
      </c>
      <c r="T258" s="116">
        <v>0</v>
      </c>
      <c r="U258" s="116">
        <v>0</v>
      </c>
      <c r="V258" s="116">
        <v>0</v>
      </c>
      <c r="W258" s="116">
        <v>1</v>
      </c>
      <c r="X258" s="116">
        <v>1</v>
      </c>
      <c r="Y258" s="116">
        <v>0</v>
      </c>
      <c r="Z258" s="116">
        <v>8</v>
      </c>
      <c r="AA258" s="116">
        <v>3</v>
      </c>
      <c r="AB258" s="116">
        <v>4</v>
      </c>
      <c r="AC258" s="116">
        <v>0</v>
      </c>
      <c r="AD258" s="116">
        <v>0</v>
      </c>
      <c r="AE258" s="116">
        <v>0</v>
      </c>
      <c r="AF258" s="116">
        <v>0</v>
      </c>
      <c r="AG258" s="116">
        <v>0</v>
      </c>
      <c r="AH258" s="116">
        <v>0</v>
      </c>
      <c r="AI258" s="116">
        <v>1</v>
      </c>
      <c r="AJ258" s="117">
        <v>1</v>
      </c>
      <c r="AK258" s="117">
        <v>3</v>
      </c>
      <c r="AL258" s="117">
        <v>0</v>
      </c>
      <c r="AM258" s="117">
        <v>4</v>
      </c>
      <c r="AN258" s="117">
        <v>12</v>
      </c>
      <c r="AO258" s="117">
        <v>0</v>
      </c>
      <c r="AP258" s="117">
        <v>2</v>
      </c>
      <c r="AQ258" s="117">
        <v>17</v>
      </c>
      <c r="AR258" s="44"/>
      <c r="AS258" s="44"/>
      <c r="AT258" s="46"/>
      <c r="AU258" s="62" t="s">
        <v>886</v>
      </c>
    </row>
    <row r="259" spans="1:47" ht="16.5" customHeight="1">
      <c r="A259" s="76" t="s">
        <v>72</v>
      </c>
      <c r="B259" s="41" t="s">
        <v>882</v>
      </c>
      <c r="C259" s="5" t="s">
        <v>883</v>
      </c>
      <c r="D259" s="77" t="s">
        <v>940</v>
      </c>
      <c r="E259" s="48"/>
      <c r="F259" s="76" t="s">
        <v>73</v>
      </c>
      <c r="G259" s="121" t="s">
        <v>843</v>
      </c>
      <c r="H259" s="122" t="s">
        <v>842</v>
      </c>
      <c r="I259" s="123" t="s">
        <v>888</v>
      </c>
      <c r="J259" s="124">
        <v>2</v>
      </c>
      <c r="K259" s="117">
        <v>1</v>
      </c>
      <c r="L259" s="117">
        <v>1</v>
      </c>
      <c r="M259" s="116">
        <v>18</v>
      </c>
      <c r="N259" s="116">
        <v>3</v>
      </c>
      <c r="O259" s="116">
        <v>0</v>
      </c>
      <c r="P259" s="43">
        <v>0</v>
      </c>
      <c r="Q259" s="116">
        <v>0</v>
      </c>
      <c r="R259" s="116">
        <v>0</v>
      </c>
      <c r="S259" s="116">
        <v>0</v>
      </c>
      <c r="T259" s="116">
        <v>1</v>
      </c>
      <c r="U259" s="116">
        <v>0</v>
      </c>
      <c r="V259" s="116">
        <v>0</v>
      </c>
      <c r="W259" s="116">
        <v>2</v>
      </c>
      <c r="X259" s="116">
        <v>0</v>
      </c>
      <c r="Y259" s="116">
        <v>0</v>
      </c>
      <c r="Z259" s="116">
        <v>14</v>
      </c>
      <c r="AA259" s="116">
        <v>2</v>
      </c>
      <c r="AB259" s="116">
        <v>0</v>
      </c>
      <c r="AC259" s="116">
        <v>0</v>
      </c>
      <c r="AD259" s="116">
        <v>0</v>
      </c>
      <c r="AE259" s="116">
        <v>0</v>
      </c>
      <c r="AF259" s="116">
        <v>0</v>
      </c>
      <c r="AG259" s="116">
        <v>0</v>
      </c>
      <c r="AH259" s="116">
        <v>0</v>
      </c>
      <c r="AI259" s="116">
        <v>1</v>
      </c>
      <c r="AJ259" s="117">
        <v>0</v>
      </c>
      <c r="AK259" s="117">
        <v>7</v>
      </c>
      <c r="AL259" s="117">
        <v>0</v>
      </c>
      <c r="AM259" s="117">
        <v>0</v>
      </c>
      <c r="AN259" s="117">
        <v>46</v>
      </c>
      <c r="AO259" s="117">
        <v>0</v>
      </c>
      <c r="AP259" s="117">
        <v>4</v>
      </c>
      <c r="AQ259" s="117">
        <v>46</v>
      </c>
      <c r="AR259" s="44"/>
      <c r="AS259" s="44"/>
      <c r="AT259" s="46"/>
      <c r="AU259" s="62" t="s">
        <v>893</v>
      </c>
    </row>
    <row r="260" spans="1:47" ht="16.5" customHeight="1">
      <c r="A260" s="76" t="s">
        <v>392</v>
      </c>
      <c r="B260" s="41" t="s">
        <v>882</v>
      </c>
      <c r="C260" s="5" t="s">
        <v>883</v>
      </c>
      <c r="D260" s="77" t="s">
        <v>940</v>
      </c>
      <c r="E260" s="48"/>
      <c r="F260" s="76" t="s">
        <v>393</v>
      </c>
      <c r="G260" s="121" t="s">
        <v>843</v>
      </c>
      <c r="H260" s="122"/>
      <c r="I260" s="123" t="s">
        <v>888</v>
      </c>
      <c r="J260" s="124">
        <v>2</v>
      </c>
      <c r="K260" s="117">
        <v>1</v>
      </c>
      <c r="L260" s="117">
        <v>1</v>
      </c>
      <c r="M260" s="116">
        <v>7</v>
      </c>
      <c r="N260" s="116">
        <v>2</v>
      </c>
      <c r="O260" s="116">
        <v>0</v>
      </c>
      <c r="P260" s="43">
        <v>8</v>
      </c>
      <c r="Q260" s="116">
        <v>4</v>
      </c>
      <c r="R260" s="116">
        <v>4</v>
      </c>
      <c r="S260" s="116">
        <v>0</v>
      </c>
      <c r="T260" s="116">
        <v>0</v>
      </c>
      <c r="U260" s="116">
        <v>0</v>
      </c>
      <c r="V260" s="116">
        <v>0</v>
      </c>
      <c r="W260" s="116">
        <v>1</v>
      </c>
      <c r="X260" s="116">
        <v>1</v>
      </c>
      <c r="Y260" s="116">
        <v>0</v>
      </c>
      <c r="Z260" s="116">
        <v>9</v>
      </c>
      <c r="AA260" s="116">
        <v>4</v>
      </c>
      <c r="AB260" s="116">
        <v>0</v>
      </c>
      <c r="AC260" s="116">
        <v>0</v>
      </c>
      <c r="AD260" s="116">
        <v>0</v>
      </c>
      <c r="AE260" s="116">
        <v>0</v>
      </c>
      <c r="AF260" s="116">
        <v>0</v>
      </c>
      <c r="AG260" s="116">
        <v>0</v>
      </c>
      <c r="AH260" s="116">
        <v>0</v>
      </c>
      <c r="AI260" s="116">
        <v>1</v>
      </c>
      <c r="AJ260" s="117">
        <v>0</v>
      </c>
      <c r="AK260" s="117">
        <v>7</v>
      </c>
      <c r="AL260" s="117">
        <v>0</v>
      </c>
      <c r="AM260" s="117">
        <v>2</v>
      </c>
      <c r="AN260" s="117">
        <v>36</v>
      </c>
      <c r="AO260" s="117">
        <v>0</v>
      </c>
      <c r="AP260" s="117">
        <v>7</v>
      </c>
      <c r="AQ260" s="117">
        <v>40</v>
      </c>
      <c r="AR260" s="44"/>
      <c r="AS260" s="44"/>
      <c r="AT260" s="46"/>
      <c r="AU260" s="62" t="s">
        <v>949</v>
      </c>
    </row>
    <row r="261" spans="1:47" ht="16.5" customHeight="1">
      <c r="A261" s="76" t="s">
        <v>817</v>
      </c>
      <c r="B261" s="41" t="s">
        <v>882</v>
      </c>
      <c r="C261" s="5" t="s">
        <v>883</v>
      </c>
      <c r="D261" s="77" t="s">
        <v>940</v>
      </c>
      <c r="E261" s="48"/>
      <c r="F261" s="76" t="s">
        <v>818</v>
      </c>
      <c r="G261" s="121" t="s">
        <v>843</v>
      </c>
      <c r="H261" s="122" t="s">
        <v>842</v>
      </c>
      <c r="I261" s="123" t="s">
        <v>888</v>
      </c>
      <c r="J261" s="124">
        <v>2</v>
      </c>
      <c r="K261" s="117">
        <v>1</v>
      </c>
      <c r="L261" s="117">
        <v>1</v>
      </c>
      <c r="M261" s="116">
        <v>11</v>
      </c>
      <c r="N261" s="116">
        <v>6</v>
      </c>
      <c r="O261" s="116">
        <v>0</v>
      </c>
      <c r="P261" s="43">
        <v>3</v>
      </c>
      <c r="Q261" s="116">
        <v>3</v>
      </c>
      <c r="R261" s="116">
        <v>0</v>
      </c>
      <c r="S261" s="116">
        <v>0</v>
      </c>
      <c r="T261" s="116">
        <v>0</v>
      </c>
      <c r="U261" s="116">
        <v>0</v>
      </c>
      <c r="V261" s="116">
        <v>0</v>
      </c>
      <c r="W261" s="116">
        <v>1</v>
      </c>
      <c r="X261" s="116">
        <v>2</v>
      </c>
      <c r="Y261" s="116">
        <v>0</v>
      </c>
      <c r="Z261" s="116">
        <v>5</v>
      </c>
      <c r="AA261" s="116">
        <v>2</v>
      </c>
      <c r="AB261" s="116">
        <v>0</v>
      </c>
      <c r="AC261" s="116">
        <v>6</v>
      </c>
      <c r="AD261" s="116">
        <v>4</v>
      </c>
      <c r="AE261" s="116">
        <v>0</v>
      </c>
      <c r="AF261" s="116">
        <v>0</v>
      </c>
      <c r="AG261" s="116">
        <v>0</v>
      </c>
      <c r="AH261" s="116">
        <v>0</v>
      </c>
      <c r="AI261" s="116">
        <v>1</v>
      </c>
      <c r="AJ261" s="117">
        <v>1</v>
      </c>
      <c r="AK261" s="117">
        <v>8</v>
      </c>
      <c r="AL261" s="117">
        <v>0</v>
      </c>
      <c r="AM261" s="117">
        <v>16</v>
      </c>
      <c r="AN261" s="117">
        <v>37</v>
      </c>
      <c r="AO261" s="117">
        <v>0</v>
      </c>
      <c r="AP261" s="117">
        <v>7</v>
      </c>
      <c r="AQ261" s="117">
        <v>55</v>
      </c>
      <c r="AR261" s="44"/>
      <c r="AS261" s="44"/>
      <c r="AT261" s="46"/>
      <c r="AU261" s="62" t="s">
        <v>934</v>
      </c>
    </row>
    <row r="262" spans="1:47" ht="16.5" customHeight="1">
      <c r="A262" s="76" t="s">
        <v>524</v>
      </c>
      <c r="B262" s="41" t="s">
        <v>882</v>
      </c>
      <c r="C262" s="5" t="s">
        <v>883</v>
      </c>
      <c r="D262" s="77" t="s">
        <v>940</v>
      </c>
      <c r="E262" s="48"/>
      <c r="F262" s="76" t="s">
        <v>525</v>
      </c>
      <c r="G262" s="121" t="s">
        <v>843</v>
      </c>
      <c r="H262" s="122"/>
      <c r="I262" s="123" t="s">
        <v>885</v>
      </c>
      <c r="J262" s="124">
        <v>2</v>
      </c>
      <c r="K262" s="117">
        <v>1</v>
      </c>
      <c r="L262" s="117">
        <v>1</v>
      </c>
      <c r="M262" s="116">
        <v>4</v>
      </c>
      <c r="N262" s="116">
        <v>4</v>
      </c>
      <c r="O262" s="116">
        <v>0</v>
      </c>
      <c r="P262" s="43">
        <v>1</v>
      </c>
      <c r="Q262" s="116">
        <v>1</v>
      </c>
      <c r="R262" s="116">
        <v>0</v>
      </c>
      <c r="S262" s="116">
        <v>0</v>
      </c>
      <c r="T262" s="116">
        <v>0</v>
      </c>
      <c r="U262" s="116">
        <v>0</v>
      </c>
      <c r="V262" s="116">
        <v>0</v>
      </c>
      <c r="W262" s="116">
        <v>0</v>
      </c>
      <c r="X262" s="116">
        <v>0</v>
      </c>
      <c r="Y262" s="116">
        <v>0</v>
      </c>
      <c r="Z262" s="116">
        <v>4</v>
      </c>
      <c r="AA262" s="116">
        <v>3</v>
      </c>
      <c r="AB262" s="116">
        <v>0</v>
      </c>
      <c r="AC262" s="116">
        <v>0</v>
      </c>
      <c r="AD262" s="116">
        <v>0</v>
      </c>
      <c r="AE262" s="116">
        <v>0</v>
      </c>
      <c r="AF262" s="116">
        <v>0</v>
      </c>
      <c r="AG262" s="116">
        <v>0</v>
      </c>
      <c r="AH262" s="116">
        <v>0</v>
      </c>
      <c r="AI262" s="116">
        <v>1</v>
      </c>
      <c r="AJ262" s="117">
        <v>1</v>
      </c>
      <c r="AK262" s="117">
        <v>0</v>
      </c>
      <c r="AL262" s="117">
        <v>0</v>
      </c>
      <c r="AM262" s="117">
        <v>1</v>
      </c>
      <c r="AN262" s="117">
        <v>10</v>
      </c>
      <c r="AO262" s="117">
        <v>0</v>
      </c>
      <c r="AP262" s="117">
        <v>1</v>
      </c>
      <c r="AQ262" s="117">
        <v>11</v>
      </c>
      <c r="AR262" s="44"/>
      <c r="AS262" s="44"/>
      <c r="AT262" s="46"/>
      <c r="AU262" s="62" t="s">
        <v>889</v>
      </c>
    </row>
    <row r="263" spans="1:47" ht="16.5" customHeight="1">
      <c r="A263" s="76" t="s">
        <v>530</v>
      </c>
      <c r="B263" s="41" t="s">
        <v>882</v>
      </c>
      <c r="C263" s="5" t="s">
        <v>883</v>
      </c>
      <c r="D263" s="77" t="s">
        <v>940</v>
      </c>
      <c r="E263" s="48"/>
      <c r="F263" s="76" t="s">
        <v>531</v>
      </c>
      <c r="G263" s="121" t="s">
        <v>843</v>
      </c>
      <c r="H263" s="122" t="s">
        <v>842</v>
      </c>
      <c r="I263" s="123" t="s">
        <v>885</v>
      </c>
      <c r="J263" s="124">
        <v>2</v>
      </c>
      <c r="K263" s="117">
        <v>1</v>
      </c>
      <c r="L263" s="117">
        <v>1</v>
      </c>
      <c r="M263" s="116">
        <v>8</v>
      </c>
      <c r="N263" s="116">
        <v>2</v>
      </c>
      <c r="O263" s="116">
        <v>0</v>
      </c>
      <c r="P263" s="43">
        <v>7</v>
      </c>
      <c r="Q263" s="116">
        <v>5</v>
      </c>
      <c r="R263" s="116">
        <v>2</v>
      </c>
      <c r="S263" s="116">
        <v>0</v>
      </c>
      <c r="T263" s="116">
        <v>2</v>
      </c>
      <c r="U263" s="116">
        <v>1</v>
      </c>
      <c r="V263" s="116">
        <v>0</v>
      </c>
      <c r="W263" s="116">
        <v>0</v>
      </c>
      <c r="X263" s="116">
        <v>0</v>
      </c>
      <c r="Y263" s="116">
        <v>0</v>
      </c>
      <c r="Z263" s="116">
        <v>0</v>
      </c>
      <c r="AA263" s="116">
        <v>0</v>
      </c>
      <c r="AB263" s="116">
        <v>0</v>
      </c>
      <c r="AC263" s="116">
        <v>10</v>
      </c>
      <c r="AD263" s="116">
        <v>2</v>
      </c>
      <c r="AE263" s="116">
        <v>0</v>
      </c>
      <c r="AF263" s="116">
        <v>0</v>
      </c>
      <c r="AG263" s="116">
        <v>0</v>
      </c>
      <c r="AH263" s="116">
        <v>0</v>
      </c>
      <c r="AI263" s="116">
        <v>1</v>
      </c>
      <c r="AJ263" s="117">
        <v>0</v>
      </c>
      <c r="AK263" s="117">
        <v>9</v>
      </c>
      <c r="AL263" s="117">
        <v>0</v>
      </c>
      <c r="AM263" s="117">
        <v>4</v>
      </c>
      <c r="AN263" s="117">
        <v>50</v>
      </c>
      <c r="AO263" s="117">
        <v>0</v>
      </c>
      <c r="AP263" s="117">
        <v>5</v>
      </c>
      <c r="AQ263" s="117">
        <v>58</v>
      </c>
      <c r="AR263" s="44"/>
      <c r="AS263" s="44"/>
      <c r="AT263" s="46"/>
      <c r="AU263" s="62" t="s">
        <v>897</v>
      </c>
    </row>
    <row r="264" spans="1:47" ht="16.5" customHeight="1">
      <c r="A264" s="76" t="s">
        <v>595</v>
      </c>
      <c r="B264" s="41" t="s">
        <v>882</v>
      </c>
      <c r="C264" s="5" t="s">
        <v>883</v>
      </c>
      <c r="D264" s="77" t="s">
        <v>950</v>
      </c>
      <c r="E264" s="48"/>
      <c r="F264" s="76" t="s">
        <v>596</v>
      </c>
      <c r="G264" s="121" t="s">
        <v>843</v>
      </c>
      <c r="H264" s="122" t="s">
        <v>842</v>
      </c>
      <c r="I264" s="123" t="s">
        <v>888</v>
      </c>
      <c r="J264" s="124">
        <v>2</v>
      </c>
      <c r="K264" s="117">
        <v>1</v>
      </c>
      <c r="L264" s="117">
        <v>1</v>
      </c>
      <c r="M264" s="116">
        <v>16</v>
      </c>
      <c r="N264" s="116">
        <v>7</v>
      </c>
      <c r="O264" s="116">
        <v>1</v>
      </c>
      <c r="P264" s="43">
        <v>2</v>
      </c>
      <c r="Q264" s="116">
        <v>1</v>
      </c>
      <c r="R264" s="116">
        <v>1</v>
      </c>
      <c r="S264" s="116">
        <v>0</v>
      </c>
      <c r="T264" s="116">
        <v>0</v>
      </c>
      <c r="U264" s="116">
        <v>0</v>
      </c>
      <c r="V264" s="116">
        <v>0</v>
      </c>
      <c r="W264" s="116">
        <v>0</v>
      </c>
      <c r="X264" s="116">
        <v>0</v>
      </c>
      <c r="Y264" s="116">
        <v>0</v>
      </c>
      <c r="Z264" s="116">
        <v>0</v>
      </c>
      <c r="AA264" s="116">
        <v>0</v>
      </c>
      <c r="AB264" s="116">
        <v>0</v>
      </c>
      <c r="AC264" s="116">
        <v>15</v>
      </c>
      <c r="AD264" s="116">
        <v>6</v>
      </c>
      <c r="AE264" s="116">
        <v>5</v>
      </c>
      <c r="AF264" s="116">
        <v>0</v>
      </c>
      <c r="AG264" s="116">
        <v>0</v>
      </c>
      <c r="AH264" s="116">
        <v>0</v>
      </c>
      <c r="AI264" s="116">
        <v>1</v>
      </c>
      <c r="AJ264" s="117">
        <v>0</v>
      </c>
      <c r="AK264" s="117">
        <v>8</v>
      </c>
      <c r="AL264" s="117">
        <v>0</v>
      </c>
      <c r="AM264" s="117">
        <v>0</v>
      </c>
      <c r="AN264" s="117">
        <v>47</v>
      </c>
      <c r="AO264" s="117">
        <v>0</v>
      </c>
      <c r="AP264" s="117">
        <v>8</v>
      </c>
      <c r="AQ264" s="117">
        <v>47</v>
      </c>
      <c r="AR264" s="44"/>
      <c r="AS264" s="44"/>
      <c r="AT264" s="46"/>
      <c r="AU264" s="62" t="s">
        <v>951</v>
      </c>
    </row>
    <row r="265" spans="1:47" ht="16.5" customHeight="1">
      <c r="A265" s="76" t="s">
        <v>615</v>
      </c>
      <c r="B265" s="41" t="s">
        <v>882</v>
      </c>
      <c r="C265" s="5" t="s">
        <v>883</v>
      </c>
      <c r="D265" s="77" t="s">
        <v>950</v>
      </c>
      <c r="E265" s="48"/>
      <c r="F265" s="76" t="s">
        <v>616</v>
      </c>
      <c r="G265" s="121" t="s">
        <v>843</v>
      </c>
      <c r="H265" s="122" t="s">
        <v>842</v>
      </c>
      <c r="I265" s="123" t="s">
        <v>885</v>
      </c>
      <c r="J265" s="124">
        <v>2</v>
      </c>
      <c r="K265" s="117">
        <v>2</v>
      </c>
      <c r="L265" s="117">
        <v>0</v>
      </c>
      <c r="M265" s="116">
        <v>12</v>
      </c>
      <c r="N265" s="116">
        <v>11</v>
      </c>
      <c r="O265" s="116">
        <v>1</v>
      </c>
      <c r="P265" s="43">
        <v>2</v>
      </c>
      <c r="Q265" s="116">
        <v>2</v>
      </c>
      <c r="R265" s="116">
        <v>0</v>
      </c>
      <c r="S265" s="116">
        <v>0</v>
      </c>
      <c r="T265" s="116">
        <v>0</v>
      </c>
      <c r="U265" s="116">
        <v>1</v>
      </c>
      <c r="V265" s="116">
        <v>0</v>
      </c>
      <c r="W265" s="116">
        <v>0</v>
      </c>
      <c r="X265" s="116">
        <v>1</v>
      </c>
      <c r="Y265" s="116">
        <v>0</v>
      </c>
      <c r="Z265" s="116">
        <v>11</v>
      </c>
      <c r="AA265" s="116">
        <v>6</v>
      </c>
      <c r="AB265" s="116">
        <v>7</v>
      </c>
      <c r="AC265" s="116">
        <v>0</v>
      </c>
      <c r="AD265" s="116">
        <v>0</v>
      </c>
      <c r="AE265" s="116">
        <v>0</v>
      </c>
      <c r="AF265" s="116">
        <v>0</v>
      </c>
      <c r="AG265" s="116">
        <v>0</v>
      </c>
      <c r="AH265" s="116">
        <v>0</v>
      </c>
      <c r="AI265" s="116">
        <v>1</v>
      </c>
      <c r="AJ265" s="117">
        <v>0</v>
      </c>
      <c r="AK265" s="117">
        <v>10</v>
      </c>
      <c r="AL265" s="117">
        <v>0</v>
      </c>
      <c r="AM265" s="117">
        <v>0</v>
      </c>
      <c r="AN265" s="117">
        <v>66</v>
      </c>
      <c r="AO265" s="117">
        <v>0</v>
      </c>
      <c r="AP265" s="117">
        <v>7</v>
      </c>
      <c r="AQ265" s="117">
        <v>69</v>
      </c>
      <c r="AR265" s="44"/>
      <c r="AS265" s="44"/>
      <c r="AT265" s="46"/>
      <c r="AU265" s="62" t="s">
        <v>887</v>
      </c>
    </row>
    <row r="266" spans="1:47" ht="16.5" customHeight="1">
      <c r="A266" s="76" t="s">
        <v>121</v>
      </c>
      <c r="B266" s="41" t="s">
        <v>882</v>
      </c>
      <c r="C266" s="5" t="s">
        <v>883</v>
      </c>
      <c r="D266" s="77" t="s">
        <v>950</v>
      </c>
      <c r="E266" s="47"/>
      <c r="F266" s="76" t="s">
        <v>122</v>
      </c>
      <c r="G266" s="121" t="s">
        <v>843</v>
      </c>
      <c r="H266" s="122"/>
      <c r="I266" s="123" t="s">
        <v>888</v>
      </c>
      <c r="J266" s="124">
        <v>2</v>
      </c>
      <c r="K266" s="117">
        <v>1</v>
      </c>
      <c r="L266" s="117">
        <v>1</v>
      </c>
      <c r="M266" s="116">
        <v>13</v>
      </c>
      <c r="N266" s="116">
        <v>6</v>
      </c>
      <c r="O266" s="116">
        <v>0</v>
      </c>
      <c r="P266" s="43">
        <v>6</v>
      </c>
      <c r="Q266" s="116">
        <v>4</v>
      </c>
      <c r="R266" s="116">
        <v>2</v>
      </c>
      <c r="S266" s="116">
        <v>0</v>
      </c>
      <c r="T266" s="116">
        <v>0</v>
      </c>
      <c r="U266" s="116">
        <v>0</v>
      </c>
      <c r="V266" s="116">
        <v>0</v>
      </c>
      <c r="W266" s="116">
        <v>3</v>
      </c>
      <c r="X266" s="116">
        <v>3</v>
      </c>
      <c r="Y266" s="116">
        <v>0</v>
      </c>
      <c r="Z266" s="116">
        <v>13</v>
      </c>
      <c r="AA266" s="116">
        <v>4</v>
      </c>
      <c r="AB266" s="116">
        <v>0</v>
      </c>
      <c r="AC266" s="116">
        <v>0</v>
      </c>
      <c r="AD266" s="116">
        <v>0</v>
      </c>
      <c r="AE266" s="116">
        <v>0</v>
      </c>
      <c r="AF266" s="116">
        <v>0</v>
      </c>
      <c r="AG266" s="116">
        <v>0</v>
      </c>
      <c r="AH266" s="116">
        <v>0</v>
      </c>
      <c r="AI266" s="116">
        <v>1</v>
      </c>
      <c r="AJ266" s="117">
        <v>0</v>
      </c>
      <c r="AK266" s="117">
        <v>5</v>
      </c>
      <c r="AL266" s="117">
        <v>0</v>
      </c>
      <c r="AM266" s="117">
        <v>0</v>
      </c>
      <c r="AN266" s="117">
        <v>31</v>
      </c>
      <c r="AO266" s="117">
        <v>0</v>
      </c>
      <c r="AP266" s="117">
        <v>5</v>
      </c>
      <c r="AQ266" s="117">
        <v>31</v>
      </c>
      <c r="AR266" s="44"/>
      <c r="AS266" s="44"/>
      <c r="AT266" s="46"/>
      <c r="AU266" s="62" t="s">
        <v>927</v>
      </c>
    </row>
    <row r="267" spans="1:47" ht="16.5" customHeight="1">
      <c r="A267" s="76" t="s">
        <v>145</v>
      </c>
      <c r="B267" s="41" t="s">
        <v>882</v>
      </c>
      <c r="C267" s="5" t="s">
        <v>883</v>
      </c>
      <c r="D267" s="77" t="s">
        <v>950</v>
      </c>
      <c r="E267" s="48"/>
      <c r="F267" s="76" t="s">
        <v>146</v>
      </c>
      <c r="G267" s="121" t="s">
        <v>843</v>
      </c>
      <c r="H267" s="122" t="s">
        <v>842</v>
      </c>
      <c r="I267" s="123" t="s">
        <v>885</v>
      </c>
      <c r="J267" s="124">
        <v>2</v>
      </c>
      <c r="K267" s="117">
        <v>3</v>
      </c>
      <c r="L267" s="117">
        <v>1</v>
      </c>
      <c r="M267" s="116">
        <v>8</v>
      </c>
      <c r="N267" s="116">
        <v>2</v>
      </c>
      <c r="O267" s="116">
        <v>0</v>
      </c>
      <c r="P267" s="43">
        <v>4</v>
      </c>
      <c r="Q267" s="116">
        <v>3</v>
      </c>
      <c r="R267" s="116">
        <v>1</v>
      </c>
      <c r="S267" s="116">
        <v>0</v>
      </c>
      <c r="T267" s="116">
        <v>2</v>
      </c>
      <c r="U267" s="116">
        <v>1</v>
      </c>
      <c r="V267" s="116">
        <v>0</v>
      </c>
      <c r="W267" s="116">
        <v>0</v>
      </c>
      <c r="X267" s="116">
        <v>0</v>
      </c>
      <c r="Y267" s="116">
        <v>0</v>
      </c>
      <c r="Z267" s="116">
        <v>8</v>
      </c>
      <c r="AA267" s="116">
        <v>1</v>
      </c>
      <c r="AB267" s="116">
        <v>0</v>
      </c>
      <c r="AC267" s="116">
        <v>0</v>
      </c>
      <c r="AD267" s="116">
        <v>0</v>
      </c>
      <c r="AE267" s="116">
        <v>0</v>
      </c>
      <c r="AF267" s="116">
        <v>0</v>
      </c>
      <c r="AG267" s="116">
        <v>0</v>
      </c>
      <c r="AH267" s="116">
        <v>0</v>
      </c>
      <c r="AI267" s="116">
        <v>1</v>
      </c>
      <c r="AJ267" s="117">
        <v>0</v>
      </c>
      <c r="AK267" s="117">
        <v>6</v>
      </c>
      <c r="AL267" s="117">
        <v>0</v>
      </c>
      <c r="AM267" s="117">
        <v>0</v>
      </c>
      <c r="AN267" s="117">
        <v>48</v>
      </c>
      <c r="AO267" s="117">
        <v>0</v>
      </c>
      <c r="AP267" s="117">
        <v>5</v>
      </c>
      <c r="AQ267" s="117">
        <v>49</v>
      </c>
      <c r="AR267" s="44"/>
      <c r="AS267" s="44"/>
      <c r="AT267" s="46"/>
      <c r="AU267" s="62" t="s">
        <v>891</v>
      </c>
    </row>
    <row r="268" spans="1:47" ht="16.5" customHeight="1">
      <c r="A268" s="76" t="s">
        <v>617</v>
      </c>
      <c r="B268" s="41" t="s">
        <v>882</v>
      </c>
      <c r="C268" s="5" t="s">
        <v>883</v>
      </c>
      <c r="D268" s="77" t="s">
        <v>950</v>
      </c>
      <c r="E268" s="49"/>
      <c r="F268" s="76" t="s">
        <v>618</v>
      </c>
      <c r="G268" s="121" t="s">
        <v>843</v>
      </c>
      <c r="H268" s="122" t="s">
        <v>842</v>
      </c>
      <c r="I268" s="123" t="s">
        <v>888</v>
      </c>
      <c r="J268" s="124">
        <v>2</v>
      </c>
      <c r="K268" s="117">
        <v>2</v>
      </c>
      <c r="L268" s="117">
        <v>2</v>
      </c>
      <c r="M268" s="116">
        <v>7</v>
      </c>
      <c r="N268" s="116">
        <v>2</v>
      </c>
      <c r="O268" s="116">
        <v>0</v>
      </c>
      <c r="P268" s="43">
        <v>12</v>
      </c>
      <c r="Q268" s="116">
        <v>7</v>
      </c>
      <c r="R268" s="116">
        <v>5</v>
      </c>
      <c r="S268" s="116">
        <v>0</v>
      </c>
      <c r="T268" s="116">
        <v>1</v>
      </c>
      <c r="U268" s="116">
        <v>1</v>
      </c>
      <c r="V268" s="116">
        <v>0</v>
      </c>
      <c r="W268" s="116">
        <v>0</v>
      </c>
      <c r="X268" s="116">
        <v>0</v>
      </c>
      <c r="Y268" s="116">
        <v>0</v>
      </c>
      <c r="Z268" s="116">
        <v>0</v>
      </c>
      <c r="AA268" s="116">
        <v>1</v>
      </c>
      <c r="AB268" s="116">
        <v>0</v>
      </c>
      <c r="AC268" s="116">
        <v>0</v>
      </c>
      <c r="AD268" s="116">
        <v>0</v>
      </c>
      <c r="AE268" s="116">
        <v>0</v>
      </c>
      <c r="AF268" s="116">
        <v>12</v>
      </c>
      <c r="AG268" s="116">
        <v>5</v>
      </c>
      <c r="AH268" s="116">
        <v>0</v>
      </c>
      <c r="AI268" s="116">
        <v>1</v>
      </c>
      <c r="AJ268" s="117">
        <v>1</v>
      </c>
      <c r="AK268" s="117">
        <v>12</v>
      </c>
      <c r="AL268" s="117">
        <v>0</v>
      </c>
      <c r="AM268" s="117">
        <v>9</v>
      </c>
      <c r="AN268" s="117">
        <v>53</v>
      </c>
      <c r="AO268" s="117">
        <v>0</v>
      </c>
      <c r="AP268" s="117">
        <v>9</v>
      </c>
      <c r="AQ268" s="117">
        <v>66</v>
      </c>
      <c r="AR268" s="44"/>
      <c r="AS268" s="44"/>
      <c r="AT268" s="46"/>
      <c r="AU268" s="62" t="s">
        <v>915</v>
      </c>
    </row>
    <row r="269" spans="1:47" ht="16.5" customHeight="1">
      <c r="A269" s="76" t="s">
        <v>148</v>
      </c>
      <c r="B269" s="41" t="s">
        <v>882</v>
      </c>
      <c r="C269" s="5" t="s">
        <v>883</v>
      </c>
      <c r="D269" s="77" t="s">
        <v>950</v>
      </c>
      <c r="E269" s="49"/>
      <c r="F269" s="76" t="s">
        <v>149</v>
      </c>
      <c r="G269" s="121" t="s">
        <v>843</v>
      </c>
      <c r="H269" s="122"/>
      <c r="I269" s="123" t="s">
        <v>888</v>
      </c>
      <c r="J269" s="124">
        <v>2</v>
      </c>
      <c r="K269" s="117">
        <v>2</v>
      </c>
      <c r="L269" s="117">
        <v>2</v>
      </c>
      <c r="M269" s="116">
        <v>5</v>
      </c>
      <c r="N269" s="116">
        <v>2</v>
      </c>
      <c r="O269" s="116">
        <v>0</v>
      </c>
      <c r="P269" s="43">
        <v>5</v>
      </c>
      <c r="Q269" s="116">
        <v>2</v>
      </c>
      <c r="R269" s="116">
        <v>3</v>
      </c>
      <c r="S269" s="116">
        <v>0</v>
      </c>
      <c r="T269" s="116">
        <v>0</v>
      </c>
      <c r="U269" s="116">
        <v>0</v>
      </c>
      <c r="V269" s="116">
        <v>0</v>
      </c>
      <c r="W269" s="116">
        <v>0</v>
      </c>
      <c r="X269" s="116">
        <v>0</v>
      </c>
      <c r="Y269" s="116">
        <v>0</v>
      </c>
      <c r="Z269" s="116">
        <v>0</v>
      </c>
      <c r="AA269" s="116">
        <v>0</v>
      </c>
      <c r="AB269" s="116">
        <v>0</v>
      </c>
      <c r="AC269" s="116">
        <v>0</v>
      </c>
      <c r="AD269" s="116">
        <v>0</v>
      </c>
      <c r="AE269" s="116">
        <v>0</v>
      </c>
      <c r="AF269" s="116">
        <v>6</v>
      </c>
      <c r="AG269" s="116">
        <v>4</v>
      </c>
      <c r="AH269" s="116">
        <v>0</v>
      </c>
      <c r="AI269" s="116">
        <v>1</v>
      </c>
      <c r="AJ269" s="117">
        <v>0</v>
      </c>
      <c r="AK269" s="117">
        <v>5</v>
      </c>
      <c r="AL269" s="117">
        <v>0</v>
      </c>
      <c r="AM269" s="117">
        <v>0</v>
      </c>
      <c r="AN269" s="117">
        <v>24</v>
      </c>
      <c r="AO269" s="117">
        <v>0</v>
      </c>
      <c r="AP269" s="117">
        <v>4</v>
      </c>
      <c r="AQ269" s="117">
        <v>25</v>
      </c>
      <c r="AR269" s="44"/>
      <c r="AS269" s="44"/>
      <c r="AT269" s="46"/>
      <c r="AU269" s="62" t="s">
        <v>886</v>
      </c>
    </row>
    <row r="270" spans="1:47" ht="16.5" customHeight="1">
      <c r="A270" s="76" t="s">
        <v>623</v>
      </c>
      <c r="B270" s="41" t="s">
        <v>882</v>
      </c>
      <c r="C270" s="5" t="s">
        <v>883</v>
      </c>
      <c r="D270" s="77" t="s">
        <v>950</v>
      </c>
      <c r="E270" s="47"/>
      <c r="F270" s="76" t="s">
        <v>624</v>
      </c>
      <c r="G270" s="121" t="s">
        <v>843</v>
      </c>
      <c r="H270" s="122"/>
      <c r="I270" s="123" t="s">
        <v>888</v>
      </c>
      <c r="J270" s="124">
        <v>2</v>
      </c>
      <c r="K270" s="117">
        <v>0</v>
      </c>
      <c r="L270" s="117">
        <v>0</v>
      </c>
      <c r="M270" s="116">
        <v>8</v>
      </c>
      <c r="N270" s="116">
        <v>1</v>
      </c>
      <c r="O270" s="116">
        <v>1</v>
      </c>
      <c r="P270" s="43">
        <v>1</v>
      </c>
      <c r="Q270" s="116">
        <v>1</v>
      </c>
      <c r="R270" s="116">
        <v>0</v>
      </c>
      <c r="S270" s="116">
        <v>0</v>
      </c>
      <c r="T270" s="116">
        <v>0</v>
      </c>
      <c r="U270" s="116">
        <v>0</v>
      </c>
      <c r="V270" s="116">
        <v>0</v>
      </c>
      <c r="W270" s="116">
        <v>0</v>
      </c>
      <c r="X270" s="116">
        <v>0</v>
      </c>
      <c r="Y270" s="116">
        <v>0</v>
      </c>
      <c r="Z270" s="116">
        <v>0</v>
      </c>
      <c r="AA270" s="116">
        <v>0</v>
      </c>
      <c r="AB270" s="116">
        <v>0</v>
      </c>
      <c r="AC270" s="116">
        <v>7</v>
      </c>
      <c r="AD270" s="116">
        <v>1</v>
      </c>
      <c r="AE270" s="116">
        <v>3</v>
      </c>
      <c r="AF270" s="116">
        <v>0</v>
      </c>
      <c r="AG270" s="116">
        <v>0</v>
      </c>
      <c r="AH270" s="116">
        <v>0</v>
      </c>
      <c r="AI270" s="116">
        <v>1</v>
      </c>
      <c r="AJ270" s="117">
        <v>0</v>
      </c>
      <c r="AK270" s="117">
        <v>8</v>
      </c>
      <c r="AL270" s="117">
        <v>0</v>
      </c>
      <c r="AM270" s="117">
        <v>16</v>
      </c>
      <c r="AN270" s="117">
        <v>14</v>
      </c>
      <c r="AO270" s="117">
        <v>0</v>
      </c>
      <c r="AP270" s="117">
        <v>5</v>
      </c>
      <c r="AQ270" s="117">
        <v>33</v>
      </c>
      <c r="AR270" s="44"/>
      <c r="AS270" s="44"/>
      <c r="AT270" s="46"/>
      <c r="AU270" s="62" t="s">
        <v>913</v>
      </c>
    </row>
    <row r="271" spans="1:47" ht="16.5" customHeight="1">
      <c r="A271" s="76" t="s">
        <v>136</v>
      </c>
      <c r="B271" s="41" t="s">
        <v>882</v>
      </c>
      <c r="C271" s="5" t="s">
        <v>883</v>
      </c>
      <c r="D271" s="77" t="s">
        <v>950</v>
      </c>
      <c r="E271" s="49"/>
      <c r="F271" s="76" t="s">
        <v>137</v>
      </c>
      <c r="G271" s="121" t="s">
        <v>843</v>
      </c>
      <c r="H271" s="122" t="s">
        <v>842</v>
      </c>
      <c r="I271" s="123" t="s">
        <v>888</v>
      </c>
      <c r="J271" s="124">
        <v>2</v>
      </c>
      <c r="K271" s="117">
        <v>1</v>
      </c>
      <c r="L271" s="117">
        <v>1</v>
      </c>
      <c r="M271" s="116">
        <v>14</v>
      </c>
      <c r="N271" s="116">
        <v>3</v>
      </c>
      <c r="O271" s="116">
        <v>0</v>
      </c>
      <c r="P271" s="43">
        <v>2</v>
      </c>
      <c r="Q271" s="116">
        <v>2</v>
      </c>
      <c r="R271" s="116">
        <v>0</v>
      </c>
      <c r="S271" s="116">
        <v>0</v>
      </c>
      <c r="T271" s="116">
        <v>0</v>
      </c>
      <c r="U271" s="116">
        <v>0</v>
      </c>
      <c r="V271" s="116">
        <v>0</v>
      </c>
      <c r="W271" s="116">
        <v>6</v>
      </c>
      <c r="X271" s="116">
        <v>1</v>
      </c>
      <c r="Y271" s="116">
        <v>0</v>
      </c>
      <c r="Z271" s="116">
        <v>9</v>
      </c>
      <c r="AA271" s="116">
        <v>2</v>
      </c>
      <c r="AB271" s="116">
        <v>0</v>
      </c>
      <c r="AC271" s="116">
        <v>0</v>
      </c>
      <c r="AD271" s="116">
        <v>0</v>
      </c>
      <c r="AE271" s="116">
        <v>0</v>
      </c>
      <c r="AF271" s="116">
        <v>0</v>
      </c>
      <c r="AG271" s="116">
        <v>0</v>
      </c>
      <c r="AH271" s="116">
        <v>0</v>
      </c>
      <c r="AI271" s="116">
        <v>1</v>
      </c>
      <c r="AJ271" s="117">
        <v>0</v>
      </c>
      <c r="AK271" s="117">
        <v>9</v>
      </c>
      <c r="AL271" s="117">
        <v>0</v>
      </c>
      <c r="AM271" s="117">
        <v>0</v>
      </c>
      <c r="AN271" s="117">
        <v>55</v>
      </c>
      <c r="AO271" s="117">
        <v>0</v>
      </c>
      <c r="AP271" s="117">
        <v>3</v>
      </c>
      <c r="AQ271" s="117">
        <v>58</v>
      </c>
      <c r="AR271" s="44"/>
      <c r="AS271" s="44"/>
      <c r="AT271" s="46"/>
      <c r="AU271" s="62" t="s">
        <v>891</v>
      </c>
    </row>
    <row r="272" spans="1:47" ht="16.5" customHeight="1">
      <c r="A272" s="76" t="s">
        <v>277</v>
      </c>
      <c r="B272" s="41" t="s">
        <v>882</v>
      </c>
      <c r="C272" s="5" t="s">
        <v>883</v>
      </c>
      <c r="D272" s="77" t="s">
        <v>950</v>
      </c>
      <c r="E272" s="49"/>
      <c r="F272" s="76" t="s">
        <v>278</v>
      </c>
      <c r="G272" s="121" t="s">
        <v>843</v>
      </c>
      <c r="H272" s="122"/>
      <c r="I272" s="123" t="s">
        <v>888</v>
      </c>
      <c r="J272" s="124">
        <v>2</v>
      </c>
      <c r="K272" s="117">
        <v>2</v>
      </c>
      <c r="L272" s="117">
        <v>1</v>
      </c>
      <c r="M272" s="116">
        <v>5</v>
      </c>
      <c r="N272" s="116">
        <v>1</v>
      </c>
      <c r="O272" s="116">
        <v>0</v>
      </c>
      <c r="P272" s="43">
        <v>4</v>
      </c>
      <c r="Q272" s="116">
        <v>2</v>
      </c>
      <c r="R272" s="116">
        <v>2</v>
      </c>
      <c r="S272" s="116">
        <v>0</v>
      </c>
      <c r="T272" s="116">
        <v>1</v>
      </c>
      <c r="U272" s="116">
        <v>0</v>
      </c>
      <c r="V272" s="116">
        <v>0</v>
      </c>
      <c r="W272" s="116">
        <v>0</v>
      </c>
      <c r="X272" s="116">
        <v>0</v>
      </c>
      <c r="Y272" s="116">
        <v>0</v>
      </c>
      <c r="Z272" s="116">
        <v>5</v>
      </c>
      <c r="AA272" s="116">
        <v>3</v>
      </c>
      <c r="AB272" s="116">
        <v>0</v>
      </c>
      <c r="AC272" s="116">
        <v>0</v>
      </c>
      <c r="AD272" s="116">
        <v>0</v>
      </c>
      <c r="AE272" s="116">
        <v>0</v>
      </c>
      <c r="AF272" s="116">
        <v>0</v>
      </c>
      <c r="AG272" s="116">
        <v>0</v>
      </c>
      <c r="AH272" s="116">
        <v>0</v>
      </c>
      <c r="AI272" s="116">
        <v>1</v>
      </c>
      <c r="AJ272" s="117">
        <v>0</v>
      </c>
      <c r="AK272" s="117">
        <v>5</v>
      </c>
      <c r="AL272" s="117">
        <v>0</v>
      </c>
      <c r="AM272" s="117">
        <v>0</v>
      </c>
      <c r="AN272" s="117">
        <v>26</v>
      </c>
      <c r="AO272" s="117">
        <v>0</v>
      </c>
      <c r="AP272" s="117">
        <v>4</v>
      </c>
      <c r="AQ272" s="117">
        <v>27</v>
      </c>
      <c r="AR272" s="44"/>
      <c r="AS272" s="44"/>
      <c r="AT272" s="46"/>
      <c r="AU272" s="62" t="s">
        <v>920</v>
      </c>
    </row>
    <row r="273" spans="1:47" ht="16.5" customHeight="1">
      <c r="A273" s="76" t="s">
        <v>627</v>
      </c>
      <c r="B273" s="41" t="s">
        <v>882</v>
      </c>
      <c r="C273" s="5" t="s">
        <v>883</v>
      </c>
      <c r="D273" s="77" t="s">
        <v>950</v>
      </c>
      <c r="E273" s="47"/>
      <c r="F273" s="76" t="s">
        <v>628</v>
      </c>
      <c r="G273" s="121" t="s">
        <v>843</v>
      </c>
      <c r="H273" s="122"/>
      <c r="I273" s="123" t="s">
        <v>888</v>
      </c>
      <c r="J273" s="124">
        <v>2</v>
      </c>
      <c r="K273" s="117">
        <v>1</v>
      </c>
      <c r="L273" s="117">
        <v>1</v>
      </c>
      <c r="M273" s="116">
        <v>5</v>
      </c>
      <c r="N273" s="116">
        <v>2</v>
      </c>
      <c r="O273" s="116">
        <v>0</v>
      </c>
      <c r="P273" s="43">
        <v>4</v>
      </c>
      <c r="Q273" s="116">
        <v>0</v>
      </c>
      <c r="R273" s="116">
        <v>4</v>
      </c>
      <c r="S273" s="116">
        <v>0</v>
      </c>
      <c r="T273" s="116">
        <v>0</v>
      </c>
      <c r="U273" s="116">
        <v>0</v>
      </c>
      <c r="V273" s="116">
        <v>0</v>
      </c>
      <c r="W273" s="116">
        <v>0</v>
      </c>
      <c r="X273" s="116">
        <v>0</v>
      </c>
      <c r="Y273" s="116">
        <v>0</v>
      </c>
      <c r="Z273" s="116">
        <v>0</v>
      </c>
      <c r="AA273" s="116">
        <v>0</v>
      </c>
      <c r="AB273" s="116">
        <v>0</v>
      </c>
      <c r="AC273" s="116">
        <v>0</v>
      </c>
      <c r="AD273" s="116">
        <v>0</v>
      </c>
      <c r="AE273" s="116">
        <v>0</v>
      </c>
      <c r="AF273" s="116">
        <v>4</v>
      </c>
      <c r="AG273" s="116">
        <v>5</v>
      </c>
      <c r="AH273" s="116">
        <v>0</v>
      </c>
      <c r="AI273" s="116">
        <v>1</v>
      </c>
      <c r="AJ273" s="117">
        <v>1</v>
      </c>
      <c r="AK273" s="117">
        <v>4</v>
      </c>
      <c r="AL273" s="117">
        <v>0</v>
      </c>
      <c r="AM273" s="117">
        <v>4</v>
      </c>
      <c r="AN273" s="117">
        <v>11</v>
      </c>
      <c r="AO273" s="117">
        <v>0</v>
      </c>
      <c r="AP273" s="117">
        <v>3</v>
      </c>
      <c r="AQ273" s="117">
        <v>17</v>
      </c>
      <c r="AR273" s="44"/>
      <c r="AS273" s="44"/>
      <c r="AT273" s="46"/>
      <c r="AU273" s="62" t="s">
        <v>901</v>
      </c>
    </row>
    <row r="274" spans="1:47" ht="16.5" customHeight="1">
      <c r="A274" s="76" t="s">
        <v>637</v>
      </c>
      <c r="B274" s="41" t="s">
        <v>882</v>
      </c>
      <c r="C274" s="5" t="s">
        <v>883</v>
      </c>
      <c r="D274" s="77" t="s">
        <v>950</v>
      </c>
      <c r="E274" s="48"/>
      <c r="F274" s="76" t="s">
        <v>638</v>
      </c>
      <c r="G274" s="121" t="s">
        <v>843</v>
      </c>
      <c r="H274" s="122" t="s">
        <v>842</v>
      </c>
      <c r="I274" s="123" t="s">
        <v>888</v>
      </c>
      <c r="J274" s="124">
        <v>2</v>
      </c>
      <c r="K274" s="117">
        <v>1</v>
      </c>
      <c r="L274" s="117">
        <v>1</v>
      </c>
      <c r="M274" s="116">
        <v>8</v>
      </c>
      <c r="N274" s="116">
        <v>1</v>
      </c>
      <c r="O274" s="116">
        <v>0</v>
      </c>
      <c r="P274" s="43">
        <v>5</v>
      </c>
      <c r="Q274" s="116">
        <v>3</v>
      </c>
      <c r="R274" s="116">
        <v>2</v>
      </c>
      <c r="S274" s="116">
        <v>0</v>
      </c>
      <c r="T274" s="116">
        <v>0</v>
      </c>
      <c r="U274" s="116">
        <v>0</v>
      </c>
      <c r="V274" s="116">
        <v>0</v>
      </c>
      <c r="W274" s="116">
        <v>0</v>
      </c>
      <c r="X274" s="116">
        <v>0</v>
      </c>
      <c r="Y274" s="116">
        <v>0</v>
      </c>
      <c r="Z274" s="116">
        <v>10</v>
      </c>
      <c r="AA274" s="116">
        <v>2</v>
      </c>
      <c r="AB274" s="116">
        <v>0</v>
      </c>
      <c r="AC274" s="116">
        <v>0</v>
      </c>
      <c r="AD274" s="116">
        <v>0</v>
      </c>
      <c r="AE274" s="116">
        <v>0</v>
      </c>
      <c r="AF274" s="116">
        <v>0</v>
      </c>
      <c r="AG274" s="116">
        <v>0</v>
      </c>
      <c r="AH274" s="116">
        <v>0</v>
      </c>
      <c r="AI274" s="116">
        <v>1</v>
      </c>
      <c r="AJ274" s="117">
        <v>1</v>
      </c>
      <c r="AK274" s="117">
        <v>4</v>
      </c>
      <c r="AL274" s="117">
        <v>1</v>
      </c>
      <c r="AM274" s="117">
        <v>12</v>
      </c>
      <c r="AN274" s="117">
        <v>20</v>
      </c>
      <c r="AO274" s="117">
        <v>0</v>
      </c>
      <c r="AP274" s="117">
        <v>3</v>
      </c>
      <c r="AQ274" s="117">
        <v>47</v>
      </c>
      <c r="AR274" s="44"/>
      <c r="AS274" s="44"/>
      <c r="AT274" s="46"/>
      <c r="AU274" s="62" t="s">
        <v>898</v>
      </c>
    </row>
    <row r="275" spans="1:47" ht="16.5" customHeight="1">
      <c r="A275" s="76" t="s">
        <v>211</v>
      </c>
      <c r="B275" s="41" t="s">
        <v>882</v>
      </c>
      <c r="C275" s="5" t="s">
        <v>883</v>
      </c>
      <c r="D275" s="77" t="s">
        <v>950</v>
      </c>
      <c r="E275" s="47"/>
      <c r="F275" s="76" t="s">
        <v>212</v>
      </c>
      <c r="G275" s="121" t="s">
        <v>843</v>
      </c>
      <c r="H275" s="122"/>
      <c r="I275" s="123" t="s">
        <v>888</v>
      </c>
      <c r="J275" s="124">
        <v>2</v>
      </c>
      <c r="K275" s="117">
        <v>3</v>
      </c>
      <c r="L275" s="117">
        <v>1</v>
      </c>
      <c r="M275" s="116">
        <v>6</v>
      </c>
      <c r="N275" s="116">
        <v>4</v>
      </c>
      <c r="O275" s="116">
        <v>0</v>
      </c>
      <c r="P275" s="43">
        <v>7</v>
      </c>
      <c r="Q275" s="116">
        <v>5</v>
      </c>
      <c r="R275" s="116">
        <v>2</v>
      </c>
      <c r="S275" s="116">
        <v>0</v>
      </c>
      <c r="T275" s="116">
        <v>1</v>
      </c>
      <c r="U275" s="116">
        <v>0</v>
      </c>
      <c r="V275" s="116">
        <v>0</v>
      </c>
      <c r="W275" s="116">
        <v>0</v>
      </c>
      <c r="X275" s="116">
        <v>0</v>
      </c>
      <c r="Y275" s="116">
        <v>0</v>
      </c>
      <c r="Z275" s="116">
        <v>0</v>
      </c>
      <c r="AA275" s="116">
        <v>0</v>
      </c>
      <c r="AB275" s="116">
        <v>0</v>
      </c>
      <c r="AC275" s="116">
        <v>0</v>
      </c>
      <c r="AD275" s="116">
        <v>0</v>
      </c>
      <c r="AE275" s="116">
        <v>0</v>
      </c>
      <c r="AF275" s="116">
        <v>9</v>
      </c>
      <c r="AG275" s="116">
        <v>5</v>
      </c>
      <c r="AH275" s="116">
        <v>0</v>
      </c>
      <c r="AI275" s="116">
        <v>1</v>
      </c>
      <c r="AJ275" s="117">
        <v>0</v>
      </c>
      <c r="AK275" s="117">
        <v>4</v>
      </c>
      <c r="AL275" s="117">
        <v>0</v>
      </c>
      <c r="AM275" s="117">
        <v>14</v>
      </c>
      <c r="AN275" s="117">
        <v>12</v>
      </c>
      <c r="AO275" s="117">
        <v>0</v>
      </c>
      <c r="AP275" s="117">
        <v>2</v>
      </c>
      <c r="AQ275" s="117">
        <v>28</v>
      </c>
      <c r="AR275" s="44"/>
      <c r="AS275" s="44"/>
      <c r="AT275" s="46"/>
      <c r="AU275" s="62" t="s">
        <v>904</v>
      </c>
    </row>
    <row r="276" spans="1:47" ht="16.5" customHeight="1">
      <c r="A276" s="76" t="s">
        <v>48</v>
      </c>
      <c r="B276" s="41" t="s">
        <v>882</v>
      </c>
      <c r="C276" s="5" t="s">
        <v>883</v>
      </c>
      <c r="D276" s="77" t="s">
        <v>950</v>
      </c>
      <c r="E276" s="48"/>
      <c r="F276" s="76" t="s">
        <v>49</v>
      </c>
      <c r="G276" s="121" t="s">
        <v>843</v>
      </c>
      <c r="H276" s="122" t="s">
        <v>842</v>
      </c>
      <c r="I276" s="123" t="s">
        <v>885</v>
      </c>
      <c r="J276" s="124">
        <v>2</v>
      </c>
      <c r="K276" s="117">
        <v>2</v>
      </c>
      <c r="L276" s="117">
        <v>1</v>
      </c>
      <c r="M276" s="116">
        <v>14</v>
      </c>
      <c r="N276" s="116">
        <v>6</v>
      </c>
      <c r="O276" s="116">
        <v>0</v>
      </c>
      <c r="P276" s="43">
        <v>1</v>
      </c>
      <c r="Q276" s="116">
        <v>1</v>
      </c>
      <c r="R276" s="116">
        <v>0</v>
      </c>
      <c r="S276" s="116">
        <v>0</v>
      </c>
      <c r="T276" s="116">
        <v>0</v>
      </c>
      <c r="U276" s="116">
        <v>0</v>
      </c>
      <c r="V276" s="116">
        <v>0</v>
      </c>
      <c r="W276" s="116">
        <v>1</v>
      </c>
      <c r="X276" s="116">
        <v>1</v>
      </c>
      <c r="Y276" s="116">
        <v>0</v>
      </c>
      <c r="Z276" s="116">
        <v>13</v>
      </c>
      <c r="AA276" s="116">
        <v>4</v>
      </c>
      <c r="AB276" s="116">
        <v>0</v>
      </c>
      <c r="AC276" s="116">
        <v>0</v>
      </c>
      <c r="AD276" s="116">
        <v>0</v>
      </c>
      <c r="AE276" s="116">
        <v>0</v>
      </c>
      <c r="AF276" s="116">
        <v>0</v>
      </c>
      <c r="AG276" s="116">
        <v>0</v>
      </c>
      <c r="AH276" s="116">
        <v>0</v>
      </c>
      <c r="AI276" s="116">
        <v>1</v>
      </c>
      <c r="AJ276" s="117">
        <v>0</v>
      </c>
      <c r="AK276" s="117">
        <v>7</v>
      </c>
      <c r="AL276" s="117">
        <v>0</v>
      </c>
      <c r="AM276" s="117">
        <v>0</v>
      </c>
      <c r="AN276" s="117">
        <v>58</v>
      </c>
      <c r="AO276" s="117">
        <v>0</v>
      </c>
      <c r="AP276" s="117">
        <v>7</v>
      </c>
      <c r="AQ276" s="117">
        <v>58</v>
      </c>
      <c r="AR276" s="44"/>
      <c r="AS276" s="44"/>
      <c r="AT276" s="46"/>
      <c r="AU276" s="62" t="s">
        <v>893</v>
      </c>
    </row>
    <row r="277" spans="1:47" ht="16.5" customHeight="1">
      <c r="A277" s="76" t="s">
        <v>643</v>
      </c>
      <c r="B277" s="41" t="s">
        <v>882</v>
      </c>
      <c r="C277" s="5" t="s">
        <v>883</v>
      </c>
      <c r="D277" s="77" t="s">
        <v>950</v>
      </c>
      <c r="E277" s="48"/>
      <c r="F277" s="76" t="s">
        <v>644</v>
      </c>
      <c r="G277" s="121" t="s">
        <v>843</v>
      </c>
      <c r="H277" s="122"/>
      <c r="I277" s="123" t="s">
        <v>888</v>
      </c>
      <c r="J277" s="124">
        <v>2</v>
      </c>
      <c r="K277" s="117">
        <v>3</v>
      </c>
      <c r="L277" s="117">
        <v>1</v>
      </c>
      <c r="M277" s="116">
        <v>5</v>
      </c>
      <c r="N277" s="116">
        <v>2</v>
      </c>
      <c r="O277" s="116">
        <v>0</v>
      </c>
      <c r="P277" s="43">
        <v>4</v>
      </c>
      <c r="Q277" s="116">
        <v>2</v>
      </c>
      <c r="R277" s="116">
        <v>2</v>
      </c>
      <c r="S277" s="116">
        <v>0</v>
      </c>
      <c r="T277" s="116">
        <v>0</v>
      </c>
      <c r="U277" s="116">
        <v>0</v>
      </c>
      <c r="V277" s="116">
        <v>0</v>
      </c>
      <c r="W277" s="116">
        <v>0</v>
      </c>
      <c r="X277" s="116">
        <v>0</v>
      </c>
      <c r="Y277" s="116">
        <v>0</v>
      </c>
      <c r="Z277" s="116">
        <v>6</v>
      </c>
      <c r="AA277" s="116">
        <v>3</v>
      </c>
      <c r="AB277" s="116">
        <v>0</v>
      </c>
      <c r="AC277" s="116">
        <v>0</v>
      </c>
      <c r="AD277" s="116">
        <v>0</v>
      </c>
      <c r="AE277" s="116">
        <v>0</v>
      </c>
      <c r="AF277" s="116">
        <v>0</v>
      </c>
      <c r="AG277" s="116">
        <v>0</v>
      </c>
      <c r="AH277" s="116">
        <v>0</v>
      </c>
      <c r="AI277" s="116">
        <v>1</v>
      </c>
      <c r="AJ277" s="117">
        <v>0</v>
      </c>
      <c r="AK277" s="117">
        <v>5</v>
      </c>
      <c r="AL277" s="117">
        <v>0</v>
      </c>
      <c r="AM277" s="117">
        <v>0</v>
      </c>
      <c r="AN277" s="117">
        <v>32</v>
      </c>
      <c r="AO277" s="117">
        <v>0</v>
      </c>
      <c r="AP277" s="117">
        <v>5</v>
      </c>
      <c r="AQ277" s="117">
        <v>32</v>
      </c>
      <c r="AR277" s="44"/>
      <c r="AS277" s="44"/>
      <c r="AT277" s="46"/>
      <c r="AU277" s="62" t="s">
        <v>941</v>
      </c>
    </row>
    <row r="278" spans="1:47" ht="16.5" customHeight="1">
      <c r="A278" s="76" t="s">
        <v>663</v>
      </c>
      <c r="B278" s="41" t="s">
        <v>882</v>
      </c>
      <c r="C278" s="5" t="s">
        <v>883</v>
      </c>
      <c r="D278" s="77" t="s">
        <v>950</v>
      </c>
      <c r="E278" s="47"/>
      <c r="F278" s="76" t="s">
        <v>664</v>
      </c>
      <c r="G278" s="121" t="s">
        <v>843</v>
      </c>
      <c r="H278" s="122" t="s">
        <v>842</v>
      </c>
      <c r="I278" s="123" t="s">
        <v>885</v>
      </c>
      <c r="J278" s="124">
        <v>2</v>
      </c>
      <c r="K278" s="117">
        <v>2</v>
      </c>
      <c r="L278" s="117">
        <v>1</v>
      </c>
      <c r="M278" s="116">
        <v>5</v>
      </c>
      <c r="N278" s="116">
        <v>1</v>
      </c>
      <c r="O278" s="116">
        <v>0</v>
      </c>
      <c r="P278" s="43">
        <v>7</v>
      </c>
      <c r="Q278" s="116">
        <v>5</v>
      </c>
      <c r="R278" s="116">
        <v>2</v>
      </c>
      <c r="S278" s="116">
        <v>0</v>
      </c>
      <c r="T278" s="116">
        <v>0</v>
      </c>
      <c r="U278" s="116">
        <v>0</v>
      </c>
      <c r="V278" s="116">
        <v>0</v>
      </c>
      <c r="W278" s="116">
        <v>0</v>
      </c>
      <c r="X278" s="116">
        <v>0</v>
      </c>
      <c r="Y278" s="116">
        <v>0</v>
      </c>
      <c r="Z278" s="116">
        <v>0</v>
      </c>
      <c r="AA278" s="116">
        <v>0</v>
      </c>
      <c r="AB278" s="116">
        <v>0</v>
      </c>
      <c r="AC278" s="116">
        <v>0</v>
      </c>
      <c r="AD278" s="116">
        <v>0</v>
      </c>
      <c r="AE278" s="116">
        <v>0</v>
      </c>
      <c r="AF278" s="116">
        <v>9</v>
      </c>
      <c r="AG278" s="116">
        <v>2</v>
      </c>
      <c r="AH278" s="116">
        <v>0</v>
      </c>
      <c r="AI278" s="116">
        <v>1</v>
      </c>
      <c r="AJ278" s="117">
        <v>3</v>
      </c>
      <c r="AK278" s="117">
        <v>7</v>
      </c>
      <c r="AL278" s="117">
        <v>0</v>
      </c>
      <c r="AM278" s="117">
        <v>2</v>
      </c>
      <c r="AN278" s="117">
        <v>48</v>
      </c>
      <c r="AO278" s="117">
        <v>0</v>
      </c>
      <c r="AP278" s="117">
        <v>8</v>
      </c>
      <c r="AQ278" s="117">
        <v>52</v>
      </c>
      <c r="AR278" s="44"/>
      <c r="AS278" s="44"/>
      <c r="AT278" s="46"/>
      <c r="AU278" s="62" t="s">
        <v>891</v>
      </c>
    </row>
    <row r="279" spans="1:47" ht="16.5" customHeight="1">
      <c r="A279" s="76" t="s">
        <v>217</v>
      </c>
      <c r="B279" s="41" t="s">
        <v>882</v>
      </c>
      <c r="C279" s="5" t="s">
        <v>883</v>
      </c>
      <c r="D279" s="77" t="s">
        <v>950</v>
      </c>
      <c r="E279" s="48"/>
      <c r="F279" s="76" t="s">
        <v>218</v>
      </c>
      <c r="G279" s="121" t="s">
        <v>843</v>
      </c>
      <c r="H279" s="122" t="s">
        <v>842</v>
      </c>
      <c r="I279" s="123" t="s">
        <v>888</v>
      </c>
      <c r="J279" s="124">
        <v>2</v>
      </c>
      <c r="K279" s="117">
        <v>3</v>
      </c>
      <c r="L279" s="117">
        <v>1</v>
      </c>
      <c r="M279" s="116">
        <v>8</v>
      </c>
      <c r="N279" s="116">
        <v>4</v>
      </c>
      <c r="O279" s="116">
        <v>0</v>
      </c>
      <c r="P279" s="43">
        <v>12</v>
      </c>
      <c r="Q279" s="116">
        <v>11</v>
      </c>
      <c r="R279" s="116">
        <v>1</v>
      </c>
      <c r="S279" s="116">
        <v>0</v>
      </c>
      <c r="T279" s="116">
        <v>3</v>
      </c>
      <c r="U279" s="116">
        <v>1</v>
      </c>
      <c r="V279" s="116">
        <v>0</v>
      </c>
      <c r="W279" s="116">
        <v>0</v>
      </c>
      <c r="X279" s="116">
        <v>0</v>
      </c>
      <c r="Y279" s="116">
        <v>0</v>
      </c>
      <c r="Z279" s="116">
        <v>0</v>
      </c>
      <c r="AA279" s="116">
        <v>0</v>
      </c>
      <c r="AB279" s="116">
        <v>0</v>
      </c>
      <c r="AC279" s="116">
        <v>15</v>
      </c>
      <c r="AD279" s="116">
        <v>3</v>
      </c>
      <c r="AE279" s="116">
        <v>0</v>
      </c>
      <c r="AF279" s="116">
        <v>0</v>
      </c>
      <c r="AG279" s="116">
        <v>0</v>
      </c>
      <c r="AH279" s="116">
        <v>0</v>
      </c>
      <c r="AI279" s="116">
        <v>1</v>
      </c>
      <c r="AJ279" s="117">
        <v>2</v>
      </c>
      <c r="AK279" s="117">
        <v>7</v>
      </c>
      <c r="AL279" s="117">
        <v>0</v>
      </c>
      <c r="AM279" s="117">
        <v>0</v>
      </c>
      <c r="AN279" s="117">
        <v>56</v>
      </c>
      <c r="AO279" s="117">
        <v>1</v>
      </c>
      <c r="AP279" s="117">
        <v>7</v>
      </c>
      <c r="AQ279" s="117">
        <v>57</v>
      </c>
      <c r="AR279" s="44"/>
      <c r="AS279" s="44"/>
      <c r="AT279" s="46"/>
      <c r="AU279" s="62" t="s">
        <v>896</v>
      </c>
    </row>
    <row r="280" spans="1:47" ht="16.5" customHeight="1">
      <c r="A280" s="76" t="s">
        <v>667</v>
      </c>
      <c r="B280" s="41" t="s">
        <v>882</v>
      </c>
      <c r="C280" s="5" t="s">
        <v>883</v>
      </c>
      <c r="D280" s="77" t="s">
        <v>950</v>
      </c>
      <c r="E280" s="48"/>
      <c r="F280" s="76" t="s">
        <v>668</v>
      </c>
      <c r="G280" s="121" t="s">
        <v>843</v>
      </c>
      <c r="H280" s="122"/>
      <c r="I280" s="123" t="s">
        <v>888</v>
      </c>
      <c r="J280" s="124">
        <v>2</v>
      </c>
      <c r="K280" s="117">
        <v>1</v>
      </c>
      <c r="L280" s="117">
        <v>3</v>
      </c>
      <c r="M280" s="116">
        <v>6</v>
      </c>
      <c r="N280" s="116">
        <v>1</v>
      </c>
      <c r="O280" s="116">
        <v>0</v>
      </c>
      <c r="P280" s="43">
        <v>10</v>
      </c>
      <c r="Q280" s="116">
        <v>5</v>
      </c>
      <c r="R280" s="116">
        <v>5</v>
      </c>
      <c r="S280" s="116">
        <v>0</v>
      </c>
      <c r="T280" s="116">
        <v>0</v>
      </c>
      <c r="U280" s="116">
        <v>0</v>
      </c>
      <c r="V280" s="116">
        <v>0</v>
      </c>
      <c r="W280" s="116">
        <v>1</v>
      </c>
      <c r="X280" s="116">
        <v>1</v>
      </c>
      <c r="Y280" s="116">
        <v>0</v>
      </c>
      <c r="Z280" s="116">
        <v>9</v>
      </c>
      <c r="AA280" s="116">
        <v>4</v>
      </c>
      <c r="AB280" s="116">
        <v>0</v>
      </c>
      <c r="AC280" s="116">
        <v>0</v>
      </c>
      <c r="AD280" s="116">
        <v>0</v>
      </c>
      <c r="AE280" s="116">
        <v>0</v>
      </c>
      <c r="AF280" s="116">
        <v>0</v>
      </c>
      <c r="AG280" s="116">
        <v>0</v>
      </c>
      <c r="AH280" s="116">
        <v>0</v>
      </c>
      <c r="AI280" s="116">
        <v>1</v>
      </c>
      <c r="AJ280" s="117">
        <v>0</v>
      </c>
      <c r="AK280" s="117">
        <v>5</v>
      </c>
      <c r="AL280" s="117">
        <v>0</v>
      </c>
      <c r="AM280" s="117">
        <v>6</v>
      </c>
      <c r="AN280" s="117">
        <v>18</v>
      </c>
      <c r="AO280" s="117">
        <v>0</v>
      </c>
      <c r="AP280" s="117">
        <v>4</v>
      </c>
      <c r="AQ280" s="117">
        <v>25</v>
      </c>
      <c r="AR280" s="44"/>
      <c r="AS280" s="44"/>
      <c r="AT280" s="46"/>
      <c r="AU280" s="62" t="s">
        <v>887</v>
      </c>
    </row>
    <row r="281" spans="1:47" ht="16.5" customHeight="1">
      <c r="A281" s="76" t="s">
        <v>220</v>
      </c>
      <c r="B281" s="41" t="s">
        <v>882</v>
      </c>
      <c r="C281" s="5" t="s">
        <v>883</v>
      </c>
      <c r="D281" s="77" t="s">
        <v>950</v>
      </c>
      <c r="E281" s="48"/>
      <c r="F281" s="76" t="s">
        <v>221</v>
      </c>
      <c r="G281" s="121" t="s">
        <v>843</v>
      </c>
      <c r="H281" s="122"/>
      <c r="I281" s="123" t="s">
        <v>888</v>
      </c>
      <c r="J281" s="124">
        <v>2</v>
      </c>
      <c r="K281" s="117">
        <v>2</v>
      </c>
      <c r="L281" s="117">
        <v>1</v>
      </c>
      <c r="M281" s="116">
        <v>9</v>
      </c>
      <c r="N281" s="116">
        <v>4</v>
      </c>
      <c r="O281" s="116">
        <v>0</v>
      </c>
      <c r="P281" s="43">
        <v>4</v>
      </c>
      <c r="Q281" s="116">
        <v>4</v>
      </c>
      <c r="R281" s="116">
        <v>0</v>
      </c>
      <c r="S281" s="116">
        <v>0</v>
      </c>
      <c r="T281" s="116">
        <v>0</v>
      </c>
      <c r="U281" s="116">
        <v>0</v>
      </c>
      <c r="V281" s="116">
        <v>0</v>
      </c>
      <c r="W281" s="116">
        <v>0</v>
      </c>
      <c r="X281" s="116">
        <v>0</v>
      </c>
      <c r="Y281" s="116">
        <v>0</v>
      </c>
      <c r="Z281" s="116">
        <v>12</v>
      </c>
      <c r="AA281" s="116">
        <v>3</v>
      </c>
      <c r="AB281" s="116">
        <v>0</v>
      </c>
      <c r="AC281" s="116">
        <v>0</v>
      </c>
      <c r="AD281" s="116">
        <v>0</v>
      </c>
      <c r="AE281" s="116">
        <v>0</v>
      </c>
      <c r="AF281" s="116">
        <v>0</v>
      </c>
      <c r="AG281" s="116">
        <v>0</v>
      </c>
      <c r="AH281" s="116">
        <v>0</v>
      </c>
      <c r="AI281" s="116">
        <v>1</v>
      </c>
      <c r="AJ281" s="117">
        <v>1</v>
      </c>
      <c r="AK281" s="117">
        <v>2</v>
      </c>
      <c r="AL281" s="117">
        <v>0</v>
      </c>
      <c r="AM281" s="117">
        <v>7</v>
      </c>
      <c r="AN281" s="117">
        <v>13</v>
      </c>
      <c r="AO281" s="117">
        <v>0</v>
      </c>
      <c r="AP281" s="117">
        <v>2</v>
      </c>
      <c r="AQ281" s="117">
        <v>21</v>
      </c>
      <c r="AR281" s="44"/>
      <c r="AS281" s="44"/>
      <c r="AT281" s="46"/>
      <c r="AU281" s="62" t="s">
        <v>887</v>
      </c>
    </row>
    <row r="282" spans="1:47" ht="16.5" customHeight="1">
      <c r="A282" s="76" t="s">
        <v>669</v>
      </c>
      <c r="B282" s="41" t="s">
        <v>882</v>
      </c>
      <c r="C282" s="5" t="s">
        <v>883</v>
      </c>
      <c r="D282" s="77" t="s">
        <v>950</v>
      </c>
      <c r="E282" s="48"/>
      <c r="F282" s="76" t="s">
        <v>670</v>
      </c>
      <c r="G282" s="121" t="s">
        <v>843</v>
      </c>
      <c r="H282" s="122"/>
      <c r="I282" s="123" t="s">
        <v>885</v>
      </c>
      <c r="J282" s="124">
        <v>2</v>
      </c>
      <c r="K282" s="117">
        <v>3</v>
      </c>
      <c r="L282" s="117">
        <v>1</v>
      </c>
      <c r="M282" s="116">
        <v>5</v>
      </c>
      <c r="N282" s="116">
        <v>5</v>
      </c>
      <c r="O282" s="116">
        <v>0</v>
      </c>
      <c r="P282" s="43">
        <v>11</v>
      </c>
      <c r="Q282" s="116">
        <v>8</v>
      </c>
      <c r="R282" s="116">
        <v>3</v>
      </c>
      <c r="S282" s="116">
        <v>0</v>
      </c>
      <c r="T282" s="116">
        <v>0</v>
      </c>
      <c r="U282" s="116">
        <v>0</v>
      </c>
      <c r="V282" s="116">
        <v>0</v>
      </c>
      <c r="W282" s="116">
        <v>0</v>
      </c>
      <c r="X282" s="116">
        <v>0</v>
      </c>
      <c r="Y282" s="116">
        <v>0</v>
      </c>
      <c r="Z282" s="116">
        <v>12</v>
      </c>
      <c r="AA282" s="116">
        <v>7</v>
      </c>
      <c r="AB282" s="116">
        <v>0</v>
      </c>
      <c r="AC282" s="116">
        <v>0</v>
      </c>
      <c r="AD282" s="116">
        <v>0</v>
      </c>
      <c r="AE282" s="116">
        <v>0</v>
      </c>
      <c r="AF282" s="116">
        <v>0</v>
      </c>
      <c r="AG282" s="116">
        <v>0</v>
      </c>
      <c r="AH282" s="116">
        <v>0</v>
      </c>
      <c r="AI282" s="116">
        <v>1</v>
      </c>
      <c r="AJ282" s="117">
        <v>0</v>
      </c>
      <c r="AK282" s="117">
        <v>7</v>
      </c>
      <c r="AL282" s="117">
        <v>0</v>
      </c>
      <c r="AM282" s="117">
        <v>2</v>
      </c>
      <c r="AN282" s="117">
        <v>30</v>
      </c>
      <c r="AO282" s="117">
        <v>0</v>
      </c>
      <c r="AP282" s="117">
        <v>6</v>
      </c>
      <c r="AQ282" s="117">
        <v>31</v>
      </c>
      <c r="AR282" s="44"/>
      <c r="AS282" s="44"/>
      <c r="AT282" s="46"/>
      <c r="AU282" s="62" t="s">
        <v>908</v>
      </c>
    </row>
    <row r="283" spans="1:47" ht="16.5" customHeight="1">
      <c r="A283" s="76" t="s">
        <v>671</v>
      </c>
      <c r="B283" s="41" t="s">
        <v>882</v>
      </c>
      <c r="C283" s="5" t="s">
        <v>883</v>
      </c>
      <c r="D283" s="77" t="s">
        <v>950</v>
      </c>
      <c r="E283" s="47"/>
      <c r="F283" s="76" t="s">
        <v>672</v>
      </c>
      <c r="G283" s="121" t="s">
        <v>843</v>
      </c>
      <c r="H283" s="122"/>
      <c r="I283" s="123" t="s">
        <v>885</v>
      </c>
      <c r="J283" s="124">
        <v>2</v>
      </c>
      <c r="K283" s="117">
        <v>0</v>
      </c>
      <c r="L283" s="117">
        <v>0</v>
      </c>
      <c r="M283" s="116">
        <v>9</v>
      </c>
      <c r="N283" s="116">
        <v>5</v>
      </c>
      <c r="O283" s="116">
        <v>1</v>
      </c>
      <c r="P283" s="43">
        <v>4</v>
      </c>
      <c r="Q283" s="116">
        <v>4</v>
      </c>
      <c r="R283" s="116">
        <v>0</v>
      </c>
      <c r="S283" s="116">
        <v>0</v>
      </c>
      <c r="T283" s="116">
        <v>0</v>
      </c>
      <c r="U283" s="116">
        <v>0</v>
      </c>
      <c r="V283" s="116">
        <v>0</v>
      </c>
      <c r="W283" s="116">
        <v>2</v>
      </c>
      <c r="X283" s="116">
        <v>1</v>
      </c>
      <c r="Y283" s="116">
        <v>0</v>
      </c>
      <c r="Z283" s="116">
        <v>7</v>
      </c>
      <c r="AA283" s="116">
        <v>3</v>
      </c>
      <c r="AB283" s="116">
        <v>6</v>
      </c>
      <c r="AC283" s="116">
        <v>0</v>
      </c>
      <c r="AD283" s="116">
        <v>0</v>
      </c>
      <c r="AE283" s="116">
        <v>0</v>
      </c>
      <c r="AF283" s="116">
        <v>0</v>
      </c>
      <c r="AG283" s="116">
        <v>0</v>
      </c>
      <c r="AH283" s="116">
        <v>0</v>
      </c>
      <c r="AI283" s="116">
        <v>1</v>
      </c>
      <c r="AJ283" s="117">
        <v>0</v>
      </c>
      <c r="AK283" s="117">
        <v>4</v>
      </c>
      <c r="AL283" s="117">
        <v>0</v>
      </c>
      <c r="AM283" s="117">
        <v>14</v>
      </c>
      <c r="AN283" s="117">
        <v>14</v>
      </c>
      <c r="AO283" s="117">
        <v>0</v>
      </c>
      <c r="AP283" s="117">
        <v>2</v>
      </c>
      <c r="AQ283" s="117">
        <v>30</v>
      </c>
      <c r="AR283" s="44"/>
      <c r="AS283" s="44"/>
      <c r="AT283" s="46"/>
      <c r="AU283" s="62" t="s">
        <v>893</v>
      </c>
    </row>
    <row r="284" spans="1:47" ht="16.5" customHeight="1">
      <c r="A284" s="76" t="s">
        <v>673</v>
      </c>
      <c r="B284" s="41" t="s">
        <v>882</v>
      </c>
      <c r="C284" s="5" t="s">
        <v>883</v>
      </c>
      <c r="D284" s="77" t="s">
        <v>950</v>
      </c>
      <c r="E284" s="48"/>
      <c r="F284" s="76" t="s">
        <v>674</v>
      </c>
      <c r="G284" s="121" t="s">
        <v>843</v>
      </c>
      <c r="H284" s="122" t="s">
        <v>842</v>
      </c>
      <c r="I284" s="123" t="s">
        <v>888</v>
      </c>
      <c r="J284" s="124">
        <v>2</v>
      </c>
      <c r="K284" s="117">
        <v>2</v>
      </c>
      <c r="L284" s="117">
        <v>1</v>
      </c>
      <c r="M284" s="116">
        <v>7</v>
      </c>
      <c r="N284" s="116">
        <v>2</v>
      </c>
      <c r="O284" s="116">
        <v>0</v>
      </c>
      <c r="P284" s="43">
        <v>7</v>
      </c>
      <c r="Q284" s="116">
        <v>4</v>
      </c>
      <c r="R284" s="116">
        <v>3</v>
      </c>
      <c r="S284" s="116">
        <v>0</v>
      </c>
      <c r="T284" s="116">
        <v>0</v>
      </c>
      <c r="U284" s="116">
        <v>0</v>
      </c>
      <c r="V284" s="116">
        <v>0</v>
      </c>
      <c r="W284" s="116">
        <v>0</v>
      </c>
      <c r="X284" s="116">
        <v>0</v>
      </c>
      <c r="Y284" s="116">
        <v>0</v>
      </c>
      <c r="Z284" s="116">
        <v>10</v>
      </c>
      <c r="AA284" s="116">
        <v>4</v>
      </c>
      <c r="AB284" s="116">
        <v>0</v>
      </c>
      <c r="AC284" s="116">
        <v>0</v>
      </c>
      <c r="AD284" s="116">
        <v>0</v>
      </c>
      <c r="AE284" s="116">
        <v>0</v>
      </c>
      <c r="AF284" s="116">
        <v>0</v>
      </c>
      <c r="AG284" s="116">
        <v>0</v>
      </c>
      <c r="AH284" s="116">
        <v>0</v>
      </c>
      <c r="AI284" s="116">
        <v>1</v>
      </c>
      <c r="AJ284" s="117">
        <v>3</v>
      </c>
      <c r="AK284" s="117">
        <v>4</v>
      </c>
      <c r="AL284" s="117">
        <v>0</v>
      </c>
      <c r="AM284" s="117">
        <v>11</v>
      </c>
      <c r="AN284" s="117">
        <v>44</v>
      </c>
      <c r="AO284" s="117">
        <v>0</v>
      </c>
      <c r="AP284" s="117">
        <v>3</v>
      </c>
      <c r="AQ284" s="117">
        <v>57</v>
      </c>
      <c r="AR284" s="44"/>
      <c r="AS284" s="44"/>
      <c r="AT284" s="46"/>
      <c r="AU284" s="62" t="s">
        <v>887</v>
      </c>
    </row>
    <row r="285" spans="1:47" ht="16.5" customHeight="1">
      <c r="A285" s="76" t="s">
        <v>223</v>
      </c>
      <c r="B285" s="41" t="s">
        <v>882</v>
      </c>
      <c r="C285" s="5" t="s">
        <v>883</v>
      </c>
      <c r="D285" s="77" t="s">
        <v>950</v>
      </c>
      <c r="E285" s="47"/>
      <c r="F285" s="76" t="s">
        <v>224</v>
      </c>
      <c r="G285" s="121" t="s">
        <v>843</v>
      </c>
      <c r="H285" s="122"/>
      <c r="I285" s="123" t="s">
        <v>885</v>
      </c>
      <c r="J285" s="124">
        <v>2</v>
      </c>
      <c r="K285" s="117">
        <v>1</v>
      </c>
      <c r="L285" s="117">
        <v>1</v>
      </c>
      <c r="M285" s="116">
        <v>7</v>
      </c>
      <c r="N285" s="116">
        <v>5</v>
      </c>
      <c r="O285" s="116">
        <v>0</v>
      </c>
      <c r="P285" s="43">
        <v>3</v>
      </c>
      <c r="Q285" s="116">
        <v>2</v>
      </c>
      <c r="R285" s="116">
        <v>1</v>
      </c>
      <c r="S285" s="116">
        <v>0</v>
      </c>
      <c r="T285" s="116">
        <v>0</v>
      </c>
      <c r="U285" s="116">
        <v>0</v>
      </c>
      <c r="V285" s="116">
        <v>0</v>
      </c>
      <c r="W285" s="116">
        <v>0</v>
      </c>
      <c r="X285" s="116">
        <v>0</v>
      </c>
      <c r="Y285" s="116">
        <v>0</v>
      </c>
      <c r="Z285" s="116">
        <v>8</v>
      </c>
      <c r="AA285" s="116">
        <v>5</v>
      </c>
      <c r="AB285" s="116">
        <v>0</v>
      </c>
      <c r="AC285" s="116">
        <v>0</v>
      </c>
      <c r="AD285" s="116">
        <v>0</v>
      </c>
      <c r="AE285" s="116">
        <v>0</v>
      </c>
      <c r="AF285" s="116">
        <v>0</v>
      </c>
      <c r="AG285" s="116">
        <v>0</v>
      </c>
      <c r="AH285" s="116">
        <v>0</v>
      </c>
      <c r="AI285" s="116">
        <v>1</v>
      </c>
      <c r="AJ285" s="117">
        <v>1</v>
      </c>
      <c r="AK285" s="117">
        <v>5</v>
      </c>
      <c r="AL285" s="117">
        <v>0</v>
      </c>
      <c r="AM285" s="117">
        <v>12</v>
      </c>
      <c r="AN285" s="117">
        <v>18</v>
      </c>
      <c r="AO285" s="117">
        <v>0</v>
      </c>
      <c r="AP285" s="117">
        <v>4</v>
      </c>
      <c r="AQ285" s="117">
        <v>32</v>
      </c>
      <c r="AR285" s="44"/>
      <c r="AS285" s="44"/>
      <c r="AT285" s="46"/>
      <c r="AU285" s="62" t="s">
        <v>886</v>
      </c>
    </row>
    <row r="286" spans="1:47" ht="16.5" customHeight="1">
      <c r="A286" s="76" t="s">
        <v>679</v>
      </c>
      <c r="B286" s="41" t="s">
        <v>882</v>
      </c>
      <c r="C286" s="5" t="s">
        <v>883</v>
      </c>
      <c r="D286" s="77" t="s">
        <v>950</v>
      </c>
      <c r="E286" s="47"/>
      <c r="F286" s="76" t="s">
        <v>680</v>
      </c>
      <c r="G286" s="121" t="s">
        <v>843</v>
      </c>
      <c r="H286" s="122"/>
      <c r="I286" s="123" t="s">
        <v>888</v>
      </c>
      <c r="J286" s="124">
        <v>2</v>
      </c>
      <c r="K286" s="117">
        <v>2</v>
      </c>
      <c r="L286" s="117">
        <v>1</v>
      </c>
      <c r="M286" s="116">
        <v>6</v>
      </c>
      <c r="N286" s="116">
        <v>2</v>
      </c>
      <c r="O286" s="116">
        <v>0</v>
      </c>
      <c r="P286" s="43">
        <v>9</v>
      </c>
      <c r="Q286" s="116">
        <v>7</v>
      </c>
      <c r="R286" s="116">
        <v>2</v>
      </c>
      <c r="S286" s="116">
        <v>0</v>
      </c>
      <c r="T286" s="116">
        <v>0</v>
      </c>
      <c r="U286" s="116">
        <v>1</v>
      </c>
      <c r="V286" s="116">
        <v>0</v>
      </c>
      <c r="W286" s="116">
        <v>1</v>
      </c>
      <c r="X286" s="116">
        <v>0</v>
      </c>
      <c r="Y286" s="116">
        <v>0</v>
      </c>
      <c r="Z286" s="116">
        <v>11</v>
      </c>
      <c r="AA286" s="116">
        <v>3</v>
      </c>
      <c r="AB286" s="116">
        <v>0</v>
      </c>
      <c r="AC286" s="116">
        <v>0</v>
      </c>
      <c r="AD286" s="116">
        <v>0</v>
      </c>
      <c r="AE286" s="116">
        <v>0</v>
      </c>
      <c r="AF286" s="116">
        <v>0</v>
      </c>
      <c r="AG286" s="116">
        <v>0</v>
      </c>
      <c r="AH286" s="116">
        <v>0</v>
      </c>
      <c r="AI286" s="116">
        <v>1</v>
      </c>
      <c r="AJ286" s="117">
        <v>0</v>
      </c>
      <c r="AK286" s="117">
        <v>5</v>
      </c>
      <c r="AL286" s="117">
        <v>0</v>
      </c>
      <c r="AM286" s="117">
        <v>9</v>
      </c>
      <c r="AN286" s="117">
        <v>15</v>
      </c>
      <c r="AO286" s="117">
        <v>0</v>
      </c>
      <c r="AP286" s="117">
        <v>3</v>
      </c>
      <c r="AQ286" s="117">
        <v>21</v>
      </c>
      <c r="AR286" s="44"/>
      <c r="AS286" s="44"/>
      <c r="AT286" s="46"/>
      <c r="AU286" s="62" t="s">
        <v>893</v>
      </c>
    </row>
    <row r="287" spans="1:47" ht="16.5" customHeight="1">
      <c r="A287" s="76" t="s">
        <v>685</v>
      </c>
      <c r="B287" s="41" t="s">
        <v>882</v>
      </c>
      <c r="C287" s="5" t="s">
        <v>883</v>
      </c>
      <c r="D287" s="77" t="s">
        <v>950</v>
      </c>
      <c r="E287" s="48"/>
      <c r="F287" s="76" t="s">
        <v>686</v>
      </c>
      <c r="G287" s="121" t="s">
        <v>843</v>
      </c>
      <c r="H287" s="122" t="s">
        <v>842</v>
      </c>
      <c r="I287" s="123" t="s">
        <v>885</v>
      </c>
      <c r="J287" s="124">
        <v>2</v>
      </c>
      <c r="K287" s="117">
        <v>3</v>
      </c>
      <c r="L287" s="117">
        <v>1</v>
      </c>
      <c r="M287" s="116">
        <v>10</v>
      </c>
      <c r="N287" s="116">
        <v>3</v>
      </c>
      <c r="O287" s="116">
        <v>0</v>
      </c>
      <c r="P287" s="43">
        <v>9</v>
      </c>
      <c r="Q287" s="116">
        <v>6</v>
      </c>
      <c r="R287" s="116">
        <v>3</v>
      </c>
      <c r="S287" s="116">
        <v>0</v>
      </c>
      <c r="T287" s="116">
        <v>0</v>
      </c>
      <c r="U287" s="116">
        <v>0</v>
      </c>
      <c r="V287" s="116">
        <v>0</v>
      </c>
      <c r="W287" s="116">
        <v>0</v>
      </c>
      <c r="X287" s="116">
        <v>0</v>
      </c>
      <c r="Y287" s="116">
        <v>0</v>
      </c>
      <c r="Z287" s="116">
        <v>15</v>
      </c>
      <c r="AA287" s="116">
        <v>5</v>
      </c>
      <c r="AB287" s="116">
        <v>0</v>
      </c>
      <c r="AC287" s="116">
        <v>0</v>
      </c>
      <c r="AD287" s="116">
        <v>0</v>
      </c>
      <c r="AE287" s="116">
        <v>0</v>
      </c>
      <c r="AF287" s="116">
        <v>0</v>
      </c>
      <c r="AG287" s="116">
        <v>0</v>
      </c>
      <c r="AH287" s="116">
        <v>0</v>
      </c>
      <c r="AI287" s="116">
        <v>1</v>
      </c>
      <c r="AJ287" s="117">
        <v>1</v>
      </c>
      <c r="AK287" s="117">
        <v>8</v>
      </c>
      <c r="AL287" s="117">
        <v>0</v>
      </c>
      <c r="AM287" s="117">
        <v>16</v>
      </c>
      <c r="AN287" s="117">
        <v>25</v>
      </c>
      <c r="AO287" s="117">
        <v>0</v>
      </c>
      <c r="AP287" s="117">
        <v>6</v>
      </c>
      <c r="AQ287" s="117">
        <v>44</v>
      </c>
      <c r="AR287" s="44"/>
      <c r="AS287" s="44"/>
      <c r="AT287" s="46"/>
      <c r="AU287" s="62" t="s">
        <v>918</v>
      </c>
    </row>
    <row r="288" spans="1:47" ht="16.5" customHeight="1">
      <c r="A288" s="76" t="s">
        <v>699</v>
      </c>
      <c r="B288" s="41" t="s">
        <v>882</v>
      </c>
      <c r="C288" s="5" t="s">
        <v>883</v>
      </c>
      <c r="D288" s="77" t="s">
        <v>950</v>
      </c>
      <c r="E288" s="47"/>
      <c r="F288" s="76" t="s">
        <v>700</v>
      </c>
      <c r="G288" s="121" t="s">
        <v>843</v>
      </c>
      <c r="H288" s="122"/>
      <c r="I288" s="123" t="s">
        <v>885</v>
      </c>
      <c r="J288" s="124">
        <v>2</v>
      </c>
      <c r="K288" s="117">
        <v>0</v>
      </c>
      <c r="L288" s="117">
        <v>0</v>
      </c>
      <c r="M288" s="116">
        <v>8</v>
      </c>
      <c r="N288" s="116">
        <v>4</v>
      </c>
      <c r="O288" s="116">
        <v>1</v>
      </c>
      <c r="P288" s="43">
        <v>4</v>
      </c>
      <c r="Q288" s="116">
        <v>4</v>
      </c>
      <c r="R288" s="116">
        <v>0</v>
      </c>
      <c r="S288" s="116">
        <v>0</v>
      </c>
      <c r="T288" s="116">
        <v>0</v>
      </c>
      <c r="U288" s="116">
        <v>0</v>
      </c>
      <c r="V288" s="116">
        <v>0</v>
      </c>
      <c r="W288" s="116">
        <v>0</v>
      </c>
      <c r="X288" s="116">
        <v>1</v>
      </c>
      <c r="Y288" s="116">
        <v>1</v>
      </c>
      <c r="Z288" s="116">
        <v>11</v>
      </c>
      <c r="AA288" s="116">
        <v>2</v>
      </c>
      <c r="AB288" s="116">
        <v>3</v>
      </c>
      <c r="AC288" s="116">
        <v>0</v>
      </c>
      <c r="AD288" s="116">
        <v>0</v>
      </c>
      <c r="AE288" s="116">
        <v>0</v>
      </c>
      <c r="AF288" s="116">
        <v>0</v>
      </c>
      <c r="AG288" s="116">
        <v>0</v>
      </c>
      <c r="AH288" s="116">
        <v>0</v>
      </c>
      <c r="AI288" s="116">
        <v>1</v>
      </c>
      <c r="AJ288" s="117">
        <v>1</v>
      </c>
      <c r="AK288" s="117">
        <v>5</v>
      </c>
      <c r="AL288" s="117">
        <v>0</v>
      </c>
      <c r="AM288" s="117">
        <v>12</v>
      </c>
      <c r="AN288" s="117">
        <v>24</v>
      </c>
      <c r="AO288" s="117">
        <v>0</v>
      </c>
      <c r="AP288" s="117">
        <v>5</v>
      </c>
      <c r="AQ288" s="117">
        <v>37</v>
      </c>
      <c r="AR288" s="44"/>
      <c r="AS288" s="44"/>
      <c r="AT288" s="46"/>
      <c r="AU288" s="62" t="s">
        <v>919</v>
      </c>
    </row>
    <row r="289" spans="1:47" ht="16.5" customHeight="1">
      <c r="A289" s="76" t="s">
        <v>226</v>
      </c>
      <c r="B289" s="41" t="s">
        <v>882</v>
      </c>
      <c r="C289" s="5" t="s">
        <v>883</v>
      </c>
      <c r="D289" s="77" t="s">
        <v>950</v>
      </c>
      <c r="E289" s="48"/>
      <c r="F289" s="76" t="s">
        <v>227</v>
      </c>
      <c r="G289" s="121" t="s">
        <v>843</v>
      </c>
      <c r="H289" s="122"/>
      <c r="I289" s="123" t="s">
        <v>888</v>
      </c>
      <c r="J289" s="124">
        <v>2</v>
      </c>
      <c r="K289" s="117">
        <v>1</v>
      </c>
      <c r="L289" s="117">
        <v>1</v>
      </c>
      <c r="M289" s="116">
        <v>5</v>
      </c>
      <c r="N289" s="116">
        <v>2</v>
      </c>
      <c r="O289" s="116">
        <v>0</v>
      </c>
      <c r="P289" s="43">
        <v>6</v>
      </c>
      <c r="Q289" s="116">
        <v>4</v>
      </c>
      <c r="R289" s="116">
        <v>2</v>
      </c>
      <c r="S289" s="116">
        <v>0</v>
      </c>
      <c r="T289" s="116">
        <v>0</v>
      </c>
      <c r="U289" s="116">
        <v>0</v>
      </c>
      <c r="V289" s="116">
        <v>0</v>
      </c>
      <c r="W289" s="116">
        <v>0</v>
      </c>
      <c r="X289" s="116">
        <v>0</v>
      </c>
      <c r="Y289" s="116">
        <v>0</v>
      </c>
      <c r="Z289" s="116">
        <v>8</v>
      </c>
      <c r="AA289" s="116">
        <v>3</v>
      </c>
      <c r="AB289" s="116">
        <v>0</v>
      </c>
      <c r="AC289" s="116">
        <v>0</v>
      </c>
      <c r="AD289" s="116">
        <v>0</v>
      </c>
      <c r="AE289" s="116">
        <v>0</v>
      </c>
      <c r="AF289" s="116">
        <v>0</v>
      </c>
      <c r="AG289" s="116">
        <v>0</v>
      </c>
      <c r="AH289" s="116">
        <v>0</v>
      </c>
      <c r="AI289" s="116">
        <v>1</v>
      </c>
      <c r="AJ289" s="117">
        <v>1</v>
      </c>
      <c r="AK289" s="117">
        <v>3</v>
      </c>
      <c r="AL289" s="117">
        <v>0</v>
      </c>
      <c r="AM289" s="117">
        <v>9</v>
      </c>
      <c r="AN289" s="117">
        <v>16</v>
      </c>
      <c r="AO289" s="117">
        <v>0</v>
      </c>
      <c r="AP289" s="117">
        <v>4</v>
      </c>
      <c r="AQ289" s="117">
        <v>25</v>
      </c>
      <c r="AR289" s="44"/>
      <c r="AS289" s="44"/>
      <c r="AT289" s="46"/>
      <c r="AU289" s="62" t="s">
        <v>927</v>
      </c>
    </row>
    <row r="290" spans="1:47" ht="16.5" customHeight="1">
      <c r="A290" s="76" t="s">
        <v>705</v>
      </c>
      <c r="B290" s="41" t="s">
        <v>882</v>
      </c>
      <c r="C290" s="5" t="s">
        <v>883</v>
      </c>
      <c r="D290" s="77" t="s">
        <v>950</v>
      </c>
      <c r="E290" s="48"/>
      <c r="F290" s="76" t="s">
        <v>706</v>
      </c>
      <c r="G290" s="121" t="s">
        <v>843</v>
      </c>
      <c r="H290" s="122"/>
      <c r="I290" s="123" t="s">
        <v>885</v>
      </c>
      <c r="J290" s="124">
        <v>2</v>
      </c>
      <c r="K290" s="117">
        <v>2</v>
      </c>
      <c r="L290" s="117">
        <v>2</v>
      </c>
      <c r="M290" s="116">
        <v>5</v>
      </c>
      <c r="N290" s="116">
        <v>5</v>
      </c>
      <c r="O290" s="116">
        <v>0</v>
      </c>
      <c r="P290" s="43">
        <v>14</v>
      </c>
      <c r="Q290" s="116">
        <v>11</v>
      </c>
      <c r="R290" s="116">
        <v>3</v>
      </c>
      <c r="S290" s="116">
        <v>0</v>
      </c>
      <c r="T290" s="116">
        <v>0</v>
      </c>
      <c r="U290" s="116">
        <v>0</v>
      </c>
      <c r="V290" s="116">
        <v>0</v>
      </c>
      <c r="W290" s="116">
        <v>1</v>
      </c>
      <c r="X290" s="116">
        <v>1</v>
      </c>
      <c r="Y290" s="116">
        <v>0</v>
      </c>
      <c r="Z290" s="116">
        <v>14</v>
      </c>
      <c r="AA290" s="116">
        <v>7</v>
      </c>
      <c r="AB290" s="116">
        <v>0</v>
      </c>
      <c r="AC290" s="116">
        <v>0</v>
      </c>
      <c r="AD290" s="116">
        <v>0</v>
      </c>
      <c r="AE290" s="116">
        <v>0</v>
      </c>
      <c r="AF290" s="116">
        <v>0</v>
      </c>
      <c r="AG290" s="116">
        <v>0</v>
      </c>
      <c r="AH290" s="116">
        <v>0</v>
      </c>
      <c r="AI290" s="116">
        <v>1</v>
      </c>
      <c r="AJ290" s="117">
        <v>0</v>
      </c>
      <c r="AK290" s="117">
        <v>5</v>
      </c>
      <c r="AL290" s="117">
        <v>0</v>
      </c>
      <c r="AM290" s="117">
        <v>0</v>
      </c>
      <c r="AN290" s="117">
        <v>31</v>
      </c>
      <c r="AO290" s="117">
        <v>0</v>
      </c>
      <c r="AP290" s="117">
        <v>3</v>
      </c>
      <c r="AQ290" s="117">
        <v>31</v>
      </c>
      <c r="AR290" s="44"/>
      <c r="AS290" s="44"/>
      <c r="AT290" s="46"/>
      <c r="AU290" s="62" t="s">
        <v>913</v>
      </c>
    </row>
    <row r="291" spans="1:47" ht="16.5" customHeight="1">
      <c r="A291" s="76" t="s">
        <v>707</v>
      </c>
      <c r="B291" s="41" t="s">
        <v>882</v>
      </c>
      <c r="C291" s="5" t="s">
        <v>883</v>
      </c>
      <c r="D291" s="77" t="s">
        <v>950</v>
      </c>
      <c r="E291" s="48"/>
      <c r="F291" s="76" t="s">
        <v>708</v>
      </c>
      <c r="G291" s="121" t="s">
        <v>843</v>
      </c>
      <c r="H291" s="122" t="s">
        <v>842</v>
      </c>
      <c r="I291" s="123" t="s">
        <v>885</v>
      </c>
      <c r="J291" s="124">
        <v>2</v>
      </c>
      <c r="K291" s="117">
        <v>1</v>
      </c>
      <c r="L291" s="117">
        <v>2</v>
      </c>
      <c r="M291" s="116">
        <v>7</v>
      </c>
      <c r="N291" s="116">
        <v>5</v>
      </c>
      <c r="O291" s="116">
        <v>0</v>
      </c>
      <c r="P291" s="43">
        <v>5</v>
      </c>
      <c r="Q291" s="116">
        <v>3</v>
      </c>
      <c r="R291" s="116">
        <v>2</v>
      </c>
      <c r="S291" s="116">
        <v>0</v>
      </c>
      <c r="T291" s="116">
        <v>1</v>
      </c>
      <c r="U291" s="116">
        <v>1</v>
      </c>
      <c r="V291" s="116">
        <v>0</v>
      </c>
      <c r="W291" s="116">
        <v>0</v>
      </c>
      <c r="X291" s="116">
        <v>0</v>
      </c>
      <c r="Y291" s="116">
        <v>0</v>
      </c>
      <c r="Z291" s="116">
        <v>8</v>
      </c>
      <c r="AA291" s="116">
        <v>5</v>
      </c>
      <c r="AB291" s="116">
        <v>0</v>
      </c>
      <c r="AC291" s="116">
        <v>0</v>
      </c>
      <c r="AD291" s="116">
        <v>0</v>
      </c>
      <c r="AE291" s="116">
        <v>0</v>
      </c>
      <c r="AF291" s="116">
        <v>0</v>
      </c>
      <c r="AG291" s="116">
        <v>0</v>
      </c>
      <c r="AH291" s="116">
        <v>0</v>
      </c>
      <c r="AI291" s="116">
        <v>1</v>
      </c>
      <c r="AJ291" s="117">
        <v>1</v>
      </c>
      <c r="AK291" s="117">
        <v>7</v>
      </c>
      <c r="AL291" s="117">
        <v>0</v>
      </c>
      <c r="AM291" s="117">
        <v>0</v>
      </c>
      <c r="AN291" s="117">
        <v>43</v>
      </c>
      <c r="AO291" s="117">
        <v>0</v>
      </c>
      <c r="AP291" s="117">
        <v>7</v>
      </c>
      <c r="AQ291" s="117">
        <v>44</v>
      </c>
      <c r="AR291" s="44"/>
      <c r="AS291" s="44"/>
      <c r="AT291" s="46"/>
      <c r="AU291" s="62" t="s">
        <v>908</v>
      </c>
    </row>
    <row r="292" spans="1:47" ht="16.5" customHeight="1">
      <c r="A292" s="76" t="s">
        <v>81</v>
      </c>
      <c r="B292" s="41" t="s">
        <v>882</v>
      </c>
      <c r="C292" s="5" t="s">
        <v>883</v>
      </c>
      <c r="D292" s="77" t="s">
        <v>950</v>
      </c>
      <c r="E292" s="49"/>
      <c r="F292" s="76" t="s">
        <v>82</v>
      </c>
      <c r="G292" s="121" t="s">
        <v>843</v>
      </c>
      <c r="H292" s="122"/>
      <c r="I292" s="123" t="s">
        <v>888</v>
      </c>
      <c r="J292" s="124">
        <v>2</v>
      </c>
      <c r="K292" s="117">
        <v>1</v>
      </c>
      <c r="L292" s="117">
        <v>1</v>
      </c>
      <c r="M292" s="116">
        <v>10</v>
      </c>
      <c r="N292" s="116">
        <v>10</v>
      </c>
      <c r="O292" s="116">
        <v>0</v>
      </c>
      <c r="P292" s="43">
        <v>4</v>
      </c>
      <c r="Q292" s="116">
        <v>0</v>
      </c>
      <c r="R292" s="116">
        <v>4</v>
      </c>
      <c r="S292" s="116">
        <v>0</v>
      </c>
      <c r="T292" s="116">
        <v>5</v>
      </c>
      <c r="U292" s="116">
        <v>10</v>
      </c>
      <c r="V292" s="116">
        <v>0</v>
      </c>
      <c r="W292" s="116">
        <v>0</v>
      </c>
      <c r="X292" s="116">
        <v>0</v>
      </c>
      <c r="Y292" s="116">
        <v>0</v>
      </c>
      <c r="Z292" s="116">
        <v>5</v>
      </c>
      <c r="AA292" s="116">
        <v>4</v>
      </c>
      <c r="AB292" s="116">
        <v>0</v>
      </c>
      <c r="AC292" s="116">
        <v>0</v>
      </c>
      <c r="AD292" s="116">
        <v>0</v>
      </c>
      <c r="AE292" s="116">
        <v>0</v>
      </c>
      <c r="AF292" s="116">
        <v>0</v>
      </c>
      <c r="AG292" s="116">
        <v>0</v>
      </c>
      <c r="AH292" s="116">
        <v>0</v>
      </c>
      <c r="AI292" s="116">
        <v>1</v>
      </c>
      <c r="AJ292" s="117">
        <v>0</v>
      </c>
      <c r="AK292" s="117">
        <v>10</v>
      </c>
      <c r="AL292" s="117">
        <v>0</v>
      </c>
      <c r="AM292" s="117">
        <v>0</v>
      </c>
      <c r="AN292" s="117">
        <v>58</v>
      </c>
      <c r="AO292" s="117">
        <v>1</v>
      </c>
      <c r="AP292" s="117">
        <v>8</v>
      </c>
      <c r="AQ292" s="117">
        <v>59</v>
      </c>
      <c r="AR292" s="44"/>
      <c r="AS292" s="44"/>
      <c r="AT292" s="46"/>
      <c r="AU292" s="62" t="s">
        <v>908</v>
      </c>
    </row>
    <row r="293" spans="1:47" ht="16.5" customHeight="1">
      <c r="A293" s="76" t="s">
        <v>719</v>
      </c>
      <c r="B293" s="41" t="s">
        <v>882</v>
      </c>
      <c r="C293" s="5" t="s">
        <v>883</v>
      </c>
      <c r="D293" s="77" t="s">
        <v>950</v>
      </c>
      <c r="E293" s="48"/>
      <c r="F293" s="76" t="s">
        <v>720</v>
      </c>
      <c r="G293" s="121" t="s">
        <v>843</v>
      </c>
      <c r="H293" s="122"/>
      <c r="I293" s="123" t="s">
        <v>885</v>
      </c>
      <c r="J293" s="124">
        <v>2</v>
      </c>
      <c r="K293" s="117">
        <v>1</v>
      </c>
      <c r="L293" s="117">
        <v>1</v>
      </c>
      <c r="M293" s="116">
        <v>8</v>
      </c>
      <c r="N293" s="116">
        <v>3</v>
      </c>
      <c r="O293" s="116">
        <v>0</v>
      </c>
      <c r="P293" s="43">
        <v>0</v>
      </c>
      <c r="Q293" s="116">
        <v>0</v>
      </c>
      <c r="R293" s="116">
        <v>0</v>
      </c>
      <c r="S293" s="116">
        <v>0</v>
      </c>
      <c r="T293" s="116">
        <v>0</v>
      </c>
      <c r="U293" s="116">
        <v>0</v>
      </c>
      <c r="V293" s="116">
        <v>0</v>
      </c>
      <c r="W293" s="116">
        <v>0</v>
      </c>
      <c r="X293" s="116">
        <v>0</v>
      </c>
      <c r="Y293" s="116">
        <v>0</v>
      </c>
      <c r="Z293" s="116">
        <v>0</v>
      </c>
      <c r="AA293" s="116">
        <v>0</v>
      </c>
      <c r="AB293" s="116">
        <v>0</v>
      </c>
      <c r="AC293" s="116">
        <v>7</v>
      </c>
      <c r="AD293" s="116">
        <v>2</v>
      </c>
      <c r="AE293" s="116">
        <v>0</v>
      </c>
      <c r="AF293" s="116">
        <v>0</v>
      </c>
      <c r="AG293" s="116">
        <v>0</v>
      </c>
      <c r="AH293" s="116">
        <v>0</v>
      </c>
      <c r="AI293" s="116">
        <v>1</v>
      </c>
      <c r="AJ293" s="117">
        <v>1</v>
      </c>
      <c r="AK293" s="117">
        <v>5</v>
      </c>
      <c r="AL293" s="117">
        <v>1</v>
      </c>
      <c r="AM293" s="117">
        <v>3</v>
      </c>
      <c r="AN293" s="117">
        <v>27</v>
      </c>
      <c r="AO293" s="117">
        <v>1</v>
      </c>
      <c r="AP293" s="117">
        <v>6</v>
      </c>
      <c r="AQ293" s="117">
        <v>33</v>
      </c>
      <c r="AR293" s="44"/>
      <c r="AS293" s="44"/>
      <c r="AT293" s="46"/>
      <c r="AU293" s="62" t="s">
        <v>901</v>
      </c>
    </row>
    <row r="294" spans="1:47" ht="16.5" customHeight="1">
      <c r="A294" s="76" t="s">
        <v>721</v>
      </c>
      <c r="B294" s="41" t="s">
        <v>882</v>
      </c>
      <c r="C294" s="5" t="s">
        <v>883</v>
      </c>
      <c r="D294" s="77" t="s">
        <v>950</v>
      </c>
      <c r="E294" s="47"/>
      <c r="F294" s="76" t="s">
        <v>722</v>
      </c>
      <c r="G294" s="121" t="s">
        <v>843</v>
      </c>
      <c r="H294" s="122" t="s">
        <v>842</v>
      </c>
      <c r="I294" s="123" t="s">
        <v>888</v>
      </c>
      <c r="J294" s="124">
        <v>2</v>
      </c>
      <c r="K294" s="117">
        <v>1</v>
      </c>
      <c r="L294" s="117">
        <v>1</v>
      </c>
      <c r="M294" s="116">
        <v>6</v>
      </c>
      <c r="N294" s="116">
        <v>2</v>
      </c>
      <c r="O294" s="116">
        <v>0</v>
      </c>
      <c r="P294" s="43">
        <v>5</v>
      </c>
      <c r="Q294" s="116">
        <v>2</v>
      </c>
      <c r="R294" s="116">
        <v>3</v>
      </c>
      <c r="S294" s="116">
        <v>0</v>
      </c>
      <c r="T294" s="116">
        <v>0</v>
      </c>
      <c r="U294" s="116">
        <v>0</v>
      </c>
      <c r="V294" s="116">
        <v>0</v>
      </c>
      <c r="W294" s="116">
        <v>2</v>
      </c>
      <c r="X294" s="116">
        <v>0</v>
      </c>
      <c r="Y294" s="116">
        <v>0</v>
      </c>
      <c r="Z294" s="116">
        <v>12</v>
      </c>
      <c r="AA294" s="116">
        <v>8</v>
      </c>
      <c r="AB294" s="116">
        <v>0</v>
      </c>
      <c r="AC294" s="116">
        <v>0</v>
      </c>
      <c r="AD294" s="116">
        <v>0</v>
      </c>
      <c r="AE294" s="116">
        <v>0</v>
      </c>
      <c r="AF294" s="116">
        <v>0</v>
      </c>
      <c r="AG294" s="116">
        <v>0</v>
      </c>
      <c r="AH294" s="116">
        <v>0</v>
      </c>
      <c r="AI294" s="116">
        <v>1</v>
      </c>
      <c r="AJ294" s="117">
        <v>0</v>
      </c>
      <c r="AK294" s="117">
        <v>7</v>
      </c>
      <c r="AL294" s="117">
        <v>0</v>
      </c>
      <c r="AM294" s="117">
        <v>0</v>
      </c>
      <c r="AN294" s="117">
        <v>33</v>
      </c>
      <c r="AO294" s="117">
        <v>0</v>
      </c>
      <c r="AP294" s="117">
        <v>6</v>
      </c>
      <c r="AQ294" s="117">
        <v>34</v>
      </c>
      <c r="AR294" s="44"/>
      <c r="AS294" s="44"/>
      <c r="AT294" s="46"/>
      <c r="AU294" s="62" t="s">
        <v>908</v>
      </c>
    </row>
    <row r="295" spans="1:47" ht="16.5" customHeight="1">
      <c r="A295" s="76" t="s">
        <v>727</v>
      </c>
      <c r="B295" s="41" t="s">
        <v>882</v>
      </c>
      <c r="C295" s="5" t="s">
        <v>883</v>
      </c>
      <c r="D295" s="77" t="s">
        <v>950</v>
      </c>
      <c r="E295" s="48"/>
      <c r="F295" s="76" t="s">
        <v>728</v>
      </c>
      <c r="G295" s="121" t="s">
        <v>843</v>
      </c>
      <c r="H295" s="122"/>
      <c r="I295" s="123" t="s">
        <v>888</v>
      </c>
      <c r="J295" s="124">
        <v>2</v>
      </c>
      <c r="K295" s="117">
        <v>1</v>
      </c>
      <c r="L295" s="117">
        <v>1</v>
      </c>
      <c r="M295" s="116">
        <v>2</v>
      </c>
      <c r="N295" s="116">
        <v>3</v>
      </c>
      <c r="O295" s="116">
        <v>0</v>
      </c>
      <c r="P295" s="43">
        <v>1</v>
      </c>
      <c r="Q295" s="116">
        <v>1</v>
      </c>
      <c r="R295" s="116">
        <v>0</v>
      </c>
      <c r="S295" s="116">
        <v>0</v>
      </c>
      <c r="T295" s="116">
        <v>4</v>
      </c>
      <c r="U295" s="116">
        <v>4</v>
      </c>
      <c r="V295" s="116">
        <v>0</v>
      </c>
      <c r="W295" s="116">
        <v>1</v>
      </c>
      <c r="X295" s="116">
        <v>3</v>
      </c>
      <c r="Y295" s="116">
        <v>0</v>
      </c>
      <c r="Z295" s="116">
        <v>2</v>
      </c>
      <c r="AA295" s="116">
        <v>2</v>
      </c>
      <c r="AB295" s="116">
        <v>0</v>
      </c>
      <c r="AC295" s="116">
        <v>0</v>
      </c>
      <c r="AD295" s="116">
        <v>0</v>
      </c>
      <c r="AE295" s="116">
        <v>0</v>
      </c>
      <c r="AF295" s="116">
        <v>0</v>
      </c>
      <c r="AG295" s="116">
        <v>0</v>
      </c>
      <c r="AH295" s="116">
        <v>0</v>
      </c>
      <c r="AI295" s="116">
        <v>1</v>
      </c>
      <c r="AJ295" s="117">
        <v>0</v>
      </c>
      <c r="AK295" s="117">
        <v>8</v>
      </c>
      <c r="AL295" s="117">
        <v>0</v>
      </c>
      <c r="AM295" s="117">
        <v>0</v>
      </c>
      <c r="AN295" s="117">
        <v>58</v>
      </c>
      <c r="AO295" s="117">
        <v>1</v>
      </c>
      <c r="AP295" s="117">
        <v>5</v>
      </c>
      <c r="AQ295" s="117">
        <v>60</v>
      </c>
      <c r="AR295" s="44"/>
      <c r="AS295" s="44"/>
      <c r="AT295" s="46"/>
      <c r="AU295" s="62" t="s">
        <v>908</v>
      </c>
    </row>
    <row r="296" spans="1:47" ht="16.5" customHeight="1">
      <c r="A296" s="76" t="s">
        <v>729</v>
      </c>
      <c r="B296" s="41" t="s">
        <v>882</v>
      </c>
      <c r="C296" s="5" t="s">
        <v>883</v>
      </c>
      <c r="D296" s="77" t="s">
        <v>950</v>
      </c>
      <c r="E296" s="48"/>
      <c r="F296" s="76" t="s">
        <v>730</v>
      </c>
      <c r="G296" s="121" t="s">
        <v>843</v>
      </c>
      <c r="H296" s="122" t="s">
        <v>842</v>
      </c>
      <c r="I296" s="123" t="s">
        <v>888</v>
      </c>
      <c r="J296" s="124">
        <v>2</v>
      </c>
      <c r="K296" s="117">
        <v>2</v>
      </c>
      <c r="L296" s="117">
        <v>1</v>
      </c>
      <c r="M296" s="116">
        <v>6</v>
      </c>
      <c r="N296" s="116">
        <v>4</v>
      </c>
      <c r="O296" s="116">
        <v>0</v>
      </c>
      <c r="P296" s="43">
        <v>7</v>
      </c>
      <c r="Q296" s="116">
        <v>7</v>
      </c>
      <c r="R296" s="116">
        <v>0</v>
      </c>
      <c r="S296" s="116">
        <v>0</v>
      </c>
      <c r="T296" s="116">
        <v>0</v>
      </c>
      <c r="U296" s="116">
        <v>0</v>
      </c>
      <c r="V296" s="116">
        <v>0</v>
      </c>
      <c r="W296" s="116">
        <v>0</v>
      </c>
      <c r="X296" s="116">
        <v>0</v>
      </c>
      <c r="Y296" s="116">
        <v>0</v>
      </c>
      <c r="Z296" s="116">
        <v>0</v>
      </c>
      <c r="AA296" s="116">
        <v>0</v>
      </c>
      <c r="AB296" s="116">
        <v>0</v>
      </c>
      <c r="AC296" s="116">
        <v>12</v>
      </c>
      <c r="AD296" s="116">
        <v>3</v>
      </c>
      <c r="AE296" s="116">
        <v>0</v>
      </c>
      <c r="AF296" s="116">
        <v>0</v>
      </c>
      <c r="AG296" s="116">
        <v>0</v>
      </c>
      <c r="AH296" s="116">
        <v>0</v>
      </c>
      <c r="AI296" s="116">
        <v>1</v>
      </c>
      <c r="AJ296" s="117">
        <v>1</v>
      </c>
      <c r="AK296" s="117">
        <v>3</v>
      </c>
      <c r="AL296" s="117">
        <v>0</v>
      </c>
      <c r="AM296" s="117">
        <v>4</v>
      </c>
      <c r="AN296" s="117">
        <v>26</v>
      </c>
      <c r="AO296" s="117">
        <v>0</v>
      </c>
      <c r="AP296" s="117">
        <v>3</v>
      </c>
      <c r="AQ296" s="117">
        <v>31</v>
      </c>
      <c r="AR296" s="44"/>
      <c r="AS296" s="44"/>
      <c r="AT296" s="46"/>
      <c r="AU296" s="62" t="s">
        <v>908</v>
      </c>
    </row>
    <row r="297" spans="1:47" ht="16.5" customHeight="1">
      <c r="A297" s="76" t="s">
        <v>731</v>
      </c>
      <c r="B297" s="41" t="s">
        <v>882</v>
      </c>
      <c r="C297" s="5" t="s">
        <v>883</v>
      </c>
      <c r="D297" s="77" t="s">
        <v>950</v>
      </c>
      <c r="E297" s="48"/>
      <c r="F297" s="76" t="s">
        <v>732</v>
      </c>
      <c r="G297" s="121" t="s">
        <v>843</v>
      </c>
      <c r="H297" s="122"/>
      <c r="I297" s="123" t="s">
        <v>888</v>
      </c>
      <c r="J297" s="124">
        <v>2</v>
      </c>
      <c r="K297" s="117">
        <v>3</v>
      </c>
      <c r="L297" s="117">
        <v>1</v>
      </c>
      <c r="M297" s="116">
        <v>8</v>
      </c>
      <c r="N297" s="116">
        <v>1</v>
      </c>
      <c r="O297" s="116">
        <v>0</v>
      </c>
      <c r="P297" s="43">
        <v>6</v>
      </c>
      <c r="Q297" s="116">
        <v>3</v>
      </c>
      <c r="R297" s="116">
        <v>3</v>
      </c>
      <c r="S297" s="116">
        <v>0</v>
      </c>
      <c r="T297" s="116">
        <v>0</v>
      </c>
      <c r="U297" s="116">
        <v>0</v>
      </c>
      <c r="V297" s="116">
        <v>0</v>
      </c>
      <c r="W297" s="116">
        <v>1</v>
      </c>
      <c r="X297" s="116">
        <v>0</v>
      </c>
      <c r="Y297" s="116">
        <v>0</v>
      </c>
      <c r="Z297" s="116">
        <v>9</v>
      </c>
      <c r="AA297" s="116">
        <v>3</v>
      </c>
      <c r="AB297" s="116">
        <v>0</v>
      </c>
      <c r="AC297" s="116">
        <v>0</v>
      </c>
      <c r="AD297" s="116">
        <v>0</v>
      </c>
      <c r="AE297" s="116">
        <v>0</v>
      </c>
      <c r="AF297" s="116">
        <v>0</v>
      </c>
      <c r="AG297" s="116">
        <v>0</v>
      </c>
      <c r="AH297" s="116">
        <v>0</v>
      </c>
      <c r="AI297" s="116">
        <v>1</v>
      </c>
      <c r="AJ297" s="117">
        <v>0</v>
      </c>
      <c r="AK297" s="117">
        <v>4</v>
      </c>
      <c r="AL297" s="117">
        <v>1</v>
      </c>
      <c r="AM297" s="117">
        <v>15</v>
      </c>
      <c r="AN297" s="117">
        <v>12</v>
      </c>
      <c r="AO297" s="117">
        <v>1</v>
      </c>
      <c r="AP297" s="117">
        <v>2</v>
      </c>
      <c r="AQ297" s="117">
        <v>30</v>
      </c>
      <c r="AR297" s="44"/>
      <c r="AS297" s="44"/>
      <c r="AT297" s="46"/>
      <c r="AU297" s="62" t="s">
        <v>904</v>
      </c>
    </row>
    <row r="298" spans="1:47" ht="16.5" customHeight="1">
      <c r="A298" s="76" t="s">
        <v>733</v>
      </c>
      <c r="B298" s="41" t="s">
        <v>882</v>
      </c>
      <c r="C298" s="5" t="s">
        <v>883</v>
      </c>
      <c r="D298" s="77" t="s">
        <v>950</v>
      </c>
      <c r="E298" s="47"/>
      <c r="F298" s="76" t="s">
        <v>734</v>
      </c>
      <c r="G298" s="121" t="s">
        <v>843</v>
      </c>
      <c r="H298" s="122"/>
      <c r="I298" s="123" t="s">
        <v>885</v>
      </c>
      <c r="J298" s="124">
        <v>2</v>
      </c>
      <c r="K298" s="117">
        <v>1</v>
      </c>
      <c r="L298" s="117">
        <v>1</v>
      </c>
      <c r="M298" s="116">
        <v>9</v>
      </c>
      <c r="N298" s="116">
        <v>1</v>
      </c>
      <c r="O298" s="116">
        <v>0</v>
      </c>
      <c r="P298" s="43">
        <v>8</v>
      </c>
      <c r="Q298" s="116">
        <v>5</v>
      </c>
      <c r="R298" s="116">
        <v>3</v>
      </c>
      <c r="S298" s="116">
        <v>0</v>
      </c>
      <c r="T298" s="116">
        <v>0</v>
      </c>
      <c r="U298" s="116">
        <v>0</v>
      </c>
      <c r="V298" s="116">
        <v>0</v>
      </c>
      <c r="W298" s="116">
        <v>0</v>
      </c>
      <c r="X298" s="116">
        <v>0</v>
      </c>
      <c r="Y298" s="116">
        <v>0</v>
      </c>
      <c r="Z298" s="116">
        <v>13</v>
      </c>
      <c r="AA298" s="116">
        <v>3</v>
      </c>
      <c r="AB298" s="116">
        <v>0</v>
      </c>
      <c r="AC298" s="116">
        <v>0</v>
      </c>
      <c r="AD298" s="116">
        <v>0</v>
      </c>
      <c r="AE298" s="116">
        <v>0</v>
      </c>
      <c r="AF298" s="116">
        <v>0</v>
      </c>
      <c r="AG298" s="116">
        <v>0</v>
      </c>
      <c r="AH298" s="116">
        <v>0</v>
      </c>
      <c r="AI298" s="116">
        <v>1</v>
      </c>
      <c r="AJ298" s="117">
        <v>1</v>
      </c>
      <c r="AK298" s="117">
        <v>4</v>
      </c>
      <c r="AL298" s="117">
        <v>0</v>
      </c>
      <c r="AM298" s="117">
        <v>13</v>
      </c>
      <c r="AN298" s="117">
        <v>27</v>
      </c>
      <c r="AO298" s="117">
        <v>0</v>
      </c>
      <c r="AP298" s="117">
        <v>2</v>
      </c>
      <c r="AQ298" s="117">
        <v>41</v>
      </c>
      <c r="AR298" s="44"/>
      <c r="AS298" s="44"/>
      <c r="AT298" s="46"/>
      <c r="AU298" s="62" t="s">
        <v>887</v>
      </c>
    </row>
    <row r="299" spans="1:47" ht="16.5" customHeight="1">
      <c r="A299" s="76" t="s">
        <v>238</v>
      </c>
      <c r="B299" s="41" t="s">
        <v>882</v>
      </c>
      <c r="C299" s="5" t="s">
        <v>883</v>
      </c>
      <c r="D299" s="77" t="s">
        <v>950</v>
      </c>
      <c r="E299" s="48"/>
      <c r="F299" s="76" t="s">
        <v>239</v>
      </c>
      <c r="G299" s="121" t="s">
        <v>843</v>
      </c>
      <c r="H299" s="122" t="s">
        <v>842</v>
      </c>
      <c r="I299" s="123" t="s">
        <v>885</v>
      </c>
      <c r="J299" s="124">
        <v>2</v>
      </c>
      <c r="K299" s="117">
        <v>1</v>
      </c>
      <c r="L299" s="117">
        <v>1</v>
      </c>
      <c r="M299" s="116">
        <v>4</v>
      </c>
      <c r="N299" s="116">
        <v>1</v>
      </c>
      <c r="O299" s="116">
        <v>0</v>
      </c>
      <c r="P299" s="43">
        <v>6</v>
      </c>
      <c r="Q299" s="116">
        <v>4</v>
      </c>
      <c r="R299" s="116">
        <v>2</v>
      </c>
      <c r="S299" s="116">
        <v>0</v>
      </c>
      <c r="T299" s="116">
        <v>0</v>
      </c>
      <c r="U299" s="116">
        <v>0</v>
      </c>
      <c r="V299" s="116">
        <v>0</v>
      </c>
      <c r="W299" s="116">
        <v>0</v>
      </c>
      <c r="X299" s="116">
        <v>0</v>
      </c>
      <c r="Y299" s="116">
        <v>0</v>
      </c>
      <c r="Z299" s="116">
        <v>7</v>
      </c>
      <c r="AA299" s="116">
        <v>2</v>
      </c>
      <c r="AB299" s="116">
        <v>0</v>
      </c>
      <c r="AC299" s="116">
        <v>0</v>
      </c>
      <c r="AD299" s="116">
        <v>0</v>
      </c>
      <c r="AE299" s="116">
        <v>0</v>
      </c>
      <c r="AF299" s="116">
        <v>0</v>
      </c>
      <c r="AG299" s="116">
        <v>0</v>
      </c>
      <c r="AH299" s="116">
        <v>0</v>
      </c>
      <c r="AI299" s="116">
        <v>1</v>
      </c>
      <c r="AJ299" s="117">
        <v>0</v>
      </c>
      <c r="AK299" s="117">
        <v>7</v>
      </c>
      <c r="AL299" s="117">
        <v>0</v>
      </c>
      <c r="AM299" s="117">
        <v>4</v>
      </c>
      <c r="AN299" s="117">
        <v>20</v>
      </c>
      <c r="AO299" s="117">
        <v>0</v>
      </c>
      <c r="AP299" s="117">
        <v>5</v>
      </c>
      <c r="AQ299" s="117">
        <v>26</v>
      </c>
      <c r="AR299" s="44"/>
      <c r="AS299" s="44"/>
      <c r="AT299" s="46"/>
      <c r="AU299" s="62" t="s">
        <v>891</v>
      </c>
    </row>
    <row r="300" spans="1:47" ht="16.5" customHeight="1">
      <c r="A300" s="76" t="s">
        <v>753</v>
      </c>
      <c r="B300" s="41" t="s">
        <v>882</v>
      </c>
      <c r="C300" s="5" t="s">
        <v>883</v>
      </c>
      <c r="D300" s="77" t="s">
        <v>950</v>
      </c>
      <c r="E300" s="49"/>
      <c r="F300" s="76" t="s">
        <v>754</v>
      </c>
      <c r="G300" s="121" t="s">
        <v>843</v>
      </c>
      <c r="H300" s="122"/>
      <c r="I300" s="123" t="s">
        <v>885</v>
      </c>
      <c r="J300" s="124">
        <v>2</v>
      </c>
      <c r="K300" s="117">
        <v>1</v>
      </c>
      <c r="L300" s="117">
        <v>2</v>
      </c>
      <c r="M300" s="116">
        <v>10</v>
      </c>
      <c r="N300" s="116">
        <v>2</v>
      </c>
      <c r="O300" s="116">
        <v>0</v>
      </c>
      <c r="P300" s="43">
        <v>4</v>
      </c>
      <c r="Q300" s="116">
        <v>0</v>
      </c>
      <c r="R300" s="116">
        <v>4</v>
      </c>
      <c r="S300" s="116">
        <v>0</v>
      </c>
      <c r="T300" s="116">
        <v>0</v>
      </c>
      <c r="U300" s="116">
        <v>0</v>
      </c>
      <c r="V300" s="116">
        <v>0</v>
      </c>
      <c r="W300" s="116">
        <v>0</v>
      </c>
      <c r="X300" s="116">
        <v>0</v>
      </c>
      <c r="Y300" s="116">
        <v>0</v>
      </c>
      <c r="Z300" s="116">
        <v>9</v>
      </c>
      <c r="AA300" s="116">
        <v>5</v>
      </c>
      <c r="AB300" s="116">
        <v>0</v>
      </c>
      <c r="AC300" s="116">
        <v>0</v>
      </c>
      <c r="AD300" s="116">
        <v>0</v>
      </c>
      <c r="AE300" s="116">
        <v>0</v>
      </c>
      <c r="AF300" s="116">
        <v>0</v>
      </c>
      <c r="AG300" s="116">
        <v>0</v>
      </c>
      <c r="AH300" s="116">
        <v>0</v>
      </c>
      <c r="AI300" s="116">
        <v>1</v>
      </c>
      <c r="AJ300" s="117">
        <v>1</v>
      </c>
      <c r="AK300" s="117">
        <v>5</v>
      </c>
      <c r="AL300" s="117">
        <v>0</v>
      </c>
      <c r="AM300" s="117">
        <v>10</v>
      </c>
      <c r="AN300" s="117">
        <v>19</v>
      </c>
      <c r="AO300" s="117">
        <v>1</v>
      </c>
      <c r="AP300" s="117">
        <v>4</v>
      </c>
      <c r="AQ300" s="117">
        <v>30</v>
      </c>
      <c r="AR300" s="44"/>
      <c r="AS300" s="44"/>
      <c r="AT300" s="46"/>
      <c r="AU300" s="62" t="s">
        <v>908</v>
      </c>
    </row>
    <row r="301" spans="1:47" ht="16.5" customHeight="1">
      <c r="A301" s="76" t="s">
        <v>771</v>
      </c>
      <c r="B301" s="41" t="s">
        <v>882</v>
      </c>
      <c r="C301" s="5" t="s">
        <v>883</v>
      </c>
      <c r="D301" s="77" t="s">
        <v>950</v>
      </c>
      <c r="E301" s="47"/>
      <c r="F301" s="76" t="s">
        <v>772</v>
      </c>
      <c r="G301" s="121" t="s">
        <v>843</v>
      </c>
      <c r="H301" s="122"/>
      <c r="I301" s="123" t="s">
        <v>888</v>
      </c>
      <c r="J301" s="124">
        <v>2</v>
      </c>
      <c r="K301" s="117">
        <v>1</v>
      </c>
      <c r="L301" s="117">
        <v>1</v>
      </c>
      <c r="M301" s="116">
        <v>12</v>
      </c>
      <c r="N301" s="116">
        <v>3</v>
      </c>
      <c r="O301" s="116">
        <v>0</v>
      </c>
      <c r="P301" s="43">
        <v>2</v>
      </c>
      <c r="Q301" s="116">
        <v>1</v>
      </c>
      <c r="R301" s="116">
        <v>1</v>
      </c>
      <c r="S301" s="116">
        <v>0</v>
      </c>
      <c r="T301" s="116">
        <v>1</v>
      </c>
      <c r="U301" s="116">
        <v>1</v>
      </c>
      <c r="V301" s="116">
        <v>0</v>
      </c>
      <c r="W301" s="116">
        <v>0</v>
      </c>
      <c r="X301" s="116">
        <v>0</v>
      </c>
      <c r="Y301" s="116">
        <v>0</v>
      </c>
      <c r="Z301" s="116">
        <v>12</v>
      </c>
      <c r="AA301" s="116">
        <v>3</v>
      </c>
      <c r="AB301" s="116">
        <v>0</v>
      </c>
      <c r="AC301" s="116">
        <v>0</v>
      </c>
      <c r="AD301" s="116">
        <v>0</v>
      </c>
      <c r="AE301" s="116">
        <v>0</v>
      </c>
      <c r="AF301" s="116">
        <v>0</v>
      </c>
      <c r="AG301" s="116">
        <v>0</v>
      </c>
      <c r="AH301" s="116">
        <v>0</v>
      </c>
      <c r="AI301" s="116">
        <v>1</v>
      </c>
      <c r="AJ301" s="117">
        <v>0</v>
      </c>
      <c r="AK301" s="117">
        <v>7</v>
      </c>
      <c r="AL301" s="117">
        <v>0</v>
      </c>
      <c r="AM301" s="117">
        <v>0</v>
      </c>
      <c r="AN301" s="117">
        <v>41</v>
      </c>
      <c r="AO301" s="117">
        <v>1</v>
      </c>
      <c r="AP301" s="117">
        <v>3</v>
      </c>
      <c r="AQ301" s="117">
        <v>44</v>
      </c>
      <c r="AR301" s="44"/>
      <c r="AS301" s="44"/>
      <c r="AT301" s="46"/>
      <c r="AU301" s="62" t="s">
        <v>891</v>
      </c>
    </row>
    <row r="302" spans="1:47" ht="16.5" customHeight="1">
      <c r="A302" s="76" t="s">
        <v>163</v>
      </c>
      <c r="B302" s="41" t="s">
        <v>882</v>
      </c>
      <c r="C302" s="5" t="s">
        <v>883</v>
      </c>
      <c r="D302" s="77" t="s">
        <v>950</v>
      </c>
      <c r="E302" s="48"/>
      <c r="F302" s="76" t="s">
        <v>164</v>
      </c>
      <c r="G302" s="121" t="s">
        <v>843</v>
      </c>
      <c r="H302" s="122"/>
      <c r="I302" s="123" t="s">
        <v>888</v>
      </c>
      <c r="J302" s="124">
        <v>2</v>
      </c>
      <c r="K302" s="117">
        <v>2</v>
      </c>
      <c r="L302" s="117">
        <v>1</v>
      </c>
      <c r="M302" s="116">
        <v>5</v>
      </c>
      <c r="N302" s="116">
        <v>6</v>
      </c>
      <c r="O302" s="116">
        <v>0</v>
      </c>
      <c r="P302" s="43">
        <v>1</v>
      </c>
      <c r="Q302" s="116">
        <v>1</v>
      </c>
      <c r="R302" s="116">
        <v>0</v>
      </c>
      <c r="S302" s="116">
        <v>0</v>
      </c>
      <c r="T302" s="116">
        <v>0</v>
      </c>
      <c r="U302" s="116">
        <v>0</v>
      </c>
      <c r="V302" s="116">
        <v>0</v>
      </c>
      <c r="W302" s="116">
        <v>0</v>
      </c>
      <c r="X302" s="116">
        <v>0</v>
      </c>
      <c r="Y302" s="116">
        <v>0</v>
      </c>
      <c r="Z302" s="116">
        <v>0</v>
      </c>
      <c r="AA302" s="116">
        <v>0</v>
      </c>
      <c r="AB302" s="116">
        <v>0</v>
      </c>
      <c r="AC302" s="116">
        <v>5</v>
      </c>
      <c r="AD302" s="116">
        <v>5</v>
      </c>
      <c r="AE302" s="116">
        <v>0</v>
      </c>
      <c r="AF302" s="116">
        <v>0</v>
      </c>
      <c r="AG302" s="116">
        <v>0</v>
      </c>
      <c r="AH302" s="116">
        <v>0</v>
      </c>
      <c r="AI302" s="116">
        <v>1</v>
      </c>
      <c r="AJ302" s="117">
        <v>0</v>
      </c>
      <c r="AK302" s="117">
        <v>4</v>
      </c>
      <c r="AL302" s="117">
        <v>1</v>
      </c>
      <c r="AM302" s="117">
        <v>2</v>
      </c>
      <c r="AN302" s="117">
        <v>20</v>
      </c>
      <c r="AO302" s="117">
        <v>0</v>
      </c>
      <c r="AP302" s="117">
        <v>4</v>
      </c>
      <c r="AQ302" s="117">
        <v>21</v>
      </c>
      <c r="AR302" s="44"/>
      <c r="AS302" s="44"/>
      <c r="AT302" s="46"/>
      <c r="AU302" s="62" t="s">
        <v>915</v>
      </c>
    </row>
    <row r="303" spans="1:47" ht="16.5" customHeight="1">
      <c r="A303" s="76" t="s">
        <v>773</v>
      </c>
      <c r="B303" s="41" t="s">
        <v>882</v>
      </c>
      <c r="C303" s="5" t="s">
        <v>883</v>
      </c>
      <c r="D303" s="77" t="s">
        <v>950</v>
      </c>
      <c r="E303" s="47"/>
      <c r="F303" s="76" t="s">
        <v>774</v>
      </c>
      <c r="G303" s="121" t="s">
        <v>843</v>
      </c>
      <c r="H303" s="122" t="s">
        <v>842</v>
      </c>
      <c r="I303" s="123" t="s">
        <v>885</v>
      </c>
      <c r="J303" s="124">
        <v>2</v>
      </c>
      <c r="K303" s="117">
        <v>1</v>
      </c>
      <c r="L303" s="117">
        <v>1</v>
      </c>
      <c r="M303" s="116">
        <v>16</v>
      </c>
      <c r="N303" s="116">
        <v>4</v>
      </c>
      <c r="O303" s="116">
        <v>0</v>
      </c>
      <c r="P303" s="43">
        <v>1</v>
      </c>
      <c r="Q303" s="116">
        <v>1</v>
      </c>
      <c r="R303" s="116">
        <v>0</v>
      </c>
      <c r="S303" s="116">
        <v>0</v>
      </c>
      <c r="T303" s="116">
        <v>0</v>
      </c>
      <c r="U303" s="116">
        <v>0</v>
      </c>
      <c r="V303" s="116">
        <v>0</v>
      </c>
      <c r="W303" s="116">
        <v>4</v>
      </c>
      <c r="X303" s="116">
        <v>2</v>
      </c>
      <c r="Y303" s="116">
        <v>0</v>
      </c>
      <c r="Z303" s="116">
        <v>12</v>
      </c>
      <c r="AA303" s="116">
        <v>1</v>
      </c>
      <c r="AB303" s="116">
        <v>0</v>
      </c>
      <c r="AC303" s="116">
        <v>0</v>
      </c>
      <c r="AD303" s="116">
        <v>0</v>
      </c>
      <c r="AE303" s="116">
        <v>0</v>
      </c>
      <c r="AF303" s="116">
        <v>0</v>
      </c>
      <c r="AG303" s="116">
        <v>0</v>
      </c>
      <c r="AH303" s="116">
        <v>0</v>
      </c>
      <c r="AI303" s="116">
        <v>1</v>
      </c>
      <c r="AJ303" s="117">
        <v>2</v>
      </c>
      <c r="AK303" s="117">
        <v>5</v>
      </c>
      <c r="AL303" s="117">
        <v>0</v>
      </c>
      <c r="AM303" s="117">
        <v>4</v>
      </c>
      <c r="AN303" s="117">
        <v>43</v>
      </c>
      <c r="AO303" s="117">
        <v>0</v>
      </c>
      <c r="AP303" s="117">
        <v>5</v>
      </c>
      <c r="AQ303" s="117">
        <v>48</v>
      </c>
      <c r="AR303" s="44"/>
      <c r="AS303" s="44"/>
      <c r="AT303" s="46"/>
      <c r="AU303" s="62" t="s">
        <v>897</v>
      </c>
    </row>
    <row r="304" spans="1:47" ht="16.5" customHeight="1">
      <c r="A304" s="76" t="s">
        <v>247</v>
      </c>
      <c r="B304" s="41" t="s">
        <v>882</v>
      </c>
      <c r="C304" s="5" t="s">
        <v>883</v>
      </c>
      <c r="D304" s="77" t="s">
        <v>950</v>
      </c>
      <c r="E304" s="48"/>
      <c r="F304" s="76" t="s">
        <v>248</v>
      </c>
      <c r="G304" s="121" t="s">
        <v>843</v>
      </c>
      <c r="H304" s="122"/>
      <c r="I304" s="123" t="s">
        <v>885</v>
      </c>
      <c r="J304" s="124">
        <v>2</v>
      </c>
      <c r="K304" s="117">
        <v>1</v>
      </c>
      <c r="L304" s="117">
        <v>1</v>
      </c>
      <c r="M304" s="116">
        <v>9</v>
      </c>
      <c r="N304" s="116">
        <v>1</v>
      </c>
      <c r="O304" s="116">
        <v>0</v>
      </c>
      <c r="P304" s="43">
        <v>7</v>
      </c>
      <c r="Q304" s="116">
        <v>5</v>
      </c>
      <c r="R304" s="116">
        <v>2</v>
      </c>
      <c r="S304" s="116">
        <v>0</v>
      </c>
      <c r="T304" s="116">
        <v>0</v>
      </c>
      <c r="U304" s="116">
        <v>0</v>
      </c>
      <c r="V304" s="116">
        <v>0</v>
      </c>
      <c r="W304" s="116">
        <v>0</v>
      </c>
      <c r="X304" s="116">
        <v>0</v>
      </c>
      <c r="Y304" s="116">
        <v>0</v>
      </c>
      <c r="Z304" s="116">
        <v>13</v>
      </c>
      <c r="AA304" s="116">
        <v>2</v>
      </c>
      <c r="AB304" s="116">
        <v>0</v>
      </c>
      <c r="AC304" s="116">
        <v>0</v>
      </c>
      <c r="AD304" s="116">
        <v>0</v>
      </c>
      <c r="AE304" s="116">
        <v>0</v>
      </c>
      <c r="AF304" s="116">
        <v>0</v>
      </c>
      <c r="AG304" s="116">
        <v>0</v>
      </c>
      <c r="AH304" s="116">
        <v>0</v>
      </c>
      <c r="AI304" s="116">
        <v>1</v>
      </c>
      <c r="AJ304" s="117">
        <v>1</v>
      </c>
      <c r="AK304" s="117">
        <v>3</v>
      </c>
      <c r="AL304" s="117">
        <v>0</v>
      </c>
      <c r="AM304" s="117">
        <v>11</v>
      </c>
      <c r="AN304" s="117">
        <v>15</v>
      </c>
      <c r="AO304" s="117">
        <v>1</v>
      </c>
      <c r="AP304" s="117">
        <v>1</v>
      </c>
      <c r="AQ304" s="117">
        <v>28</v>
      </c>
      <c r="AR304" s="44"/>
      <c r="AS304" s="44"/>
      <c r="AT304" s="46"/>
      <c r="AU304" s="62" t="s">
        <v>890</v>
      </c>
    </row>
    <row r="305" spans="1:47" ht="16.5" customHeight="1">
      <c r="A305" s="76" t="s">
        <v>166</v>
      </c>
      <c r="B305" s="41" t="s">
        <v>882</v>
      </c>
      <c r="C305" s="5" t="s">
        <v>883</v>
      </c>
      <c r="D305" s="77" t="s">
        <v>950</v>
      </c>
      <c r="E305" s="48"/>
      <c r="F305" s="76" t="s">
        <v>167</v>
      </c>
      <c r="G305" s="121" t="s">
        <v>843</v>
      </c>
      <c r="H305" s="122"/>
      <c r="I305" s="123" t="s">
        <v>888</v>
      </c>
      <c r="J305" s="124">
        <v>2</v>
      </c>
      <c r="K305" s="117">
        <v>1</v>
      </c>
      <c r="L305" s="117">
        <v>1</v>
      </c>
      <c r="M305" s="116">
        <v>14</v>
      </c>
      <c r="N305" s="116">
        <v>7</v>
      </c>
      <c r="O305" s="116">
        <v>0</v>
      </c>
      <c r="P305" s="43">
        <v>0</v>
      </c>
      <c r="Q305" s="116">
        <v>0</v>
      </c>
      <c r="R305" s="116">
        <v>0</v>
      </c>
      <c r="S305" s="116">
        <v>0</v>
      </c>
      <c r="T305" s="116">
        <v>0</v>
      </c>
      <c r="U305" s="116">
        <v>0</v>
      </c>
      <c r="V305" s="116">
        <v>0</v>
      </c>
      <c r="W305" s="116">
        <v>8</v>
      </c>
      <c r="X305" s="116">
        <v>1</v>
      </c>
      <c r="Y305" s="116">
        <v>0</v>
      </c>
      <c r="Z305" s="116">
        <v>5</v>
      </c>
      <c r="AA305" s="116">
        <v>5</v>
      </c>
      <c r="AB305" s="116">
        <v>0</v>
      </c>
      <c r="AC305" s="116">
        <v>0</v>
      </c>
      <c r="AD305" s="116">
        <v>0</v>
      </c>
      <c r="AE305" s="116">
        <v>0</v>
      </c>
      <c r="AF305" s="116">
        <v>0</v>
      </c>
      <c r="AG305" s="116">
        <v>0</v>
      </c>
      <c r="AH305" s="116">
        <v>0</v>
      </c>
      <c r="AI305" s="116">
        <v>1</v>
      </c>
      <c r="AJ305" s="117">
        <v>0</v>
      </c>
      <c r="AK305" s="117">
        <v>7</v>
      </c>
      <c r="AL305" s="117">
        <v>0</v>
      </c>
      <c r="AM305" s="117">
        <v>0</v>
      </c>
      <c r="AN305" s="117">
        <v>25</v>
      </c>
      <c r="AO305" s="117">
        <v>0</v>
      </c>
      <c r="AP305" s="117">
        <v>7</v>
      </c>
      <c r="AQ305" s="117">
        <v>25</v>
      </c>
      <c r="AR305" s="44"/>
      <c r="AS305" s="44"/>
      <c r="AT305" s="46"/>
      <c r="AU305" s="62" t="s">
        <v>908</v>
      </c>
    </row>
    <row r="306" spans="1:47" ht="16.5" customHeight="1">
      <c r="A306" s="76" t="s">
        <v>169</v>
      </c>
      <c r="B306" s="41" t="s">
        <v>882</v>
      </c>
      <c r="C306" s="5" t="s">
        <v>883</v>
      </c>
      <c r="D306" s="77" t="s">
        <v>950</v>
      </c>
      <c r="E306" s="49"/>
      <c r="F306" s="76" t="s">
        <v>170</v>
      </c>
      <c r="G306" s="121" t="s">
        <v>843</v>
      </c>
      <c r="H306" s="122"/>
      <c r="I306" s="123" t="s">
        <v>888</v>
      </c>
      <c r="J306" s="124">
        <v>2</v>
      </c>
      <c r="K306" s="117">
        <v>3</v>
      </c>
      <c r="L306" s="117">
        <v>1</v>
      </c>
      <c r="M306" s="116">
        <v>6</v>
      </c>
      <c r="N306" s="116">
        <v>3</v>
      </c>
      <c r="O306" s="116">
        <v>0</v>
      </c>
      <c r="P306" s="43">
        <v>7</v>
      </c>
      <c r="Q306" s="116">
        <v>7</v>
      </c>
      <c r="R306" s="116">
        <v>0</v>
      </c>
      <c r="S306" s="116">
        <v>0</v>
      </c>
      <c r="T306" s="116">
        <v>0</v>
      </c>
      <c r="U306" s="116">
        <v>0</v>
      </c>
      <c r="V306" s="116">
        <v>0</v>
      </c>
      <c r="W306" s="116">
        <v>0</v>
      </c>
      <c r="X306" s="116">
        <v>1</v>
      </c>
      <c r="Y306" s="116">
        <v>0</v>
      </c>
      <c r="Z306" s="116">
        <v>12</v>
      </c>
      <c r="AA306" s="116">
        <v>2</v>
      </c>
      <c r="AB306" s="116">
        <v>0</v>
      </c>
      <c r="AC306" s="116">
        <v>0</v>
      </c>
      <c r="AD306" s="116">
        <v>0</v>
      </c>
      <c r="AE306" s="116">
        <v>0</v>
      </c>
      <c r="AF306" s="116">
        <v>0</v>
      </c>
      <c r="AG306" s="116">
        <v>0</v>
      </c>
      <c r="AH306" s="116">
        <v>0</v>
      </c>
      <c r="AI306" s="116">
        <v>1</v>
      </c>
      <c r="AJ306" s="117">
        <v>0</v>
      </c>
      <c r="AK306" s="117">
        <v>7</v>
      </c>
      <c r="AL306" s="117">
        <v>0</v>
      </c>
      <c r="AM306" s="117">
        <v>0</v>
      </c>
      <c r="AN306" s="117">
        <v>46</v>
      </c>
      <c r="AO306" s="117">
        <v>0</v>
      </c>
      <c r="AP306" s="117">
        <v>6</v>
      </c>
      <c r="AQ306" s="117">
        <v>47</v>
      </c>
      <c r="AR306" s="44"/>
      <c r="AS306" s="44"/>
      <c r="AT306" s="46"/>
      <c r="AU306" s="62" t="s">
        <v>891</v>
      </c>
    </row>
    <row r="307" spans="1:47" ht="16.5" customHeight="1">
      <c r="A307" s="76" t="s">
        <v>253</v>
      </c>
      <c r="B307" s="41" t="s">
        <v>882</v>
      </c>
      <c r="C307" s="5" t="s">
        <v>883</v>
      </c>
      <c r="D307" s="77" t="s">
        <v>950</v>
      </c>
      <c r="E307" s="47"/>
      <c r="F307" s="76" t="s">
        <v>254</v>
      </c>
      <c r="G307" s="121" t="s">
        <v>843</v>
      </c>
      <c r="H307" s="122" t="s">
        <v>842</v>
      </c>
      <c r="I307" s="123" t="s">
        <v>888</v>
      </c>
      <c r="J307" s="124">
        <v>2</v>
      </c>
      <c r="K307" s="117">
        <v>1</v>
      </c>
      <c r="L307" s="117">
        <v>1</v>
      </c>
      <c r="M307" s="116">
        <v>6</v>
      </c>
      <c r="N307" s="116">
        <v>2</v>
      </c>
      <c r="O307" s="116">
        <v>0</v>
      </c>
      <c r="P307" s="43">
        <v>8</v>
      </c>
      <c r="Q307" s="116">
        <v>4</v>
      </c>
      <c r="R307" s="116">
        <v>4</v>
      </c>
      <c r="S307" s="116">
        <v>0</v>
      </c>
      <c r="T307" s="116">
        <v>0</v>
      </c>
      <c r="U307" s="116">
        <v>0</v>
      </c>
      <c r="V307" s="116">
        <v>0</v>
      </c>
      <c r="W307" s="116">
        <v>2</v>
      </c>
      <c r="X307" s="116">
        <v>1</v>
      </c>
      <c r="Y307" s="116">
        <v>0</v>
      </c>
      <c r="Z307" s="116">
        <v>8</v>
      </c>
      <c r="AA307" s="116">
        <v>5</v>
      </c>
      <c r="AB307" s="116">
        <v>0</v>
      </c>
      <c r="AC307" s="116">
        <v>0</v>
      </c>
      <c r="AD307" s="116">
        <v>0</v>
      </c>
      <c r="AE307" s="116">
        <v>0</v>
      </c>
      <c r="AF307" s="116">
        <v>0</v>
      </c>
      <c r="AG307" s="116">
        <v>0</v>
      </c>
      <c r="AH307" s="116">
        <v>0</v>
      </c>
      <c r="AI307" s="116">
        <v>1</v>
      </c>
      <c r="AJ307" s="117">
        <v>1</v>
      </c>
      <c r="AK307" s="117">
        <v>7</v>
      </c>
      <c r="AL307" s="117">
        <v>0</v>
      </c>
      <c r="AM307" s="117">
        <v>13</v>
      </c>
      <c r="AN307" s="117">
        <v>35</v>
      </c>
      <c r="AO307" s="117">
        <v>0</v>
      </c>
      <c r="AP307" s="117">
        <v>6</v>
      </c>
      <c r="AQ307" s="117">
        <v>50</v>
      </c>
      <c r="AR307" s="44"/>
      <c r="AS307" s="44"/>
      <c r="AT307" s="46"/>
      <c r="AU307" s="62" t="s">
        <v>887</v>
      </c>
    </row>
    <row r="308" spans="1:47" ht="16.5" customHeight="1">
      <c r="A308" s="76" t="s">
        <v>779</v>
      </c>
      <c r="B308" s="41" t="s">
        <v>882</v>
      </c>
      <c r="C308" s="5" t="s">
        <v>883</v>
      </c>
      <c r="D308" s="77" t="s">
        <v>950</v>
      </c>
      <c r="E308" s="48"/>
      <c r="F308" s="76" t="s">
        <v>780</v>
      </c>
      <c r="G308" s="121" t="s">
        <v>843</v>
      </c>
      <c r="H308" s="122"/>
      <c r="I308" s="123" t="s">
        <v>888</v>
      </c>
      <c r="J308" s="124">
        <v>2</v>
      </c>
      <c r="K308" s="117">
        <v>3</v>
      </c>
      <c r="L308" s="117">
        <v>1</v>
      </c>
      <c r="M308" s="116">
        <v>12</v>
      </c>
      <c r="N308" s="116">
        <v>2</v>
      </c>
      <c r="O308" s="116">
        <v>0</v>
      </c>
      <c r="P308" s="43">
        <v>5</v>
      </c>
      <c r="Q308" s="116">
        <v>5</v>
      </c>
      <c r="R308" s="116">
        <v>0</v>
      </c>
      <c r="S308" s="116">
        <v>0</v>
      </c>
      <c r="T308" s="116">
        <v>2</v>
      </c>
      <c r="U308" s="116">
        <v>1</v>
      </c>
      <c r="V308" s="116">
        <v>0</v>
      </c>
      <c r="W308" s="116">
        <v>1</v>
      </c>
      <c r="X308" s="116">
        <v>0</v>
      </c>
      <c r="Y308" s="116">
        <v>0</v>
      </c>
      <c r="Z308" s="116">
        <v>13</v>
      </c>
      <c r="AA308" s="116">
        <v>1</v>
      </c>
      <c r="AB308" s="116">
        <v>0</v>
      </c>
      <c r="AC308" s="116">
        <v>0</v>
      </c>
      <c r="AD308" s="116">
        <v>0</v>
      </c>
      <c r="AE308" s="116">
        <v>0</v>
      </c>
      <c r="AF308" s="116">
        <v>0</v>
      </c>
      <c r="AG308" s="116">
        <v>0</v>
      </c>
      <c r="AH308" s="116">
        <v>0</v>
      </c>
      <c r="AI308" s="116">
        <v>1</v>
      </c>
      <c r="AJ308" s="117">
        <v>0</v>
      </c>
      <c r="AK308" s="117">
        <v>8</v>
      </c>
      <c r="AL308" s="117">
        <v>0</v>
      </c>
      <c r="AM308" s="117">
        <v>0</v>
      </c>
      <c r="AN308" s="117">
        <v>47</v>
      </c>
      <c r="AO308" s="117">
        <v>0</v>
      </c>
      <c r="AP308" s="117">
        <v>7</v>
      </c>
      <c r="AQ308" s="117">
        <v>48</v>
      </c>
      <c r="AR308" s="44"/>
      <c r="AS308" s="44"/>
      <c r="AT308" s="46"/>
      <c r="AU308" s="62" t="s">
        <v>890</v>
      </c>
    </row>
    <row r="309" spans="1:47" ht="16.5" customHeight="1">
      <c r="A309" s="76" t="s">
        <v>175</v>
      </c>
      <c r="B309" s="41" t="s">
        <v>882</v>
      </c>
      <c r="C309" s="5" t="s">
        <v>883</v>
      </c>
      <c r="D309" s="77" t="s">
        <v>950</v>
      </c>
      <c r="E309" s="48"/>
      <c r="F309" s="76" t="s">
        <v>176</v>
      </c>
      <c r="G309" s="121" t="s">
        <v>843</v>
      </c>
      <c r="H309" s="122"/>
      <c r="I309" s="123" t="s">
        <v>888</v>
      </c>
      <c r="J309" s="124">
        <v>2</v>
      </c>
      <c r="K309" s="117">
        <v>2</v>
      </c>
      <c r="L309" s="117">
        <v>1</v>
      </c>
      <c r="M309" s="116">
        <v>7</v>
      </c>
      <c r="N309" s="116">
        <v>4</v>
      </c>
      <c r="O309" s="116">
        <v>0</v>
      </c>
      <c r="P309" s="43">
        <v>6</v>
      </c>
      <c r="Q309" s="116">
        <v>5</v>
      </c>
      <c r="R309" s="116">
        <v>1</v>
      </c>
      <c r="S309" s="116">
        <v>0</v>
      </c>
      <c r="T309" s="116">
        <v>0</v>
      </c>
      <c r="U309" s="116">
        <v>0</v>
      </c>
      <c r="V309" s="116">
        <v>0</v>
      </c>
      <c r="W309" s="116">
        <v>0</v>
      </c>
      <c r="X309" s="116">
        <v>0</v>
      </c>
      <c r="Y309" s="116">
        <v>0</v>
      </c>
      <c r="Z309" s="116">
        <v>0</v>
      </c>
      <c r="AA309" s="116">
        <v>0</v>
      </c>
      <c r="AB309" s="116">
        <v>0</v>
      </c>
      <c r="AC309" s="116">
        <v>0</v>
      </c>
      <c r="AD309" s="116">
        <v>0</v>
      </c>
      <c r="AE309" s="116">
        <v>0</v>
      </c>
      <c r="AF309" s="116">
        <v>11</v>
      </c>
      <c r="AG309" s="116">
        <v>4</v>
      </c>
      <c r="AH309" s="116">
        <v>0</v>
      </c>
      <c r="AI309" s="116">
        <v>1</v>
      </c>
      <c r="AJ309" s="117">
        <v>0</v>
      </c>
      <c r="AK309" s="117">
        <v>5</v>
      </c>
      <c r="AL309" s="117">
        <v>0</v>
      </c>
      <c r="AM309" s="117">
        <v>0</v>
      </c>
      <c r="AN309" s="117">
        <v>19</v>
      </c>
      <c r="AO309" s="117">
        <v>0</v>
      </c>
      <c r="AP309" s="117">
        <v>4</v>
      </c>
      <c r="AQ309" s="117">
        <v>20</v>
      </c>
      <c r="AR309" s="44"/>
      <c r="AS309" s="44"/>
      <c r="AT309" s="46"/>
      <c r="AU309" s="62" t="s">
        <v>887</v>
      </c>
    </row>
    <row r="310" spans="1:47" ht="16.5" customHeight="1">
      <c r="A310" s="76" t="s">
        <v>799</v>
      </c>
      <c r="B310" s="41" t="s">
        <v>882</v>
      </c>
      <c r="C310" s="5" t="s">
        <v>883</v>
      </c>
      <c r="D310" s="77" t="s">
        <v>950</v>
      </c>
      <c r="E310" s="48"/>
      <c r="F310" s="76" t="s">
        <v>800</v>
      </c>
      <c r="G310" s="121" t="s">
        <v>843</v>
      </c>
      <c r="H310" s="122"/>
      <c r="I310" s="123" t="s">
        <v>888</v>
      </c>
      <c r="J310" s="124">
        <v>2</v>
      </c>
      <c r="K310" s="117">
        <v>1</v>
      </c>
      <c r="L310" s="117">
        <v>1</v>
      </c>
      <c r="M310" s="116">
        <v>7</v>
      </c>
      <c r="N310" s="116">
        <v>2</v>
      </c>
      <c r="O310" s="116">
        <v>0</v>
      </c>
      <c r="P310" s="43">
        <v>2</v>
      </c>
      <c r="Q310" s="116">
        <v>0</v>
      </c>
      <c r="R310" s="116">
        <v>2</v>
      </c>
      <c r="S310" s="116">
        <v>0</v>
      </c>
      <c r="T310" s="116">
        <v>2</v>
      </c>
      <c r="U310" s="116">
        <v>0</v>
      </c>
      <c r="V310" s="116">
        <v>0</v>
      </c>
      <c r="W310" s="116">
        <v>1</v>
      </c>
      <c r="X310" s="116">
        <v>1</v>
      </c>
      <c r="Y310" s="116">
        <v>0</v>
      </c>
      <c r="Z310" s="116">
        <v>3</v>
      </c>
      <c r="AA310" s="116">
        <v>2</v>
      </c>
      <c r="AB310" s="116">
        <v>0</v>
      </c>
      <c r="AC310" s="116">
        <v>0</v>
      </c>
      <c r="AD310" s="116">
        <v>0</v>
      </c>
      <c r="AE310" s="116">
        <v>0</v>
      </c>
      <c r="AF310" s="116">
        <v>0</v>
      </c>
      <c r="AG310" s="116">
        <v>0</v>
      </c>
      <c r="AH310" s="116">
        <v>0</v>
      </c>
      <c r="AI310" s="116">
        <v>1</v>
      </c>
      <c r="AJ310" s="117">
        <v>0</v>
      </c>
      <c r="AK310" s="117">
        <v>5</v>
      </c>
      <c r="AL310" s="117">
        <v>0</v>
      </c>
      <c r="AM310" s="117">
        <v>4</v>
      </c>
      <c r="AN310" s="117">
        <v>11</v>
      </c>
      <c r="AO310" s="117">
        <v>0</v>
      </c>
      <c r="AP310" s="117">
        <v>5</v>
      </c>
      <c r="AQ310" s="117">
        <v>15</v>
      </c>
      <c r="AR310" s="44"/>
      <c r="AS310" s="44"/>
      <c r="AT310" s="46"/>
      <c r="AU310" s="62" t="s">
        <v>889</v>
      </c>
    </row>
    <row r="311" spans="1:47" ht="16.5" customHeight="1">
      <c r="A311" s="76" t="s">
        <v>807</v>
      </c>
      <c r="B311" s="41" t="s">
        <v>882</v>
      </c>
      <c r="C311" s="5" t="s">
        <v>883</v>
      </c>
      <c r="D311" s="77" t="s">
        <v>950</v>
      </c>
      <c r="E311" s="48"/>
      <c r="F311" s="76" t="s">
        <v>808</v>
      </c>
      <c r="G311" s="121" t="s">
        <v>843</v>
      </c>
      <c r="H311" s="122"/>
      <c r="I311" s="123" t="s">
        <v>885</v>
      </c>
      <c r="J311" s="124">
        <v>2</v>
      </c>
      <c r="K311" s="117">
        <v>1</v>
      </c>
      <c r="L311" s="117">
        <v>1</v>
      </c>
      <c r="M311" s="116">
        <v>10</v>
      </c>
      <c r="N311" s="116">
        <v>3</v>
      </c>
      <c r="O311" s="116">
        <v>0</v>
      </c>
      <c r="P311" s="43">
        <v>0</v>
      </c>
      <c r="Q311" s="116">
        <v>0</v>
      </c>
      <c r="R311" s="116">
        <v>0</v>
      </c>
      <c r="S311" s="116">
        <v>0</v>
      </c>
      <c r="T311" s="116">
        <v>0</v>
      </c>
      <c r="U311" s="116">
        <v>0</v>
      </c>
      <c r="V311" s="116">
        <v>0</v>
      </c>
      <c r="W311" s="116">
        <v>0</v>
      </c>
      <c r="X311" s="116">
        <v>0</v>
      </c>
      <c r="Y311" s="116">
        <v>0</v>
      </c>
      <c r="Z311" s="116">
        <v>9</v>
      </c>
      <c r="AA311" s="116">
        <v>3</v>
      </c>
      <c r="AB311" s="116">
        <v>0</v>
      </c>
      <c r="AC311" s="116">
        <v>0</v>
      </c>
      <c r="AD311" s="116">
        <v>0</v>
      </c>
      <c r="AE311" s="116">
        <v>0</v>
      </c>
      <c r="AF311" s="116">
        <v>0</v>
      </c>
      <c r="AG311" s="116">
        <v>0</v>
      </c>
      <c r="AH311" s="116">
        <v>0</v>
      </c>
      <c r="AI311" s="116">
        <v>1</v>
      </c>
      <c r="AJ311" s="117">
        <v>1</v>
      </c>
      <c r="AK311" s="117">
        <v>5</v>
      </c>
      <c r="AL311" s="117">
        <v>0</v>
      </c>
      <c r="AM311" s="117">
        <v>12</v>
      </c>
      <c r="AN311" s="117">
        <v>23</v>
      </c>
      <c r="AO311" s="117">
        <v>0</v>
      </c>
      <c r="AP311" s="117">
        <v>4</v>
      </c>
      <c r="AQ311" s="117">
        <v>37</v>
      </c>
      <c r="AR311" s="44"/>
      <c r="AS311" s="44"/>
      <c r="AT311" s="46"/>
      <c r="AU311" s="62" t="s">
        <v>886</v>
      </c>
    </row>
    <row r="312" spans="1:47" ht="16.5" customHeight="1">
      <c r="A312" s="76" t="s">
        <v>819</v>
      </c>
      <c r="B312" s="41" t="s">
        <v>882</v>
      </c>
      <c r="C312" s="5" t="s">
        <v>883</v>
      </c>
      <c r="D312" s="77" t="s">
        <v>950</v>
      </c>
      <c r="E312" s="48"/>
      <c r="F312" s="76" t="s">
        <v>820</v>
      </c>
      <c r="G312" s="121" t="s">
        <v>843</v>
      </c>
      <c r="H312" s="122"/>
      <c r="I312" s="123" t="s">
        <v>888</v>
      </c>
      <c r="J312" s="124">
        <v>2</v>
      </c>
      <c r="K312" s="117">
        <v>1</v>
      </c>
      <c r="L312" s="117">
        <v>1</v>
      </c>
      <c r="M312" s="116">
        <v>13</v>
      </c>
      <c r="N312" s="116">
        <v>15</v>
      </c>
      <c r="O312" s="116">
        <v>0</v>
      </c>
      <c r="P312" s="43">
        <v>0</v>
      </c>
      <c r="Q312" s="116">
        <v>0</v>
      </c>
      <c r="R312" s="116">
        <v>0</v>
      </c>
      <c r="S312" s="116">
        <v>0</v>
      </c>
      <c r="T312" s="116">
        <v>0</v>
      </c>
      <c r="U312" s="116">
        <v>0</v>
      </c>
      <c r="V312" s="116">
        <v>0</v>
      </c>
      <c r="W312" s="116">
        <v>1</v>
      </c>
      <c r="X312" s="116">
        <v>1</v>
      </c>
      <c r="Y312" s="116">
        <v>0</v>
      </c>
      <c r="Z312" s="116">
        <v>11</v>
      </c>
      <c r="AA312" s="116">
        <v>13</v>
      </c>
      <c r="AB312" s="116">
        <v>0</v>
      </c>
      <c r="AC312" s="116">
        <v>0</v>
      </c>
      <c r="AD312" s="116">
        <v>0</v>
      </c>
      <c r="AE312" s="116">
        <v>0</v>
      </c>
      <c r="AF312" s="116">
        <v>0</v>
      </c>
      <c r="AG312" s="116">
        <v>0</v>
      </c>
      <c r="AH312" s="116">
        <v>0</v>
      </c>
      <c r="AI312" s="116">
        <v>1</v>
      </c>
      <c r="AJ312" s="117">
        <v>0</v>
      </c>
      <c r="AK312" s="117">
        <v>6</v>
      </c>
      <c r="AL312" s="117">
        <v>0</v>
      </c>
      <c r="AM312" s="117">
        <v>0</v>
      </c>
      <c r="AN312" s="117">
        <v>27</v>
      </c>
      <c r="AO312" s="117">
        <v>0</v>
      </c>
      <c r="AP312" s="117">
        <v>5</v>
      </c>
      <c r="AQ312" s="117">
        <v>28</v>
      </c>
      <c r="AR312" s="44"/>
      <c r="AS312" s="44"/>
      <c r="AT312" s="46"/>
      <c r="AU312" s="62" t="s">
        <v>930</v>
      </c>
    </row>
    <row r="313" spans="1:47" ht="16.5" customHeight="1">
      <c r="A313" s="76" t="s">
        <v>821</v>
      </c>
      <c r="B313" s="41" t="s">
        <v>882</v>
      </c>
      <c r="C313" s="5" t="s">
        <v>883</v>
      </c>
      <c r="D313" s="77" t="s">
        <v>950</v>
      </c>
      <c r="E313" s="49"/>
      <c r="F313" s="76" t="s">
        <v>822</v>
      </c>
      <c r="G313" s="121" t="s">
        <v>843</v>
      </c>
      <c r="H313" s="122"/>
      <c r="I313" s="123" t="s">
        <v>885</v>
      </c>
      <c r="J313" s="124">
        <v>2</v>
      </c>
      <c r="K313" s="117">
        <v>2</v>
      </c>
      <c r="L313" s="117">
        <v>1</v>
      </c>
      <c r="M313" s="116">
        <v>6</v>
      </c>
      <c r="N313" s="116">
        <v>2</v>
      </c>
      <c r="O313" s="116">
        <v>0</v>
      </c>
      <c r="P313" s="43">
        <v>6</v>
      </c>
      <c r="Q313" s="116">
        <v>5</v>
      </c>
      <c r="R313" s="116">
        <v>1</v>
      </c>
      <c r="S313" s="116">
        <v>0</v>
      </c>
      <c r="T313" s="116">
        <v>1</v>
      </c>
      <c r="U313" s="116">
        <v>0</v>
      </c>
      <c r="V313" s="116">
        <v>0</v>
      </c>
      <c r="W313" s="116">
        <v>0</v>
      </c>
      <c r="X313" s="116">
        <v>0</v>
      </c>
      <c r="Y313" s="116">
        <v>0</v>
      </c>
      <c r="Z313" s="116">
        <v>0</v>
      </c>
      <c r="AA313" s="116">
        <v>0</v>
      </c>
      <c r="AB313" s="116">
        <v>0</v>
      </c>
      <c r="AC313" s="116">
        <v>9</v>
      </c>
      <c r="AD313" s="116">
        <v>2</v>
      </c>
      <c r="AE313" s="116">
        <v>0</v>
      </c>
      <c r="AF313" s="116">
        <v>0</v>
      </c>
      <c r="AG313" s="116">
        <v>0</v>
      </c>
      <c r="AH313" s="116">
        <v>0</v>
      </c>
      <c r="AI313" s="116">
        <v>1</v>
      </c>
      <c r="AJ313" s="117">
        <v>0</v>
      </c>
      <c r="AK313" s="117">
        <v>2</v>
      </c>
      <c r="AL313" s="117">
        <v>0</v>
      </c>
      <c r="AM313" s="117">
        <v>0</v>
      </c>
      <c r="AN313" s="117">
        <v>13</v>
      </c>
      <c r="AO313" s="117">
        <v>0</v>
      </c>
      <c r="AP313" s="117">
        <v>2</v>
      </c>
      <c r="AQ313" s="117">
        <v>13</v>
      </c>
      <c r="AR313" s="44"/>
      <c r="AS313" s="44"/>
      <c r="AT313" s="46"/>
      <c r="AU313" s="62" t="s">
        <v>893</v>
      </c>
    </row>
    <row r="314" spans="1:47" ht="16.5" customHeight="1">
      <c r="A314" s="76" t="s">
        <v>825</v>
      </c>
      <c r="B314" s="41" t="s">
        <v>882</v>
      </c>
      <c r="C314" s="5" t="s">
        <v>883</v>
      </c>
      <c r="D314" s="77" t="s">
        <v>950</v>
      </c>
      <c r="E314" s="47"/>
      <c r="F314" s="76" t="s">
        <v>826</v>
      </c>
      <c r="G314" s="121" t="s">
        <v>843</v>
      </c>
      <c r="H314" s="122" t="s">
        <v>842</v>
      </c>
      <c r="I314" s="123" t="s">
        <v>888</v>
      </c>
      <c r="J314" s="124">
        <v>2</v>
      </c>
      <c r="K314" s="117">
        <v>1</v>
      </c>
      <c r="L314" s="117">
        <v>1</v>
      </c>
      <c r="M314" s="116">
        <v>13</v>
      </c>
      <c r="N314" s="116">
        <v>11</v>
      </c>
      <c r="O314" s="116">
        <v>1</v>
      </c>
      <c r="P314" s="43">
        <v>2</v>
      </c>
      <c r="Q314" s="116">
        <v>1</v>
      </c>
      <c r="R314" s="116">
        <v>1</v>
      </c>
      <c r="S314" s="116">
        <v>0</v>
      </c>
      <c r="T314" s="116">
        <v>1</v>
      </c>
      <c r="U314" s="116">
        <v>2</v>
      </c>
      <c r="V314" s="116">
        <v>0</v>
      </c>
      <c r="W314" s="116">
        <v>2</v>
      </c>
      <c r="X314" s="116">
        <v>4</v>
      </c>
      <c r="Y314" s="116">
        <v>0</v>
      </c>
      <c r="Z314" s="116">
        <v>0</v>
      </c>
      <c r="AA314" s="116">
        <v>0</v>
      </c>
      <c r="AB314" s="116">
        <v>0</v>
      </c>
      <c r="AC314" s="116">
        <v>9</v>
      </c>
      <c r="AD314" s="116">
        <v>6</v>
      </c>
      <c r="AE314" s="116">
        <v>3</v>
      </c>
      <c r="AF314" s="116">
        <v>0</v>
      </c>
      <c r="AG314" s="116">
        <v>0</v>
      </c>
      <c r="AH314" s="116">
        <v>0</v>
      </c>
      <c r="AI314" s="116">
        <v>1</v>
      </c>
      <c r="AJ314" s="117">
        <v>0</v>
      </c>
      <c r="AK314" s="117">
        <v>28</v>
      </c>
      <c r="AL314" s="117">
        <v>0</v>
      </c>
      <c r="AM314" s="117">
        <v>0</v>
      </c>
      <c r="AN314" s="117">
        <v>94</v>
      </c>
      <c r="AO314" s="117">
        <v>0</v>
      </c>
      <c r="AP314" s="117">
        <v>28</v>
      </c>
      <c r="AQ314" s="117">
        <v>95</v>
      </c>
      <c r="AR314" s="44"/>
      <c r="AS314" s="44"/>
      <c r="AT314" s="46"/>
      <c r="AU314" s="62" t="s">
        <v>918</v>
      </c>
    </row>
    <row r="315" spans="1:47" ht="16.5" customHeight="1">
      <c r="A315" s="76" t="s">
        <v>827</v>
      </c>
      <c r="B315" s="41" t="s">
        <v>882</v>
      </c>
      <c r="C315" s="5" t="s">
        <v>883</v>
      </c>
      <c r="D315" s="77" t="s">
        <v>950</v>
      </c>
      <c r="E315" s="48"/>
      <c r="F315" s="76" t="s">
        <v>828</v>
      </c>
      <c r="G315" s="121" t="s">
        <v>843</v>
      </c>
      <c r="H315" s="122" t="s">
        <v>842</v>
      </c>
      <c r="I315" s="123" t="s">
        <v>888</v>
      </c>
      <c r="J315" s="124">
        <v>2</v>
      </c>
      <c r="K315" s="117">
        <v>3</v>
      </c>
      <c r="L315" s="117">
        <v>1</v>
      </c>
      <c r="M315" s="116">
        <v>11</v>
      </c>
      <c r="N315" s="116">
        <v>3</v>
      </c>
      <c r="O315" s="116">
        <v>0</v>
      </c>
      <c r="P315" s="43">
        <v>4</v>
      </c>
      <c r="Q315" s="116">
        <v>4</v>
      </c>
      <c r="R315" s="116">
        <v>0</v>
      </c>
      <c r="S315" s="116">
        <v>0</v>
      </c>
      <c r="T315" s="116">
        <v>0</v>
      </c>
      <c r="U315" s="116">
        <v>0</v>
      </c>
      <c r="V315" s="116">
        <v>0</v>
      </c>
      <c r="W315" s="116">
        <v>0</v>
      </c>
      <c r="X315" s="116">
        <v>1</v>
      </c>
      <c r="Y315" s="116">
        <v>0</v>
      </c>
      <c r="Z315" s="116">
        <v>0</v>
      </c>
      <c r="AA315" s="116">
        <v>0</v>
      </c>
      <c r="AB315" s="116">
        <v>0</v>
      </c>
      <c r="AC315" s="116">
        <v>14</v>
      </c>
      <c r="AD315" s="116">
        <v>2</v>
      </c>
      <c r="AE315" s="116">
        <v>0</v>
      </c>
      <c r="AF315" s="116">
        <v>0</v>
      </c>
      <c r="AG315" s="116">
        <v>0</v>
      </c>
      <c r="AH315" s="116">
        <v>0</v>
      </c>
      <c r="AI315" s="116">
        <v>1</v>
      </c>
      <c r="AJ315" s="117">
        <v>0</v>
      </c>
      <c r="AK315" s="117">
        <v>10</v>
      </c>
      <c r="AL315" s="117">
        <v>0</v>
      </c>
      <c r="AM315" s="117">
        <v>0</v>
      </c>
      <c r="AN315" s="117">
        <v>57</v>
      </c>
      <c r="AO315" s="117">
        <v>0</v>
      </c>
      <c r="AP315" s="117">
        <v>9</v>
      </c>
      <c r="AQ315" s="117">
        <v>52</v>
      </c>
      <c r="AR315" s="44"/>
      <c r="AS315" s="44"/>
      <c r="AT315" s="46"/>
      <c r="AU315" s="62" t="s">
        <v>887</v>
      </c>
    </row>
    <row r="316" spans="1:47" ht="16.5" customHeight="1">
      <c r="A316" s="76" t="s">
        <v>829</v>
      </c>
      <c r="B316" s="41" t="s">
        <v>882</v>
      </c>
      <c r="C316" s="5" t="s">
        <v>883</v>
      </c>
      <c r="D316" s="77" t="s">
        <v>950</v>
      </c>
      <c r="E316" s="48"/>
      <c r="F316" s="76" t="s">
        <v>830</v>
      </c>
      <c r="G316" s="121" t="s">
        <v>843</v>
      </c>
      <c r="H316" s="122" t="s">
        <v>842</v>
      </c>
      <c r="I316" s="123" t="s">
        <v>888</v>
      </c>
      <c r="J316" s="124">
        <v>2</v>
      </c>
      <c r="K316" s="117">
        <v>1</v>
      </c>
      <c r="L316" s="117">
        <v>1</v>
      </c>
      <c r="M316" s="116">
        <v>11</v>
      </c>
      <c r="N316" s="116">
        <v>3</v>
      </c>
      <c r="O316" s="116">
        <v>0</v>
      </c>
      <c r="P316" s="43">
        <v>4</v>
      </c>
      <c r="Q316" s="116">
        <v>4</v>
      </c>
      <c r="R316" s="116">
        <v>0</v>
      </c>
      <c r="S316" s="116">
        <v>0</v>
      </c>
      <c r="T316" s="116">
        <v>1</v>
      </c>
      <c r="U316" s="116">
        <v>0</v>
      </c>
      <c r="V316" s="116">
        <v>0</v>
      </c>
      <c r="W316" s="116">
        <v>1</v>
      </c>
      <c r="X316" s="116">
        <v>0</v>
      </c>
      <c r="Y316" s="116">
        <v>0</v>
      </c>
      <c r="Z316" s="116">
        <v>13</v>
      </c>
      <c r="AA316" s="116">
        <v>3</v>
      </c>
      <c r="AB316" s="116">
        <v>0</v>
      </c>
      <c r="AC316" s="116">
        <v>0</v>
      </c>
      <c r="AD316" s="116">
        <v>0</v>
      </c>
      <c r="AE316" s="116">
        <v>0</v>
      </c>
      <c r="AF316" s="116">
        <v>0</v>
      </c>
      <c r="AG316" s="116">
        <v>0</v>
      </c>
      <c r="AH316" s="116">
        <v>0</v>
      </c>
      <c r="AI316" s="116">
        <v>1</v>
      </c>
      <c r="AJ316" s="117">
        <v>0</v>
      </c>
      <c r="AK316" s="117">
        <v>9</v>
      </c>
      <c r="AL316" s="117">
        <v>0</v>
      </c>
      <c r="AM316" s="117">
        <v>4</v>
      </c>
      <c r="AN316" s="117">
        <v>47</v>
      </c>
      <c r="AO316" s="117">
        <v>0</v>
      </c>
      <c r="AP316" s="117">
        <v>6</v>
      </c>
      <c r="AQ316" s="117">
        <v>51</v>
      </c>
      <c r="AR316" s="44"/>
      <c r="AS316" s="44"/>
      <c r="AT316" s="46"/>
      <c r="AU316" s="62" t="s">
        <v>894</v>
      </c>
    </row>
    <row r="317" spans="1:47" ht="16.5" customHeight="1">
      <c r="A317" s="76" t="s">
        <v>75</v>
      </c>
      <c r="B317" s="41" t="s">
        <v>882</v>
      </c>
      <c r="C317" s="5" t="s">
        <v>883</v>
      </c>
      <c r="D317" s="77" t="s">
        <v>950</v>
      </c>
      <c r="E317" s="49"/>
      <c r="F317" s="76" t="s">
        <v>76</v>
      </c>
      <c r="G317" s="121" t="s">
        <v>843</v>
      </c>
      <c r="H317" s="122" t="s">
        <v>842</v>
      </c>
      <c r="I317" s="123" t="s">
        <v>888</v>
      </c>
      <c r="J317" s="124">
        <v>2</v>
      </c>
      <c r="K317" s="117">
        <v>1</v>
      </c>
      <c r="L317" s="117">
        <v>1</v>
      </c>
      <c r="M317" s="116">
        <v>16</v>
      </c>
      <c r="N317" s="116">
        <v>9</v>
      </c>
      <c r="O317" s="116">
        <v>0</v>
      </c>
      <c r="P317" s="43">
        <v>0</v>
      </c>
      <c r="Q317" s="116">
        <v>0</v>
      </c>
      <c r="R317" s="116">
        <v>0</v>
      </c>
      <c r="S317" s="116">
        <v>0</v>
      </c>
      <c r="T317" s="116">
        <v>1</v>
      </c>
      <c r="U317" s="116">
        <v>0</v>
      </c>
      <c r="V317" s="116">
        <v>0</v>
      </c>
      <c r="W317" s="116">
        <v>1</v>
      </c>
      <c r="X317" s="116">
        <v>2</v>
      </c>
      <c r="Y317" s="116">
        <v>0</v>
      </c>
      <c r="Z317" s="116">
        <v>0</v>
      </c>
      <c r="AA317" s="116">
        <v>0</v>
      </c>
      <c r="AB317" s="116">
        <v>0</v>
      </c>
      <c r="AC317" s="116">
        <v>13</v>
      </c>
      <c r="AD317" s="116">
        <v>6</v>
      </c>
      <c r="AE317" s="116">
        <v>0</v>
      </c>
      <c r="AF317" s="116">
        <v>0</v>
      </c>
      <c r="AG317" s="116">
        <v>0</v>
      </c>
      <c r="AH317" s="116">
        <v>0</v>
      </c>
      <c r="AI317" s="116">
        <v>1</v>
      </c>
      <c r="AJ317" s="117">
        <v>0</v>
      </c>
      <c r="AK317" s="117">
        <v>12</v>
      </c>
      <c r="AL317" s="117">
        <v>0</v>
      </c>
      <c r="AM317" s="117">
        <v>0</v>
      </c>
      <c r="AN317" s="117">
        <v>60</v>
      </c>
      <c r="AO317" s="117">
        <v>0</v>
      </c>
      <c r="AP317" s="117">
        <v>12</v>
      </c>
      <c r="AQ317" s="117">
        <v>60</v>
      </c>
      <c r="AR317" s="44"/>
      <c r="AS317" s="44"/>
      <c r="AT317" s="46"/>
      <c r="AU317" s="62" t="s">
        <v>887</v>
      </c>
    </row>
    <row r="318" spans="1:47" ht="16.5" customHeight="1">
      <c r="A318" s="78" t="s">
        <v>833</v>
      </c>
      <c r="B318" s="41" t="s">
        <v>882</v>
      </c>
      <c r="C318" s="5" t="s">
        <v>883</v>
      </c>
      <c r="D318" s="79" t="s">
        <v>950</v>
      </c>
      <c r="E318" s="49"/>
      <c r="F318" s="78" t="s">
        <v>834</v>
      </c>
      <c r="G318" s="128" t="s">
        <v>843</v>
      </c>
      <c r="H318" s="129"/>
      <c r="I318" s="123" t="s">
        <v>888</v>
      </c>
      <c r="J318" s="124">
        <v>2</v>
      </c>
      <c r="K318" s="117">
        <v>0</v>
      </c>
      <c r="L318" s="117">
        <v>0</v>
      </c>
      <c r="M318" s="116">
        <v>10</v>
      </c>
      <c r="N318" s="116">
        <v>3</v>
      </c>
      <c r="O318" s="116">
        <v>1</v>
      </c>
      <c r="P318" s="43">
        <v>3</v>
      </c>
      <c r="Q318" s="116">
        <v>2</v>
      </c>
      <c r="R318" s="116">
        <v>1</v>
      </c>
      <c r="S318" s="116">
        <v>0</v>
      </c>
      <c r="T318" s="116">
        <v>0</v>
      </c>
      <c r="U318" s="116">
        <v>0</v>
      </c>
      <c r="V318" s="116">
        <v>0</v>
      </c>
      <c r="W318" s="116">
        <v>0</v>
      </c>
      <c r="X318" s="116">
        <v>0</v>
      </c>
      <c r="Y318" s="116">
        <v>0</v>
      </c>
      <c r="Z318" s="116">
        <v>8</v>
      </c>
      <c r="AA318" s="116">
        <v>3</v>
      </c>
      <c r="AB318" s="116">
        <v>6</v>
      </c>
      <c r="AC318" s="116">
        <v>0</v>
      </c>
      <c r="AD318" s="116">
        <v>0</v>
      </c>
      <c r="AE318" s="116">
        <v>0</v>
      </c>
      <c r="AF318" s="116">
        <v>0</v>
      </c>
      <c r="AG318" s="116">
        <v>0</v>
      </c>
      <c r="AH318" s="116">
        <v>0</v>
      </c>
      <c r="AI318" s="116">
        <v>1</v>
      </c>
      <c r="AJ318" s="117">
        <v>0</v>
      </c>
      <c r="AK318" s="117">
        <v>5</v>
      </c>
      <c r="AL318" s="117">
        <v>0</v>
      </c>
      <c r="AM318" s="117">
        <v>0</v>
      </c>
      <c r="AN318" s="117">
        <v>27</v>
      </c>
      <c r="AO318" s="117">
        <v>0</v>
      </c>
      <c r="AP318" s="117">
        <v>4</v>
      </c>
      <c r="AQ318" s="117">
        <v>28</v>
      </c>
      <c r="AR318" s="44"/>
      <c r="AS318" s="44"/>
      <c r="AT318" s="46"/>
      <c r="AU318" s="62" t="s">
        <v>887</v>
      </c>
    </row>
    <row r="319" spans="1:47" ht="16.5" customHeight="1">
      <c r="A319" s="80" t="s">
        <v>578</v>
      </c>
      <c r="B319" s="41" t="s">
        <v>882</v>
      </c>
      <c r="C319" s="5" t="s">
        <v>883</v>
      </c>
      <c r="D319" s="81" t="s">
        <v>923</v>
      </c>
      <c r="E319" s="48"/>
      <c r="F319" s="82" t="s">
        <v>579</v>
      </c>
      <c r="G319" s="133"/>
      <c r="H319" s="134"/>
      <c r="I319" s="123" t="s">
        <v>888</v>
      </c>
      <c r="J319" s="124">
        <v>2</v>
      </c>
      <c r="K319" s="117">
        <v>9</v>
      </c>
      <c r="L319" s="117">
        <v>5</v>
      </c>
      <c r="M319" s="116">
        <v>13</v>
      </c>
      <c r="N319" s="116">
        <v>7</v>
      </c>
      <c r="O319" s="116">
        <v>0</v>
      </c>
      <c r="P319" s="43">
        <v>0</v>
      </c>
      <c r="Q319" s="116">
        <v>0</v>
      </c>
      <c r="R319" s="116">
        <v>0</v>
      </c>
      <c r="S319" s="116">
        <v>0</v>
      </c>
      <c r="T319" s="116">
        <v>1</v>
      </c>
      <c r="U319" s="116">
        <v>1</v>
      </c>
      <c r="V319" s="116">
        <v>0</v>
      </c>
      <c r="W319" s="116">
        <v>8</v>
      </c>
      <c r="X319" s="116">
        <v>4</v>
      </c>
      <c r="Y319" s="116">
        <v>0</v>
      </c>
      <c r="Z319" s="116">
        <v>3</v>
      </c>
      <c r="AA319" s="116">
        <v>1</v>
      </c>
      <c r="AB319" s="116">
        <v>0</v>
      </c>
      <c r="AC319" s="116">
        <v>0</v>
      </c>
      <c r="AD319" s="116">
        <v>0</v>
      </c>
      <c r="AE319" s="116">
        <v>0</v>
      </c>
      <c r="AF319" s="116">
        <v>0</v>
      </c>
      <c r="AG319" s="116">
        <v>0</v>
      </c>
      <c r="AH319" s="116">
        <v>0</v>
      </c>
      <c r="AI319" s="116">
        <v>1</v>
      </c>
      <c r="AJ319" s="117">
        <v>0</v>
      </c>
      <c r="AK319" s="117">
        <v>6</v>
      </c>
      <c r="AL319" s="117">
        <v>0</v>
      </c>
      <c r="AM319" s="117">
        <v>0</v>
      </c>
      <c r="AN319" s="117">
        <v>33</v>
      </c>
      <c r="AO319" s="117">
        <v>0</v>
      </c>
      <c r="AP319" s="117">
        <v>3</v>
      </c>
      <c r="AQ319" s="117">
        <v>33</v>
      </c>
      <c r="AR319" s="44"/>
      <c r="AS319" s="44"/>
      <c r="AT319" s="46"/>
      <c r="AU319" s="62" t="s">
        <v>889</v>
      </c>
    </row>
  </sheetData>
  <autoFilter ref="C4:AS319" xr:uid="{00000000-0009-0000-0000-000002000000}"/>
  <mergeCells count="8">
    <mergeCell ref="K3:L3"/>
    <mergeCell ref="Q3:S3"/>
    <mergeCell ref="W3:Y3"/>
    <mergeCell ref="M3:O3"/>
    <mergeCell ref="AC3:AE3"/>
    <mergeCell ref="T3:V3"/>
    <mergeCell ref="AF3:AH3"/>
    <mergeCell ref="Z3:AB3"/>
  </mergeCells>
  <phoneticPr fontId="3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AQ329"/>
  <sheetViews>
    <sheetView zoomScale="106" zoomScaleNormal="106" workbookViewId="0">
      <pane ySplit="2" topLeftCell="A3" activePane="bottomLeft" state="frozen"/>
      <selection pane="bottomLeft" activeCell="K13" sqref="K13"/>
    </sheetView>
  </sheetViews>
  <sheetFormatPr defaultColWidth="12.625" defaultRowHeight="15" customHeight="1"/>
  <cols>
    <col min="1" max="1" width="5.25" style="136" customWidth="1"/>
    <col min="2" max="2" width="13.5" style="135" customWidth="1"/>
    <col min="3" max="3" width="7.375" style="135" customWidth="1"/>
    <col min="4" max="4" width="6.25" style="135" customWidth="1"/>
    <col min="5" max="5" width="6.125" style="135" customWidth="1"/>
    <col min="6" max="6" width="8" style="135" bestFit="1" customWidth="1"/>
    <col min="7" max="7" width="34.625" style="135" bestFit="1" customWidth="1"/>
    <col min="8" max="8" width="7.5" style="135" customWidth="1"/>
    <col min="9" max="9" width="9" style="135" customWidth="1"/>
    <col min="10" max="10" width="9" style="136" customWidth="1"/>
    <col min="11" max="13" width="5.875" customWidth="1"/>
    <col min="14" max="16" width="6.625" customWidth="1"/>
    <col min="17" max="17" width="8.75" bestFit="1" customWidth="1"/>
    <col min="18" max="25" width="5.875" customWidth="1"/>
    <col min="26" max="34" width="6.625" customWidth="1"/>
    <col min="35" max="36" width="5.875" customWidth="1"/>
    <col min="37" max="37" width="6.625" customWidth="1"/>
    <col min="38" max="38" width="5.875" customWidth="1"/>
    <col min="39" max="39" width="11.125" bestFit="1" customWidth="1"/>
    <col min="40" max="40" width="8.75" bestFit="1" customWidth="1"/>
    <col min="41" max="41" width="5.875" customWidth="1"/>
    <col min="42" max="42" width="11.125" bestFit="1" customWidth="1"/>
    <col min="43" max="43" width="10.375" bestFit="1" customWidth="1"/>
    <col min="44" max="44" width="12.625" style="135" customWidth="1"/>
    <col min="45" max="16384" width="12.625" style="135"/>
  </cols>
  <sheetData>
    <row r="1" spans="1:43" s="95" customFormat="1" ht="48.75" customHeight="1" thickBot="1">
      <c r="A1" s="83"/>
      <c r="B1" s="84"/>
      <c r="C1" s="85"/>
      <c r="D1" s="86"/>
      <c r="E1" s="87"/>
      <c r="F1" s="88"/>
      <c r="G1" s="89"/>
      <c r="H1" s="90"/>
      <c r="I1" s="90"/>
      <c r="J1" s="91"/>
      <c r="K1" s="92" t="s">
        <v>849</v>
      </c>
      <c r="L1" s="150" t="s">
        <v>850</v>
      </c>
      <c r="M1" s="152"/>
      <c r="N1" s="150" t="s">
        <v>851</v>
      </c>
      <c r="O1" s="151"/>
      <c r="P1" s="152"/>
      <c r="Q1" s="150" t="s">
        <v>852</v>
      </c>
      <c r="R1" s="151"/>
      <c r="S1" s="152"/>
      <c r="T1" s="150" t="s">
        <v>853</v>
      </c>
      <c r="U1" s="151"/>
      <c r="V1" s="152"/>
      <c r="W1" s="150" t="s">
        <v>854</v>
      </c>
      <c r="X1" s="151"/>
      <c r="Y1" s="152"/>
      <c r="Z1" s="150" t="s">
        <v>855</v>
      </c>
      <c r="AA1" s="151"/>
      <c r="AB1" s="152"/>
      <c r="AC1" s="150" t="s">
        <v>856</v>
      </c>
      <c r="AD1" s="151"/>
      <c r="AE1" s="152"/>
      <c r="AF1" s="150" t="s">
        <v>857</v>
      </c>
      <c r="AG1" s="151"/>
      <c r="AH1" s="152"/>
      <c r="AI1" s="93" t="s">
        <v>952</v>
      </c>
      <c r="AJ1" s="93" t="s">
        <v>953</v>
      </c>
      <c r="AK1" s="93" t="s">
        <v>954</v>
      </c>
      <c r="AL1" s="93" t="s">
        <v>861</v>
      </c>
      <c r="AM1" s="93" t="s">
        <v>955</v>
      </c>
      <c r="AN1" s="93" t="s">
        <v>956</v>
      </c>
      <c r="AO1" s="93" t="s">
        <v>864</v>
      </c>
      <c r="AP1" s="93" t="s">
        <v>865</v>
      </c>
      <c r="AQ1" s="94" t="s">
        <v>957</v>
      </c>
    </row>
    <row r="2" spans="1:43" s="110" customFormat="1" ht="39.75" customHeight="1" thickBot="1">
      <c r="A2" s="96" t="s">
        <v>958</v>
      </c>
      <c r="B2" s="97" t="s">
        <v>0</v>
      </c>
      <c r="C2" s="98" t="s">
        <v>959</v>
      </c>
      <c r="D2" s="99" t="s">
        <v>870</v>
      </c>
      <c r="E2" s="99" t="s">
        <v>871</v>
      </c>
      <c r="F2" s="100" t="s">
        <v>872</v>
      </c>
      <c r="G2" s="101" t="s">
        <v>1</v>
      </c>
      <c r="H2" s="102" t="s">
        <v>873</v>
      </c>
      <c r="I2" s="103" t="s">
        <v>874</v>
      </c>
      <c r="J2" s="104" t="s">
        <v>875</v>
      </c>
      <c r="K2" s="105" t="s">
        <v>876</v>
      </c>
      <c r="L2" s="106" t="s">
        <v>877</v>
      </c>
      <c r="M2" s="107" t="s">
        <v>878</v>
      </c>
      <c r="N2" s="106" t="s">
        <v>877</v>
      </c>
      <c r="O2" s="107" t="s">
        <v>878</v>
      </c>
      <c r="P2" s="108" t="s">
        <v>879</v>
      </c>
      <c r="Q2" s="106" t="s">
        <v>877</v>
      </c>
      <c r="R2" s="107" t="s">
        <v>878</v>
      </c>
      <c r="S2" s="108" t="s">
        <v>879</v>
      </c>
      <c r="T2" s="106" t="s">
        <v>877</v>
      </c>
      <c r="U2" s="107" t="s">
        <v>878</v>
      </c>
      <c r="V2" s="108" t="s">
        <v>879</v>
      </c>
      <c r="W2" s="106" t="s">
        <v>877</v>
      </c>
      <c r="X2" s="107" t="s">
        <v>878</v>
      </c>
      <c r="Y2" s="108" t="s">
        <v>879</v>
      </c>
      <c r="Z2" s="106" t="s">
        <v>877</v>
      </c>
      <c r="AA2" s="107" t="s">
        <v>878</v>
      </c>
      <c r="AB2" s="108" t="s">
        <v>879</v>
      </c>
      <c r="AC2" s="106" t="s">
        <v>877</v>
      </c>
      <c r="AD2" s="107" t="s">
        <v>878</v>
      </c>
      <c r="AE2" s="108" t="s">
        <v>879</v>
      </c>
      <c r="AF2" s="106" t="s">
        <v>877</v>
      </c>
      <c r="AG2" s="107" t="s">
        <v>878</v>
      </c>
      <c r="AH2" s="108" t="s">
        <v>879</v>
      </c>
      <c r="AI2" s="109" t="s">
        <v>880</v>
      </c>
      <c r="AJ2" s="109" t="s">
        <v>880</v>
      </c>
      <c r="AK2" s="109" t="s">
        <v>880</v>
      </c>
      <c r="AL2" s="109" t="s">
        <v>880</v>
      </c>
      <c r="AM2" s="109" t="s">
        <v>880</v>
      </c>
      <c r="AN2" s="109" t="s">
        <v>880</v>
      </c>
      <c r="AO2" s="109" t="s">
        <v>880</v>
      </c>
      <c r="AP2" s="109" t="s">
        <v>880</v>
      </c>
      <c r="AQ2" s="109" t="s">
        <v>880</v>
      </c>
    </row>
    <row r="3" spans="1:43" s="118" customFormat="1" ht="13.5" customHeight="1" thickTop="1">
      <c r="A3" s="111">
        <v>1</v>
      </c>
      <c r="B3" s="74" t="s">
        <v>280</v>
      </c>
      <c r="C3" s="75" t="s">
        <v>882</v>
      </c>
      <c r="D3" s="75" t="s">
        <v>883</v>
      </c>
      <c r="E3" s="75" t="s">
        <v>884</v>
      </c>
      <c r="F3" s="112" t="s">
        <v>960</v>
      </c>
      <c r="G3" s="74" t="s">
        <v>281</v>
      </c>
      <c r="H3" s="113" t="s">
        <v>843</v>
      </c>
      <c r="I3" s="114"/>
      <c r="J3" s="115" t="s">
        <v>885</v>
      </c>
      <c r="K3" s="116">
        <v>2</v>
      </c>
      <c r="L3" s="117">
        <v>0</v>
      </c>
      <c r="M3" s="117">
        <v>0</v>
      </c>
      <c r="N3" s="116">
        <v>10</v>
      </c>
      <c r="O3" s="116">
        <v>3</v>
      </c>
      <c r="P3" s="116">
        <v>1</v>
      </c>
      <c r="Q3" s="116">
        <v>0</v>
      </c>
      <c r="R3" s="116">
        <v>0</v>
      </c>
      <c r="S3" s="116">
        <v>0</v>
      </c>
      <c r="T3" s="116">
        <v>2</v>
      </c>
      <c r="U3" s="116">
        <v>1</v>
      </c>
      <c r="V3" s="116">
        <v>0</v>
      </c>
      <c r="W3" s="116">
        <v>0</v>
      </c>
      <c r="X3" s="116">
        <v>0</v>
      </c>
      <c r="Y3" s="116">
        <v>0</v>
      </c>
      <c r="Z3" s="116">
        <v>4</v>
      </c>
      <c r="AA3" s="116">
        <v>1</v>
      </c>
      <c r="AB3" s="116">
        <v>5</v>
      </c>
      <c r="AC3" s="116">
        <v>0</v>
      </c>
      <c r="AD3" s="116">
        <v>0</v>
      </c>
      <c r="AE3" s="116">
        <v>0</v>
      </c>
      <c r="AF3" s="116">
        <v>0</v>
      </c>
      <c r="AG3" s="116">
        <v>0</v>
      </c>
      <c r="AH3" s="116">
        <v>0</v>
      </c>
      <c r="AI3" s="116">
        <v>1</v>
      </c>
      <c r="AJ3" s="117">
        <v>0</v>
      </c>
      <c r="AK3" s="117">
        <v>6</v>
      </c>
      <c r="AL3" s="117">
        <v>1</v>
      </c>
      <c r="AM3" s="117">
        <v>0</v>
      </c>
      <c r="AN3" s="117">
        <v>23</v>
      </c>
      <c r="AO3" s="117">
        <v>2</v>
      </c>
      <c r="AP3" s="117">
        <v>5</v>
      </c>
      <c r="AQ3" s="117">
        <v>24</v>
      </c>
    </row>
    <row r="4" spans="1:43" s="118" customFormat="1" ht="13.5" customHeight="1">
      <c r="A4" s="119">
        <v>2</v>
      </c>
      <c r="B4" s="76" t="s">
        <v>631</v>
      </c>
      <c r="C4" s="75" t="s">
        <v>882</v>
      </c>
      <c r="D4" s="77" t="s">
        <v>883</v>
      </c>
      <c r="E4" s="77" t="s">
        <v>884</v>
      </c>
      <c r="F4" s="120" t="s">
        <v>961</v>
      </c>
      <c r="G4" s="76" t="s">
        <v>632</v>
      </c>
      <c r="H4" s="121" t="s">
        <v>843</v>
      </c>
      <c r="I4" s="122"/>
      <c r="J4" s="123" t="s">
        <v>885</v>
      </c>
      <c r="K4" s="124">
        <v>2</v>
      </c>
      <c r="L4" s="117">
        <v>1</v>
      </c>
      <c r="M4" s="117">
        <v>1</v>
      </c>
      <c r="N4" s="116">
        <v>15</v>
      </c>
      <c r="O4" s="116">
        <v>1</v>
      </c>
      <c r="P4" s="116">
        <v>0</v>
      </c>
      <c r="Q4" s="116">
        <v>1</v>
      </c>
      <c r="R4" s="116">
        <v>2</v>
      </c>
      <c r="S4" s="116">
        <v>0</v>
      </c>
      <c r="T4" s="116">
        <v>0</v>
      </c>
      <c r="U4" s="116">
        <v>0</v>
      </c>
      <c r="V4" s="116">
        <v>0</v>
      </c>
      <c r="W4" s="116">
        <v>0</v>
      </c>
      <c r="X4" s="116">
        <v>0</v>
      </c>
      <c r="Y4" s="116">
        <v>0</v>
      </c>
      <c r="Z4" s="116">
        <v>0</v>
      </c>
      <c r="AA4" s="116">
        <v>0</v>
      </c>
      <c r="AB4" s="116">
        <v>0</v>
      </c>
      <c r="AC4" s="116">
        <v>0</v>
      </c>
      <c r="AD4" s="116">
        <v>0</v>
      </c>
      <c r="AE4" s="116">
        <v>0</v>
      </c>
      <c r="AF4" s="116">
        <v>15</v>
      </c>
      <c r="AG4" s="116">
        <v>2</v>
      </c>
      <c r="AH4" s="116">
        <v>0</v>
      </c>
      <c r="AI4" s="116">
        <v>1</v>
      </c>
      <c r="AJ4" s="117">
        <v>1</v>
      </c>
      <c r="AK4" s="117">
        <v>4</v>
      </c>
      <c r="AL4" s="117">
        <v>0</v>
      </c>
      <c r="AM4" s="117">
        <v>18</v>
      </c>
      <c r="AN4" s="117">
        <v>32</v>
      </c>
      <c r="AO4" s="117">
        <v>0</v>
      </c>
      <c r="AP4" s="117">
        <v>4</v>
      </c>
      <c r="AQ4" s="117">
        <v>51</v>
      </c>
    </row>
    <row r="5" spans="1:43" s="118" customFormat="1" ht="13.5" customHeight="1">
      <c r="A5" s="119">
        <v>3</v>
      </c>
      <c r="B5" s="76" t="s">
        <v>151</v>
      </c>
      <c r="C5" s="75" t="s">
        <v>882</v>
      </c>
      <c r="D5" s="77" t="s">
        <v>883</v>
      </c>
      <c r="E5" s="77" t="s">
        <v>884</v>
      </c>
      <c r="F5" s="120" t="s">
        <v>960</v>
      </c>
      <c r="G5" s="76" t="s">
        <v>152</v>
      </c>
      <c r="H5" s="121" t="s">
        <v>843</v>
      </c>
      <c r="I5" s="122"/>
      <c r="J5" s="123" t="s">
        <v>888</v>
      </c>
      <c r="K5" s="124">
        <v>2</v>
      </c>
      <c r="L5" s="117">
        <v>1</v>
      </c>
      <c r="M5" s="117">
        <v>2</v>
      </c>
      <c r="N5" s="116">
        <v>21</v>
      </c>
      <c r="O5" s="116">
        <v>5</v>
      </c>
      <c r="P5" s="116">
        <v>0</v>
      </c>
      <c r="Q5" s="116">
        <v>1</v>
      </c>
      <c r="R5" s="116">
        <v>1</v>
      </c>
      <c r="S5" s="116">
        <v>0</v>
      </c>
      <c r="T5" s="116">
        <v>2</v>
      </c>
      <c r="U5" s="116">
        <v>1</v>
      </c>
      <c r="V5" s="116">
        <v>0</v>
      </c>
      <c r="W5" s="116">
        <v>0</v>
      </c>
      <c r="X5" s="116">
        <v>0</v>
      </c>
      <c r="Y5" s="116">
        <v>0</v>
      </c>
      <c r="Z5" s="116">
        <v>20</v>
      </c>
      <c r="AA5" s="116">
        <v>4</v>
      </c>
      <c r="AB5" s="116">
        <v>0</v>
      </c>
      <c r="AC5" s="116">
        <v>0</v>
      </c>
      <c r="AD5" s="116">
        <v>0</v>
      </c>
      <c r="AE5" s="116">
        <v>0</v>
      </c>
      <c r="AF5" s="116">
        <v>0</v>
      </c>
      <c r="AG5" s="116">
        <v>0</v>
      </c>
      <c r="AH5" s="116">
        <v>0</v>
      </c>
      <c r="AI5" s="116">
        <v>1</v>
      </c>
      <c r="AJ5" s="117">
        <v>0</v>
      </c>
      <c r="AK5" s="117">
        <v>7</v>
      </c>
      <c r="AL5" s="117">
        <v>0</v>
      </c>
      <c r="AM5" s="117">
        <v>1</v>
      </c>
      <c r="AN5" s="117">
        <v>32</v>
      </c>
      <c r="AO5" s="117">
        <v>1</v>
      </c>
      <c r="AP5" s="117">
        <v>3</v>
      </c>
      <c r="AQ5" s="117">
        <v>33</v>
      </c>
    </row>
    <row r="6" spans="1:43" s="118" customFormat="1" ht="13.5" customHeight="1">
      <c r="A6" s="119">
        <v>4</v>
      </c>
      <c r="B6" s="76" t="s">
        <v>633</v>
      </c>
      <c r="C6" s="75" t="s">
        <v>882</v>
      </c>
      <c r="D6" s="77" t="s">
        <v>883</v>
      </c>
      <c r="E6" s="77" t="s">
        <v>884</v>
      </c>
      <c r="F6" s="120" t="s">
        <v>960</v>
      </c>
      <c r="G6" s="76" t="s">
        <v>634</v>
      </c>
      <c r="H6" s="121" t="s">
        <v>843</v>
      </c>
      <c r="I6" s="122"/>
      <c r="J6" s="123" t="s">
        <v>888</v>
      </c>
      <c r="K6" s="124">
        <v>2</v>
      </c>
      <c r="L6" s="117">
        <v>1</v>
      </c>
      <c r="M6" s="117">
        <v>1</v>
      </c>
      <c r="N6" s="116">
        <v>11</v>
      </c>
      <c r="O6" s="116">
        <v>2</v>
      </c>
      <c r="P6" s="116">
        <v>0</v>
      </c>
      <c r="Q6" s="116">
        <v>3</v>
      </c>
      <c r="R6" s="116">
        <v>1</v>
      </c>
      <c r="S6" s="116">
        <v>0</v>
      </c>
      <c r="T6" s="116">
        <v>0</v>
      </c>
      <c r="U6" s="116">
        <v>0</v>
      </c>
      <c r="V6" s="116">
        <v>0</v>
      </c>
      <c r="W6" s="116">
        <v>0</v>
      </c>
      <c r="X6" s="116">
        <v>0</v>
      </c>
      <c r="Y6" s="116">
        <v>0</v>
      </c>
      <c r="Z6" s="116">
        <v>0</v>
      </c>
      <c r="AA6" s="116">
        <v>0</v>
      </c>
      <c r="AB6" s="116">
        <v>0</v>
      </c>
      <c r="AC6" s="116">
        <v>13</v>
      </c>
      <c r="AD6" s="116">
        <v>2</v>
      </c>
      <c r="AE6" s="116">
        <v>0</v>
      </c>
      <c r="AF6" s="116">
        <v>0</v>
      </c>
      <c r="AG6" s="116">
        <v>0</v>
      </c>
      <c r="AH6" s="116">
        <v>0</v>
      </c>
      <c r="AI6" s="116">
        <v>1</v>
      </c>
      <c r="AJ6" s="117">
        <v>0</v>
      </c>
      <c r="AK6" s="117">
        <v>5</v>
      </c>
      <c r="AL6" s="117">
        <v>0</v>
      </c>
      <c r="AM6" s="117">
        <v>0</v>
      </c>
      <c r="AN6" s="117">
        <v>24</v>
      </c>
      <c r="AO6" s="117">
        <v>0</v>
      </c>
      <c r="AP6" s="117">
        <v>4</v>
      </c>
      <c r="AQ6" s="117">
        <v>25</v>
      </c>
    </row>
    <row r="7" spans="1:43" s="118" customFormat="1" ht="13.5" customHeight="1">
      <c r="A7" s="119">
        <v>5</v>
      </c>
      <c r="B7" s="76" t="s">
        <v>635</v>
      </c>
      <c r="C7" s="75" t="s">
        <v>882</v>
      </c>
      <c r="D7" s="77" t="s">
        <v>883</v>
      </c>
      <c r="E7" s="77" t="s">
        <v>884</v>
      </c>
      <c r="F7" s="120" t="s">
        <v>961</v>
      </c>
      <c r="G7" s="76" t="s">
        <v>636</v>
      </c>
      <c r="H7" s="121" t="s">
        <v>843</v>
      </c>
      <c r="I7" s="122"/>
      <c r="J7" s="123" t="s">
        <v>885</v>
      </c>
      <c r="K7" s="124">
        <v>2</v>
      </c>
      <c r="L7" s="117">
        <v>3</v>
      </c>
      <c r="M7" s="117">
        <v>1</v>
      </c>
      <c r="N7" s="116">
        <v>6</v>
      </c>
      <c r="O7" s="116">
        <v>2</v>
      </c>
      <c r="P7" s="116">
        <v>0</v>
      </c>
      <c r="Q7" s="116">
        <v>4</v>
      </c>
      <c r="R7" s="116">
        <v>2</v>
      </c>
      <c r="S7" s="116">
        <v>0</v>
      </c>
      <c r="T7" s="116">
        <v>0</v>
      </c>
      <c r="U7" s="116">
        <v>0</v>
      </c>
      <c r="V7" s="116">
        <v>0</v>
      </c>
      <c r="W7" s="116">
        <v>1</v>
      </c>
      <c r="X7" s="116">
        <v>1</v>
      </c>
      <c r="Y7" s="116">
        <v>0</v>
      </c>
      <c r="Z7" s="116">
        <v>8</v>
      </c>
      <c r="AA7" s="116">
        <v>2</v>
      </c>
      <c r="AB7" s="116">
        <v>0</v>
      </c>
      <c r="AC7" s="116">
        <v>0</v>
      </c>
      <c r="AD7" s="116">
        <v>0</v>
      </c>
      <c r="AE7" s="116">
        <v>0</v>
      </c>
      <c r="AF7" s="116">
        <v>0</v>
      </c>
      <c r="AG7" s="116">
        <v>0</v>
      </c>
      <c r="AH7" s="116">
        <v>0</v>
      </c>
      <c r="AI7" s="116">
        <v>1</v>
      </c>
      <c r="AJ7" s="117">
        <v>1</v>
      </c>
      <c r="AK7" s="117">
        <v>3</v>
      </c>
      <c r="AL7" s="117">
        <v>0</v>
      </c>
      <c r="AM7" s="117">
        <v>14</v>
      </c>
      <c r="AN7" s="117">
        <v>11</v>
      </c>
      <c r="AO7" s="117">
        <v>0</v>
      </c>
      <c r="AP7" s="117">
        <v>2</v>
      </c>
      <c r="AQ7" s="117">
        <v>27</v>
      </c>
    </row>
    <row r="8" spans="1:43" s="118" customFormat="1" ht="13.5" customHeight="1">
      <c r="A8" s="119">
        <v>6</v>
      </c>
      <c r="B8" s="76" t="s">
        <v>208</v>
      </c>
      <c r="C8" s="75" t="s">
        <v>882</v>
      </c>
      <c r="D8" s="77" t="s">
        <v>883</v>
      </c>
      <c r="E8" s="77" t="s">
        <v>884</v>
      </c>
      <c r="F8" s="120" t="s">
        <v>961</v>
      </c>
      <c r="G8" s="76" t="s">
        <v>209</v>
      </c>
      <c r="H8" s="121" t="s">
        <v>843</v>
      </c>
      <c r="I8" s="122"/>
      <c r="J8" s="123" t="s">
        <v>888</v>
      </c>
      <c r="K8" s="124">
        <v>2</v>
      </c>
      <c r="L8" s="117">
        <v>3</v>
      </c>
      <c r="M8" s="117">
        <v>1</v>
      </c>
      <c r="N8" s="116">
        <v>7</v>
      </c>
      <c r="O8" s="116">
        <v>4</v>
      </c>
      <c r="P8" s="116">
        <v>0</v>
      </c>
      <c r="Q8" s="116">
        <v>8</v>
      </c>
      <c r="R8" s="116">
        <v>0</v>
      </c>
      <c r="S8" s="116">
        <v>0</v>
      </c>
      <c r="T8" s="116">
        <v>1</v>
      </c>
      <c r="U8" s="116">
        <v>1</v>
      </c>
      <c r="V8" s="116">
        <v>0</v>
      </c>
      <c r="W8" s="116">
        <v>0</v>
      </c>
      <c r="X8" s="116">
        <v>0</v>
      </c>
      <c r="Y8" s="116">
        <v>0</v>
      </c>
      <c r="Z8" s="116">
        <v>0</v>
      </c>
      <c r="AA8" s="116">
        <v>0</v>
      </c>
      <c r="AB8" s="116">
        <v>0</v>
      </c>
      <c r="AC8" s="116">
        <v>13</v>
      </c>
      <c r="AD8" s="116">
        <v>2</v>
      </c>
      <c r="AE8" s="116">
        <v>0</v>
      </c>
      <c r="AF8" s="116">
        <v>0</v>
      </c>
      <c r="AG8" s="116">
        <v>0</v>
      </c>
      <c r="AH8" s="116">
        <v>0</v>
      </c>
      <c r="AI8" s="116">
        <v>1</v>
      </c>
      <c r="AJ8" s="117">
        <v>1</v>
      </c>
      <c r="AK8" s="117">
        <v>3</v>
      </c>
      <c r="AL8" s="117">
        <v>0</v>
      </c>
      <c r="AM8" s="117">
        <v>11</v>
      </c>
      <c r="AN8" s="117">
        <v>8</v>
      </c>
      <c r="AO8" s="117">
        <v>1</v>
      </c>
      <c r="AP8" s="117">
        <v>2</v>
      </c>
      <c r="AQ8" s="117">
        <v>20</v>
      </c>
    </row>
    <row r="9" spans="1:43" s="118" customFormat="1" ht="13.5" customHeight="1">
      <c r="A9" s="119">
        <v>7</v>
      </c>
      <c r="B9" s="76" t="s">
        <v>214</v>
      </c>
      <c r="C9" s="75" t="s">
        <v>882</v>
      </c>
      <c r="D9" s="77" t="s">
        <v>883</v>
      </c>
      <c r="E9" s="77" t="s">
        <v>884</v>
      </c>
      <c r="F9" s="120" t="s">
        <v>961</v>
      </c>
      <c r="G9" s="76" t="s">
        <v>215</v>
      </c>
      <c r="H9" s="121" t="s">
        <v>843</v>
      </c>
      <c r="I9" s="122"/>
      <c r="J9" s="123" t="s">
        <v>885</v>
      </c>
      <c r="K9" s="124">
        <v>2</v>
      </c>
      <c r="L9" s="117">
        <v>1</v>
      </c>
      <c r="M9" s="117">
        <v>2</v>
      </c>
      <c r="N9" s="116">
        <v>7</v>
      </c>
      <c r="O9" s="116">
        <v>1</v>
      </c>
      <c r="P9" s="116">
        <v>0</v>
      </c>
      <c r="Q9" s="116">
        <v>3</v>
      </c>
      <c r="R9" s="116">
        <v>2</v>
      </c>
      <c r="S9" s="116">
        <v>0</v>
      </c>
      <c r="T9" s="116">
        <v>0</v>
      </c>
      <c r="U9" s="116">
        <v>0</v>
      </c>
      <c r="V9" s="116">
        <v>0</v>
      </c>
      <c r="W9" s="116">
        <v>0</v>
      </c>
      <c r="X9" s="116">
        <v>0</v>
      </c>
      <c r="Y9" s="116">
        <v>0</v>
      </c>
      <c r="Z9" s="116">
        <v>0</v>
      </c>
      <c r="AA9" s="116">
        <v>0</v>
      </c>
      <c r="AB9" s="116">
        <v>0</v>
      </c>
      <c r="AC9" s="116">
        <v>9</v>
      </c>
      <c r="AD9" s="116">
        <v>2</v>
      </c>
      <c r="AE9" s="116">
        <v>0</v>
      </c>
      <c r="AF9" s="116">
        <v>0</v>
      </c>
      <c r="AG9" s="116">
        <v>0</v>
      </c>
      <c r="AH9" s="116">
        <v>0</v>
      </c>
      <c r="AI9" s="116">
        <v>1</v>
      </c>
      <c r="AJ9" s="117">
        <v>1</v>
      </c>
      <c r="AK9" s="117">
        <v>6</v>
      </c>
      <c r="AL9" s="117">
        <v>0</v>
      </c>
      <c r="AM9" s="117">
        <v>12</v>
      </c>
      <c r="AN9" s="117">
        <v>35</v>
      </c>
      <c r="AO9" s="117">
        <v>0</v>
      </c>
      <c r="AP9" s="117">
        <v>5</v>
      </c>
      <c r="AQ9" s="117">
        <v>49</v>
      </c>
    </row>
    <row r="10" spans="1:43" s="118" customFormat="1" ht="13.5" customHeight="1">
      <c r="A10" s="119">
        <v>8</v>
      </c>
      <c r="B10" s="76" t="s">
        <v>657</v>
      </c>
      <c r="C10" s="75" t="s">
        <v>882</v>
      </c>
      <c r="D10" s="77" t="s">
        <v>883</v>
      </c>
      <c r="E10" s="77" t="s">
        <v>884</v>
      </c>
      <c r="F10" s="120" t="s">
        <v>960</v>
      </c>
      <c r="G10" s="76" t="s">
        <v>658</v>
      </c>
      <c r="H10" s="121" t="s">
        <v>843</v>
      </c>
      <c r="I10" s="122" t="s">
        <v>842</v>
      </c>
      <c r="J10" s="123" t="s">
        <v>888</v>
      </c>
      <c r="K10" s="124">
        <v>2</v>
      </c>
      <c r="L10" s="117">
        <v>2</v>
      </c>
      <c r="M10" s="117">
        <v>1</v>
      </c>
      <c r="N10" s="116">
        <v>9</v>
      </c>
      <c r="O10" s="116">
        <v>4</v>
      </c>
      <c r="P10" s="116">
        <v>0</v>
      </c>
      <c r="Q10" s="116">
        <v>3</v>
      </c>
      <c r="R10" s="116">
        <v>0</v>
      </c>
      <c r="S10" s="116">
        <v>0</v>
      </c>
      <c r="T10" s="116">
        <v>0</v>
      </c>
      <c r="U10" s="116">
        <v>1</v>
      </c>
      <c r="V10" s="116">
        <v>0</v>
      </c>
      <c r="W10" s="116">
        <v>0</v>
      </c>
      <c r="X10" s="116">
        <v>0</v>
      </c>
      <c r="Y10" s="116">
        <v>0</v>
      </c>
      <c r="Z10" s="116">
        <v>11</v>
      </c>
      <c r="AA10" s="116">
        <v>2</v>
      </c>
      <c r="AB10" s="116">
        <v>0</v>
      </c>
      <c r="AC10" s="116">
        <v>0</v>
      </c>
      <c r="AD10" s="116">
        <v>0</v>
      </c>
      <c r="AE10" s="116">
        <v>0</v>
      </c>
      <c r="AF10" s="116">
        <v>0</v>
      </c>
      <c r="AG10" s="116">
        <v>0</v>
      </c>
      <c r="AH10" s="116">
        <v>0</v>
      </c>
      <c r="AI10" s="116">
        <v>1</v>
      </c>
      <c r="AJ10" s="117">
        <v>0</v>
      </c>
      <c r="AK10" s="117">
        <v>6</v>
      </c>
      <c r="AL10" s="117">
        <v>0</v>
      </c>
      <c r="AM10" s="117">
        <v>0</v>
      </c>
      <c r="AN10" s="117">
        <v>40</v>
      </c>
      <c r="AO10" s="117">
        <v>0</v>
      </c>
      <c r="AP10" s="117">
        <v>6</v>
      </c>
      <c r="AQ10" s="117">
        <v>40</v>
      </c>
    </row>
    <row r="11" spans="1:43" s="118" customFormat="1" ht="13.5" customHeight="1">
      <c r="A11" s="119">
        <v>9</v>
      </c>
      <c r="B11" s="76" t="s">
        <v>659</v>
      </c>
      <c r="C11" s="75" t="s">
        <v>882</v>
      </c>
      <c r="D11" s="77" t="s">
        <v>883</v>
      </c>
      <c r="E11" s="77" t="s">
        <v>884</v>
      </c>
      <c r="F11" s="120" t="s">
        <v>961</v>
      </c>
      <c r="G11" s="76" t="s">
        <v>660</v>
      </c>
      <c r="H11" s="121" t="s">
        <v>843</v>
      </c>
      <c r="I11" s="122" t="s">
        <v>842</v>
      </c>
      <c r="J11" s="123" t="s">
        <v>885</v>
      </c>
      <c r="K11" s="124">
        <v>2</v>
      </c>
      <c r="L11" s="117">
        <v>2</v>
      </c>
      <c r="M11" s="117">
        <v>1</v>
      </c>
      <c r="N11" s="116">
        <v>11</v>
      </c>
      <c r="O11" s="116">
        <v>3</v>
      </c>
      <c r="P11" s="116">
        <v>0</v>
      </c>
      <c r="Q11" s="116">
        <v>8</v>
      </c>
      <c r="R11" s="116">
        <v>1</v>
      </c>
      <c r="S11" s="116">
        <v>0</v>
      </c>
      <c r="T11" s="116">
        <v>1</v>
      </c>
      <c r="U11" s="116">
        <v>1</v>
      </c>
      <c r="V11" s="116">
        <v>0</v>
      </c>
      <c r="W11" s="116">
        <v>0</v>
      </c>
      <c r="X11" s="116">
        <v>0</v>
      </c>
      <c r="Y11" s="116">
        <v>0</v>
      </c>
      <c r="Z11" s="116">
        <v>17</v>
      </c>
      <c r="AA11" s="116">
        <v>2</v>
      </c>
      <c r="AB11" s="116">
        <v>0</v>
      </c>
      <c r="AC11" s="116">
        <v>0</v>
      </c>
      <c r="AD11" s="116">
        <v>0</v>
      </c>
      <c r="AE11" s="116">
        <v>0</v>
      </c>
      <c r="AF11" s="116">
        <v>0</v>
      </c>
      <c r="AG11" s="116">
        <v>0</v>
      </c>
      <c r="AH11" s="116">
        <v>0</v>
      </c>
      <c r="AI11" s="116">
        <v>1</v>
      </c>
      <c r="AJ11" s="117">
        <v>1</v>
      </c>
      <c r="AK11" s="117">
        <v>11</v>
      </c>
      <c r="AL11" s="117">
        <v>0</v>
      </c>
      <c r="AM11" s="117">
        <v>20</v>
      </c>
      <c r="AN11" s="117">
        <v>39</v>
      </c>
      <c r="AO11" s="117">
        <v>2</v>
      </c>
      <c r="AP11" s="117">
        <v>3</v>
      </c>
      <c r="AQ11" s="117">
        <v>63</v>
      </c>
    </row>
    <row r="12" spans="1:43" s="118" customFormat="1" ht="13.5" customHeight="1">
      <c r="A12" s="119">
        <v>10</v>
      </c>
      <c r="B12" s="76" t="s">
        <v>665</v>
      </c>
      <c r="C12" s="75" t="s">
        <v>882</v>
      </c>
      <c r="D12" s="77" t="s">
        <v>883</v>
      </c>
      <c r="E12" s="77" t="s">
        <v>884</v>
      </c>
      <c r="F12" s="120" t="s">
        <v>961</v>
      </c>
      <c r="G12" s="76" t="s">
        <v>666</v>
      </c>
      <c r="H12" s="121" t="s">
        <v>843</v>
      </c>
      <c r="I12" s="122"/>
      <c r="J12" s="123" t="s">
        <v>888</v>
      </c>
      <c r="K12" s="124">
        <v>2</v>
      </c>
      <c r="L12" s="117">
        <v>2</v>
      </c>
      <c r="M12" s="117">
        <v>1</v>
      </c>
      <c r="N12" s="116">
        <v>10</v>
      </c>
      <c r="O12" s="116">
        <v>3</v>
      </c>
      <c r="P12" s="116">
        <v>0</v>
      </c>
      <c r="Q12" s="116">
        <v>7</v>
      </c>
      <c r="R12" s="116">
        <v>0</v>
      </c>
      <c r="S12" s="116">
        <v>0</v>
      </c>
      <c r="T12" s="116">
        <v>0</v>
      </c>
      <c r="U12" s="116">
        <v>0</v>
      </c>
      <c r="V12" s="116">
        <v>0</v>
      </c>
      <c r="W12" s="116">
        <v>0</v>
      </c>
      <c r="X12" s="116">
        <v>0</v>
      </c>
      <c r="Y12" s="116">
        <v>0</v>
      </c>
      <c r="Z12" s="116">
        <v>0</v>
      </c>
      <c r="AA12" s="116">
        <v>0</v>
      </c>
      <c r="AB12" s="116">
        <v>0</v>
      </c>
      <c r="AC12" s="116">
        <v>16</v>
      </c>
      <c r="AD12" s="116">
        <v>2</v>
      </c>
      <c r="AE12" s="116">
        <v>0</v>
      </c>
      <c r="AF12" s="116">
        <v>0</v>
      </c>
      <c r="AG12" s="116">
        <v>0</v>
      </c>
      <c r="AH12" s="116">
        <v>0</v>
      </c>
      <c r="AI12" s="116">
        <v>1</v>
      </c>
      <c r="AJ12" s="117">
        <v>0</v>
      </c>
      <c r="AK12" s="117">
        <v>5</v>
      </c>
      <c r="AL12" s="117">
        <v>0</v>
      </c>
      <c r="AM12" s="117">
        <v>15</v>
      </c>
      <c r="AN12" s="117">
        <v>12</v>
      </c>
      <c r="AO12" s="117">
        <v>0</v>
      </c>
      <c r="AP12" s="117">
        <v>3</v>
      </c>
      <c r="AQ12" s="117">
        <v>29</v>
      </c>
    </row>
    <row r="13" spans="1:43" s="118" customFormat="1" ht="13.5" customHeight="1">
      <c r="A13" s="119">
        <v>11</v>
      </c>
      <c r="B13" s="76" t="s">
        <v>154</v>
      </c>
      <c r="C13" s="75" t="s">
        <v>882</v>
      </c>
      <c r="D13" s="77" t="s">
        <v>883</v>
      </c>
      <c r="E13" s="77" t="s">
        <v>884</v>
      </c>
      <c r="F13" s="120" t="s">
        <v>960</v>
      </c>
      <c r="G13" s="76" t="s">
        <v>155</v>
      </c>
      <c r="H13" s="121" t="s">
        <v>843</v>
      </c>
      <c r="I13" s="122"/>
      <c r="J13" s="123" t="s">
        <v>888</v>
      </c>
      <c r="K13" s="124">
        <v>2</v>
      </c>
      <c r="L13" s="117">
        <v>0</v>
      </c>
      <c r="M13" s="117">
        <v>0</v>
      </c>
      <c r="N13" s="116">
        <v>10</v>
      </c>
      <c r="O13" s="116">
        <v>3</v>
      </c>
      <c r="P13" s="116">
        <v>1</v>
      </c>
      <c r="Q13" s="116">
        <v>1</v>
      </c>
      <c r="R13" s="116">
        <v>0</v>
      </c>
      <c r="S13" s="116">
        <v>0</v>
      </c>
      <c r="T13" s="116">
        <v>0</v>
      </c>
      <c r="U13" s="116">
        <v>0</v>
      </c>
      <c r="V13" s="116">
        <v>0</v>
      </c>
      <c r="W13" s="116">
        <v>0</v>
      </c>
      <c r="X13" s="116">
        <v>1</v>
      </c>
      <c r="Y13" s="116">
        <v>1</v>
      </c>
      <c r="Z13" s="116">
        <v>6</v>
      </c>
      <c r="AA13" s="116">
        <v>1</v>
      </c>
      <c r="AB13" s="116">
        <v>6</v>
      </c>
      <c r="AC13" s="116">
        <v>0</v>
      </c>
      <c r="AD13" s="116">
        <v>0</v>
      </c>
      <c r="AE13" s="116">
        <v>0</v>
      </c>
      <c r="AF13" s="116">
        <v>1</v>
      </c>
      <c r="AG13" s="116">
        <v>0</v>
      </c>
      <c r="AH13" s="116">
        <v>1</v>
      </c>
      <c r="AI13" s="116">
        <v>1</v>
      </c>
      <c r="AJ13" s="117">
        <v>0</v>
      </c>
      <c r="AK13" s="117">
        <v>7</v>
      </c>
      <c r="AL13" s="117">
        <v>1</v>
      </c>
      <c r="AM13" s="117">
        <v>6</v>
      </c>
      <c r="AN13" s="117">
        <v>42</v>
      </c>
      <c r="AO13" s="117">
        <v>3</v>
      </c>
      <c r="AP13" s="117">
        <v>7</v>
      </c>
      <c r="AQ13" s="117">
        <v>48</v>
      </c>
    </row>
    <row r="14" spans="1:43" s="118" customFormat="1" ht="13.5" customHeight="1">
      <c r="A14" s="119">
        <v>12</v>
      </c>
      <c r="B14" s="76" t="s">
        <v>675</v>
      </c>
      <c r="C14" s="75" t="s">
        <v>882</v>
      </c>
      <c r="D14" s="77" t="s">
        <v>883</v>
      </c>
      <c r="E14" s="77" t="s">
        <v>884</v>
      </c>
      <c r="F14" s="120" t="s">
        <v>961</v>
      </c>
      <c r="G14" s="76" t="s">
        <v>676</v>
      </c>
      <c r="H14" s="121" t="s">
        <v>843</v>
      </c>
      <c r="I14" s="122"/>
      <c r="J14" s="123" t="s">
        <v>885</v>
      </c>
      <c r="K14" s="124">
        <v>2</v>
      </c>
      <c r="L14" s="117">
        <v>3</v>
      </c>
      <c r="M14" s="117">
        <v>1</v>
      </c>
      <c r="N14" s="116">
        <v>3</v>
      </c>
      <c r="O14" s="116">
        <v>1</v>
      </c>
      <c r="P14" s="116">
        <v>0</v>
      </c>
      <c r="Q14" s="116">
        <v>10</v>
      </c>
      <c r="R14" s="116">
        <v>2</v>
      </c>
      <c r="S14" s="116">
        <v>0</v>
      </c>
      <c r="T14" s="116">
        <v>0</v>
      </c>
      <c r="U14" s="116">
        <v>0</v>
      </c>
      <c r="V14" s="116">
        <v>0</v>
      </c>
      <c r="W14" s="116">
        <v>0</v>
      </c>
      <c r="X14" s="116">
        <v>0</v>
      </c>
      <c r="Y14" s="116">
        <v>0</v>
      </c>
      <c r="Z14" s="116">
        <v>0</v>
      </c>
      <c r="AA14" s="116">
        <v>0</v>
      </c>
      <c r="AB14" s="116">
        <v>0</v>
      </c>
      <c r="AC14" s="116">
        <v>12</v>
      </c>
      <c r="AD14" s="116">
        <v>2</v>
      </c>
      <c r="AE14" s="116">
        <v>0</v>
      </c>
      <c r="AF14" s="116">
        <v>0</v>
      </c>
      <c r="AG14" s="116">
        <v>0</v>
      </c>
      <c r="AH14" s="116">
        <v>0</v>
      </c>
      <c r="AI14" s="116">
        <v>1</v>
      </c>
      <c r="AJ14" s="117">
        <v>0</v>
      </c>
      <c r="AK14" s="117">
        <v>7</v>
      </c>
      <c r="AL14" s="117">
        <v>0</v>
      </c>
      <c r="AM14" s="117">
        <v>10</v>
      </c>
      <c r="AN14" s="117">
        <v>22</v>
      </c>
      <c r="AO14" s="117">
        <v>0</v>
      </c>
      <c r="AP14" s="117">
        <v>6</v>
      </c>
      <c r="AQ14" s="117">
        <v>33</v>
      </c>
    </row>
    <row r="15" spans="1:43" s="118" customFormat="1" ht="13.5" customHeight="1">
      <c r="A15" s="119">
        <v>13</v>
      </c>
      <c r="B15" s="76" t="s">
        <v>683</v>
      </c>
      <c r="C15" s="75" t="s">
        <v>882</v>
      </c>
      <c r="D15" s="77" t="s">
        <v>883</v>
      </c>
      <c r="E15" s="77" t="s">
        <v>884</v>
      </c>
      <c r="F15" s="120" t="s">
        <v>961</v>
      </c>
      <c r="G15" s="76" t="s">
        <v>684</v>
      </c>
      <c r="H15" s="121" t="s">
        <v>843</v>
      </c>
      <c r="I15" s="122"/>
      <c r="J15" s="123" t="s">
        <v>885</v>
      </c>
      <c r="K15" s="124">
        <v>2</v>
      </c>
      <c r="L15" s="117">
        <v>3</v>
      </c>
      <c r="M15" s="117">
        <v>1</v>
      </c>
      <c r="N15" s="116">
        <v>6</v>
      </c>
      <c r="O15" s="116">
        <v>1</v>
      </c>
      <c r="P15" s="116">
        <v>0</v>
      </c>
      <c r="Q15" s="116">
        <v>6</v>
      </c>
      <c r="R15" s="116">
        <v>4</v>
      </c>
      <c r="S15" s="116">
        <v>0</v>
      </c>
      <c r="T15" s="116">
        <v>2</v>
      </c>
      <c r="U15" s="116">
        <v>1</v>
      </c>
      <c r="V15" s="116">
        <v>0</v>
      </c>
      <c r="W15" s="116">
        <v>0</v>
      </c>
      <c r="X15" s="116">
        <v>0</v>
      </c>
      <c r="Y15" s="116">
        <v>0</v>
      </c>
      <c r="Z15" s="116">
        <v>9</v>
      </c>
      <c r="AA15" s="116">
        <v>3</v>
      </c>
      <c r="AB15" s="116">
        <v>0</v>
      </c>
      <c r="AC15" s="116">
        <v>0</v>
      </c>
      <c r="AD15" s="116">
        <v>0</v>
      </c>
      <c r="AE15" s="116">
        <v>0</v>
      </c>
      <c r="AF15" s="116">
        <v>0</v>
      </c>
      <c r="AG15" s="116">
        <v>0</v>
      </c>
      <c r="AH15" s="116">
        <v>0</v>
      </c>
      <c r="AI15" s="116">
        <v>1</v>
      </c>
      <c r="AJ15" s="117">
        <v>0</v>
      </c>
      <c r="AK15" s="117">
        <v>7</v>
      </c>
      <c r="AL15" s="117">
        <v>1</v>
      </c>
      <c r="AM15" s="117">
        <v>0</v>
      </c>
      <c r="AN15" s="117">
        <v>15</v>
      </c>
      <c r="AO15" s="117">
        <v>4</v>
      </c>
      <c r="AP15" s="117">
        <v>4</v>
      </c>
      <c r="AQ15" s="117">
        <v>17</v>
      </c>
    </row>
    <row r="16" spans="1:43" s="118" customFormat="1" ht="13.5" customHeight="1">
      <c r="A16" s="119">
        <v>14</v>
      </c>
      <c r="B16" s="76" t="s">
        <v>271</v>
      </c>
      <c r="C16" s="75" t="s">
        <v>882</v>
      </c>
      <c r="D16" s="77" t="s">
        <v>883</v>
      </c>
      <c r="E16" s="77" t="s">
        <v>884</v>
      </c>
      <c r="F16" s="120" t="s">
        <v>961</v>
      </c>
      <c r="G16" s="76" t="s">
        <v>272</v>
      </c>
      <c r="H16" s="121" t="s">
        <v>843</v>
      </c>
      <c r="I16" s="122" t="s">
        <v>842</v>
      </c>
      <c r="J16" s="123" t="s">
        <v>888</v>
      </c>
      <c r="K16" s="124">
        <v>2</v>
      </c>
      <c r="L16" s="117">
        <v>1</v>
      </c>
      <c r="M16" s="117">
        <v>1</v>
      </c>
      <c r="N16" s="116">
        <v>16</v>
      </c>
      <c r="O16" s="116">
        <v>7</v>
      </c>
      <c r="P16" s="116">
        <v>0</v>
      </c>
      <c r="Q16" s="116">
        <v>1</v>
      </c>
      <c r="R16" s="116">
        <v>0</v>
      </c>
      <c r="S16" s="116">
        <v>0</v>
      </c>
      <c r="T16" s="116">
        <v>5</v>
      </c>
      <c r="U16" s="116">
        <v>0</v>
      </c>
      <c r="V16" s="116">
        <v>0</v>
      </c>
      <c r="W16" s="116">
        <v>0</v>
      </c>
      <c r="X16" s="116">
        <v>1</v>
      </c>
      <c r="Y16" s="116">
        <v>0</v>
      </c>
      <c r="Z16" s="116">
        <v>11</v>
      </c>
      <c r="AA16" s="116">
        <v>5</v>
      </c>
      <c r="AB16" s="116">
        <v>0</v>
      </c>
      <c r="AC16" s="116">
        <v>0</v>
      </c>
      <c r="AD16" s="116">
        <v>0</v>
      </c>
      <c r="AE16" s="116">
        <v>0</v>
      </c>
      <c r="AF16" s="116">
        <v>0</v>
      </c>
      <c r="AG16" s="116">
        <v>0</v>
      </c>
      <c r="AH16" s="116">
        <v>0</v>
      </c>
      <c r="AI16" s="116">
        <v>1</v>
      </c>
      <c r="AJ16" s="117">
        <v>1</v>
      </c>
      <c r="AK16" s="117">
        <v>6</v>
      </c>
      <c r="AL16" s="117">
        <v>0</v>
      </c>
      <c r="AM16" s="117">
        <v>2</v>
      </c>
      <c r="AN16" s="117">
        <v>53</v>
      </c>
      <c r="AO16" s="117">
        <v>0</v>
      </c>
      <c r="AP16" s="117">
        <v>5</v>
      </c>
      <c r="AQ16" s="117">
        <v>58</v>
      </c>
    </row>
    <row r="17" spans="1:43" s="118" customFormat="1" ht="13.5" customHeight="1">
      <c r="A17" s="119">
        <v>15</v>
      </c>
      <c r="B17" s="76" t="s">
        <v>697</v>
      </c>
      <c r="C17" s="75" t="s">
        <v>882</v>
      </c>
      <c r="D17" s="77" t="s">
        <v>883</v>
      </c>
      <c r="E17" s="77" t="s">
        <v>884</v>
      </c>
      <c r="F17" s="120" t="s">
        <v>962</v>
      </c>
      <c r="G17" s="76" t="s">
        <v>698</v>
      </c>
      <c r="H17" s="121" t="s">
        <v>843</v>
      </c>
      <c r="I17" s="122"/>
      <c r="J17" s="123" t="s">
        <v>888</v>
      </c>
      <c r="K17" s="124">
        <v>2</v>
      </c>
      <c r="L17" s="117">
        <v>2</v>
      </c>
      <c r="M17" s="117">
        <v>1</v>
      </c>
      <c r="N17" s="116">
        <v>8</v>
      </c>
      <c r="O17" s="116">
        <v>8</v>
      </c>
      <c r="P17" s="116">
        <v>0</v>
      </c>
      <c r="Q17" s="116">
        <v>3</v>
      </c>
      <c r="R17" s="116">
        <v>0</v>
      </c>
      <c r="S17" s="116">
        <v>0</v>
      </c>
      <c r="T17" s="116">
        <v>0</v>
      </c>
      <c r="U17" s="116">
        <v>0</v>
      </c>
      <c r="V17" s="116">
        <v>0</v>
      </c>
      <c r="W17" s="116">
        <v>2</v>
      </c>
      <c r="X17" s="116">
        <v>2</v>
      </c>
      <c r="Y17" s="116">
        <v>0</v>
      </c>
      <c r="Z17" s="116">
        <v>8</v>
      </c>
      <c r="AA17" s="116">
        <v>5</v>
      </c>
      <c r="AB17" s="116">
        <v>0</v>
      </c>
      <c r="AC17" s="116">
        <v>0</v>
      </c>
      <c r="AD17" s="116">
        <v>0</v>
      </c>
      <c r="AE17" s="116">
        <v>0</v>
      </c>
      <c r="AF17" s="116">
        <v>0</v>
      </c>
      <c r="AG17" s="116">
        <v>0</v>
      </c>
      <c r="AH17" s="116">
        <v>0</v>
      </c>
      <c r="AI17" s="116">
        <v>1</v>
      </c>
      <c r="AJ17" s="117">
        <v>0</v>
      </c>
      <c r="AK17" s="117">
        <v>10</v>
      </c>
      <c r="AL17" s="117">
        <v>0</v>
      </c>
      <c r="AM17" s="117">
        <v>0</v>
      </c>
      <c r="AN17" s="117">
        <v>60</v>
      </c>
      <c r="AO17" s="117">
        <v>0</v>
      </c>
      <c r="AP17" s="117">
        <v>9</v>
      </c>
      <c r="AQ17" s="117">
        <v>61</v>
      </c>
    </row>
    <row r="18" spans="1:43" s="118" customFormat="1" ht="13.5" customHeight="1">
      <c r="A18" s="119">
        <v>16</v>
      </c>
      <c r="B18" s="76" t="s">
        <v>701</v>
      </c>
      <c r="C18" s="75" t="s">
        <v>882</v>
      </c>
      <c r="D18" s="77" t="s">
        <v>883</v>
      </c>
      <c r="E18" s="77" t="s">
        <v>884</v>
      </c>
      <c r="F18" s="120" t="s">
        <v>961</v>
      </c>
      <c r="G18" s="76" t="s">
        <v>702</v>
      </c>
      <c r="H18" s="121" t="s">
        <v>843</v>
      </c>
      <c r="I18" s="122"/>
      <c r="J18" s="123" t="s">
        <v>885</v>
      </c>
      <c r="K18" s="124">
        <v>2</v>
      </c>
      <c r="L18" s="117">
        <v>1</v>
      </c>
      <c r="M18" s="117">
        <v>1</v>
      </c>
      <c r="N18" s="116">
        <v>5</v>
      </c>
      <c r="O18" s="116">
        <v>3</v>
      </c>
      <c r="P18" s="116">
        <v>0</v>
      </c>
      <c r="Q18" s="116">
        <v>2</v>
      </c>
      <c r="R18" s="116">
        <v>1</v>
      </c>
      <c r="S18" s="116">
        <v>0</v>
      </c>
      <c r="T18" s="116">
        <v>0</v>
      </c>
      <c r="U18" s="116">
        <v>0</v>
      </c>
      <c r="V18" s="116">
        <v>0</v>
      </c>
      <c r="W18" s="116">
        <v>0</v>
      </c>
      <c r="X18" s="116">
        <v>0</v>
      </c>
      <c r="Y18" s="116">
        <v>0</v>
      </c>
      <c r="Z18" s="116">
        <v>0</v>
      </c>
      <c r="AA18" s="116">
        <v>0</v>
      </c>
      <c r="AB18" s="116">
        <v>0</v>
      </c>
      <c r="AC18" s="116">
        <v>6</v>
      </c>
      <c r="AD18" s="116">
        <v>3</v>
      </c>
      <c r="AE18" s="116">
        <v>0</v>
      </c>
      <c r="AF18" s="116">
        <v>0</v>
      </c>
      <c r="AG18" s="116">
        <v>0</v>
      </c>
      <c r="AH18" s="116">
        <v>0</v>
      </c>
      <c r="AI18" s="116">
        <v>1</v>
      </c>
      <c r="AJ18" s="117">
        <v>0</v>
      </c>
      <c r="AK18" s="117">
        <v>4</v>
      </c>
      <c r="AL18" s="117">
        <v>0</v>
      </c>
      <c r="AM18" s="117">
        <v>9</v>
      </c>
      <c r="AN18" s="117">
        <v>7</v>
      </c>
      <c r="AO18" s="117">
        <v>0</v>
      </c>
      <c r="AP18" s="117">
        <v>2</v>
      </c>
      <c r="AQ18" s="117">
        <v>18</v>
      </c>
    </row>
    <row r="19" spans="1:43" s="118" customFormat="1" ht="13.5" customHeight="1">
      <c r="A19" s="119">
        <v>17</v>
      </c>
      <c r="B19" s="76" t="s">
        <v>713</v>
      </c>
      <c r="C19" s="75" t="s">
        <v>882</v>
      </c>
      <c r="D19" s="77" t="s">
        <v>883</v>
      </c>
      <c r="E19" s="77" t="s">
        <v>884</v>
      </c>
      <c r="F19" s="120" t="s">
        <v>962</v>
      </c>
      <c r="G19" s="76" t="s">
        <v>714</v>
      </c>
      <c r="H19" s="121" t="s">
        <v>843</v>
      </c>
      <c r="I19" s="122" t="s">
        <v>842</v>
      </c>
      <c r="J19" s="123" t="s">
        <v>888</v>
      </c>
      <c r="K19" s="124">
        <v>2</v>
      </c>
      <c r="L19" s="117">
        <v>3</v>
      </c>
      <c r="M19" s="117">
        <v>1</v>
      </c>
      <c r="N19" s="116">
        <v>14</v>
      </c>
      <c r="O19" s="116">
        <v>8</v>
      </c>
      <c r="P19" s="116">
        <v>0</v>
      </c>
      <c r="Q19" s="116">
        <v>15</v>
      </c>
      <c r="R19" s="116">
        <v>0</v>
      </c>
      <c r="S19" s="116">
        <v>0</v>
      </c>
      <c r="T19" s="116">
        <v>0</v>
      </c>
      <c r="U19" s="116">
        <v>1</v>
      </c>
      <c r="V19" s="116">
        <v>0</v>
      </c>
      <c r="W19" s="116">
        <v>0</v>
      </c>
      <c r="X19" s="116">
        <v>0</v>
      </c>
      <c r="Y19" s="116">
        <v>0</v>
      </c>
      <c r="Z19" s="116">
        <v>18</v>
      </c>
      <c r="AA19" s="116">
        <v>2</v>
      </c>
      <c r="AB19" s="116">
        <v>0</v>
      </c>
      <c r="AC19" s="116">
        <v>0</v>
      </c>
      <c r="AD19" s="116">
        <v>0</v>
      </c>
      <c r="AE19" s="116">
        <v>0</v>
      </c>
      <c r="AF19" s="116">
        <v>10</v>
      </c>
      <c r="AG19" s="116">
        <v>4</v>
      </c>
      <c r="AH19" s="116">
        <v>0</v>
      </c>
      <c r="AI19" s="116">
        <v>1</v>
      </c>
      <c r="AJ19" s="117">
        <v>0</v>
      </c>
      <c r="AK19" s="117">
        <v>11</v>
      </c>
      <c r="AL19" s="117">
        <v>0</v>
      </c>
      <c r="AM19" s="117">
        <v>0</v>
      </c>
      <c r="AN19" s="117">
        <v>53</v>
      </c>
      <c r="AO19" s="117">
        <v>0</v>
      </c>
      <c r="AP19" s="117">
        <v>10</v>
      </c>
      <c r="AQ19" s="117">
        <v>54</v>
      </c>
    </row>
    <row r="20" spans="1:43" s="118" customFormat="1" ht="13.5" customHeight="1">
      <c r="A20" s="119">
        <v>18</v>
      </c>
      <c r="B20" s="76" t="s">
        <v>715</v>
      </c>
      <c r="C20" s="75" t="s">
        <v>882</v>
      </c>
      <c r="D20" s="77" t="s">
        <v>883</v>
      </c>
      <c r="E20" s="77" t="s">
        <v>884</v>
      </c>
      <c r="F20" s="120" t="s">
        <v>960</v>
      </c>
      <c r="G20" s="76" t="s">
        <v>716</v>
      </c>
      <c r="H20" s="121" t="s">
        <v>843</v>
      </c>
      <c r="I20" s="122" t="s">
        <v>842</v>
      </c>
      <c r="J20" s="123" t="s">
        <v>888</v>
      </c>
      <c r="K20" s="124">
        <v>2</v>
      </c>
      <c r="L20" s="117">
        <v>3</v>
      </c>
      <c r="M20" s="117">
        <v>1</v>
      </c>
      <c r="N20" s="116">
        <v>5</v>
      </c>
      <c r="O20" s="116">
        <v>3</v>
      </c>
      <c r="P20" s="116">
        <v>0</v>
      </c>
      <c r="Q20" s="116">
        <v>10</v>
      </c>
      <c r="R20" s="116">
        <v>4</v>
      </c>
      <c r="S20" s="116">
        <v>0</v>
      </c>
      <c r="T20" s="116">
        <v>3</v>
      </c>
      <c r="U20" s="116">
        <v>1</v>
      </c>
      <c r="V20" s="116">
        <v>0</v>
      </c>
      <c r="W20" s="116">
        <v>0</v>
      </c>
      <c r="X20" s="116">
        <v>0</v>
      </c>
      <c r="Y20" s="116">
        <v>0</v>
      </c>
      <c r="Z20" s="116">
        <v>11</v>
      </c>
      <c r="AA20" s="116">
        <v>5</v>
      </c>
      <c r="AB20" s="116">
        <v>0</v>
      </c>
      <c r="AC20" s="116">
        <v>0</v>
      </c>
      <c r="AD20" s="116">
        <v>0</v>
      </c>
      <c r="AE20" s="116">
        <v>0</v>
      </c>
      <c r="AF20" s="116">
        <v>0</v>
      </c>
      <c r="AG20" s="116">
        <v>0</v>
      </c>
      <c r="AH20" s="116">
        <v>0</v>
      </c>
      <c r="AI20" s="116">
        <v>1</v>
      </c>
      <c r="AJ20" s="117">
        <v>0</v>
      </c>
      <c r="AK20" s="117">
        <v>8</v>
      </c>
      <c r="AL20" s="117">
        <v>0</v>
      </c>
      <c r="AM20" s="117">
        <v>0</v>
      </c>
      <c r="AN20" s="117">
        <v>41</v>
      </c>
      <c r="AO20" s="117">
        <v>0</v>
      </c>
      <c r="AP20" s="117">
        <v>5</v>
      </c>
      <c r="AQ20" s="117">
        <v>44</v>
      </c>
    </row>
    <row r="21" spans="1:43" s="118" customFormat="1" ht="13.5" customHeight="1">
      <c r="A21" s="119">
        <v>19</v>
      </c>
      <c r="B21" s="76" t="s">
        <v>232</v>
      </c>
      <c r="C21" s="75" t="s">
        <v>882</v>
      </c>
      <c r="D21" s="77" t="s">
        <v>883</v>
      </c>
      <c r="E21" s="77" t="s">
        <v>884</v>
      </c>
      <c r="F21" s="120" t="s">
        <v>961</v>
      </c>
      <c r="G21" s="76" t="s">
        <v>233</v>
      </c>
      <c r="H21" s="121" t="s">
        <v>843</v>
      </c>
      <c r="I21" s="122" t="s">
        <v>842</v>
      </c>
      <c r="J21" s="123" t="s">
        <v>885</v>
      </c>
      <c r="K21" s="124">
        <v>2</v>
      </c>
      <c r="L21" s="117">
        <v>0</v>
      </c>
      <c r="M21" s="117">
        <v>0</v>
      </c>
      <c r="N21" s="116">
        <v>11</v>
      </c>
      <c r="O21" s="116">
        <v>2</v>
      </c>
      <c r="P21" s="116">
        <v>1</v>
      </c>
      <c r="Q21" s="116">
        <v>1</v>
      </c>
      <c r="R21" s="116">
        <v>0</v>
      </c>
      <c r="S21" s="116">
        <v>0</v>
      </c>
      <c r="T21" s="116">
        <v>0</v>
      </c>
      <c r="U21" s="116">
        <v>0</v>
      </c>
      <c r="V21" s="116">
        <v>0</v>
      </c>
      <c r="W21" s="116">
        <v>0</v>
      </c>
      <c r="X21" s="116">
        <v>0</v>
      </c>
      <c r="Y21" s="116">
        <v>0</v>
      </c>
      <c r="Z21" s="116">
        <v>8</v>
      </c>
      <c r="AA21" s="116">
        <v>1</v>
      </c>
      <c r="AB21" s="116">
        <v>6</v>
      </c>
      <c r="AC21" s="116">
        <v>0</v>
      </c>
      <c r="AD21" s="116">
        <v>0</v>
      </c>
      <c r="AE21" s="116">
        <v>0</v>
      </c>
      <c r="AF21" s="116">
        <v>0</v>
      </c>
      <c r="AG21" s="116">
        <v>0</v>
      </c>
      <c r="AH21" s="116">
        <v>0</v>
      </c>
      <c r="AI21" s="116">
        <v>1</v>
      </c>
      <c r="AJ21" s="117">
        <v>0</v>
      </c>
      <c r="AK21" s="117">
        <v>6</v>
      </c>
      <c r="AL21" s="117">
        <v>0</v>
      </c>
      <c r="AM21" s="117">
        <v>33</v>
      </c>
      <c r="AN21" s="117">
        <v>15</v>
      </c>
      <c r="AO21" s="117">
        <v>0</v>
      </c>
      <c r="AP21" s="117">
        <v>2</v>
      </c>
      <c r="AQ21" s="117">
        <v>53</v>
      </c>
    </row>
    <row r="22" spans="1:43" s="118" customFormat="1" ht="13.5" customHeight="1">
      <c r="A22" s="119">
        <v>20</v>
      </c>
      <c r="B22" s="76" t="s">
        <v>235</v>
      </c>
      <c r="C22" s="75" t="s">
        <v>882</v>
      </c>
      <c r="D22" s="77" t="s">
        <v>883</v>
      </c>
      <c r="E22" s="77" t="s">
        <v>884</v>
      </c>
      <c r="F22" s="120" t="s">
        <v>961</v>
      </c>
      <c r="G22" s="76" t="s">
        <v>236</v>
      </c>
      <c r="H22" s="121" t="s">
        <v>843</v>
      </c>
      <c r="I22" s="122"/>
      <c r="J22" s="123" t="s">
        <v>885</v>
      </c>
      <c r="K22" s="124">
        <v>2</v>
      </c>
      <c r="L22" s="117">
        <v>1</v>
      </c>
      <c r="M22" s="117">
        <v>1</v>
      </c>
      <c r="N22" s="116">
        <v>11</v>
      </c>
      <c r="O22" s="116">
        <v>4</v>
      </c>
      <c r="P22" s="116">
        <v>0</v>
      </c>
      <c r="Q22" s="116">
        <v>5</v>
      </c>
      <c r="R22" s="116">
        <v>0</v>
      </c>
      <c r="S22" s="116">
        <v>0</v>
      </c>
      <c r="T22" s="116">
        <v>0</v>
      </c>
      <c r="U22" s="116">
        <v>0</v>
      </c>
      <c r="V22" s="116">
        <v>0</v>
      </c>
      <c r="W22" s="116">
        <v>0</v>
      </c>
      <c r="X22" s="116">
        <v>0</v>
      </c>
      <c r="Y22" s="116">
        <v>0</v>
      </c>
      <c r="Z22" s="116">
        <v>15</v>
      </c>
      <c r="AA22" s="116">
        <v>3</v>
      </c>
      <c r="AB22" s="116">
        <v>0</v>
      </c>
      <c r="AC22" s="116">
        <v>0</v>
      </c>
      <c r="AD22" s="116">
        <v>0</v>
      </c>
      <c r="AE22" s="116">
        <v>0</v>
      </c>
      <c r="AF22" s="116">
        <v>0</v>
      </c>
      <c r="AG22" s="116">
        <v>0</v>
      </c>
      <c r="AH22" s="116">
        <v>0</v>
      </c>
      <c r="AI22" s="116">
        <v>1</v>
      </c>
      <c r="AJ22" s="117">
        <v>1</v>
      </c>
      <c r="AK22" s="117">
        <v>2</v>
      </c>
      <c r="AL22" s="117">
        <v>0</v>
      </c>
      <c r="AM22" s="117">
        <v>9</v>
      </c>
      <c r="AN22" s="117">
        <v>27</v>
      </c>
      <c r="AO22" s="117">
        <v>0</v>
      </c>
      <c r="AP22" s="117">
        <v>3</v>
      </c>
      <c r="AQ22" s="117">
        <v>36</v>
      </c>
    </row>
    <row r="23" spans="1:43" s="118" customFormat="1" ht="13.5" customHeight="1">
      <c r="A23" s="119">
        <v>21</v>
      </c>
      <c r="B23" s="76" t="s">
        <v>735</v>
      </c>
      <c r="C23" s="75" t="s">
        <v>882</v>
      </c>
      <c r="D23" s="77" t="s">
        <v>883</v>
      </c>
      <c r="E23" s="77" t="s">
        <v>884</v>
      </c>
      <c r="F23" s="120" t="s">
        <v>963</v>
      </c>
      <c r="G23" s="76" t="s">
        <v>736</v>
      </c>
      <c r="H23" s="121" t="s">
        <v>843</v>
      </c>
      <c r="I23" s="122"/>
      <c r="J23" s="123" t="s">
        <v>888</v>
      </c>
      <c r="K23" s="124">
        <v>2</v>
      </c>
      <c r="L23" s="117">
        <v>1</v>
      </c>
      <c r="M23" s="117">
        <v>1</v>
      </c>
      <c r="N23" s="116">
        <v>8</v>
      </c>
      <c r="O23" s="116">
        <v>2</v>
      </c>
      <c r="P23" s="116">
        <v>0</v>
      </c>
      <c r="Q23" s="116">
        <v>0</v>
      </c>
      <c r="R23" s="116">
        <v>0</v>
      </c>
      <c r="S23" s="116">
        <v>0</v>
      </c>
      <c r="T23" s="116">
        <v>0</v>
      </c>
      <c r="U23" s="116">
        <v>0</v>
      </c>
      <c r="V23" s="116">
        <v>0</v>
      </c>
      <c r="W23" s="116">
        <v>1</v>
      </c>
      <c r="X23" s="116">
        <v>0</v>
      </c>
      <c r="Y23" s="116">
        <v>0</v>
      </c>
      <c r="Z23" s="116">
        <v>6</v>
      </c>
      <c r="AA23" s="116">
        <v>1</v>
      </c>
      <c r="AB23" s="116">
        <v>0</v>
      </c>
      <c r="AC23" s="116">
        <v>0</v>
      </c>
      <c r="AD23" s="116">
        <v>0</v>
      </c>
      <c r="AE23" s="116">
        <v>0</v>
      </c>
      <c r="AF23" s="116">
        <v>0</v>
      </c>
      <c r="AG23" s="116">
        <v>0</v>
      </c>
      <c r="AH23" s="116">
        <v>0</v>
      </c>
      <c r="AI23" s="116">
        <v>1</v>
      </c>
      <c r="AJ23" s="117">
        <v>0</v>
      </c>
      <c r="AK23" s="117">
        <v>1</v>
      </c>
      <c r="AL23" s="117">
        <v>0</v>
      </c>
      <c r="AM23" s="117">
        <v>0</v>
      </c>
      <c r="AN23" s="117">
        <v>13</v>
      </c>
      <c r="AO23" s="117">
        <v>0</v>
      </c>
      <c r="AP23" s="117">
        <v>1</v>
      </c>
      <c r="AQ23" s="117">
        <v>13</v>
      </c>
    </row>
    <row r="24" spans="1:43" s="118" customFormat="1" ht="13.5" customHeight="1">
      <c r="A24" s="119">
        <v>22</v>
      </c>
      <c r="B24" s="76" t="s">
        <v>160</v>
      </c>
      <c r="C24" s="75" t="s">
        <v>882</v>
      </c>
      <c r="D24" s="77" t="s">
        <v>883</v>
      </c>
      <c r="E24" s="77" t="s">
        <v>884</v>
      </c>
      <c r="F24" s="120" t="s">
        <v>960</v>
      </c>
      <c r="G24" s="76" t="s">
        <v>161</v>
      </c>
      <c r="H24" s="121" t="s">
        <v>843</v>
      </c>
      <c r="I24" s="122"/>
      <c r="J24" s="123" t="s">
        <v>888</v>
      </c>
      <c r="K24" s="124">
        <v>2</v>
      </c>
      <c r="L24" s="117">
        <v>2</v>
      </c>
      <c r="M24" s="117">
        <v>1</v>
      </c>
      <c r="N24" s="116">
        <v>4</v>
      </c>
      <c r="O24" s="116">
        <v>3</v>
      </c>
      <c r="P24" s="116">
        <v>0</v>
      </c>
      <c r="Q24" s="116">
        <v>13</v>
      </c>
      <c r="R24" s="116">
        <v>0</v>
      </c>
      <c r="S24" s="116">
        <v>0</v>
      </c>
      <c r="T24" s="116">
        <v>0</v>
      </c>
      <c r="U24" s="116">
        <v>0</v>
      </c>
      <c r="V24" s="116">
        <v>0</v>
      </c>
      <c r="W24" s="116">
        <v>0</v>
      </c>
      <c r="X24" s="116">
        <v>0</v>
      </c>
      <c r="Y24" s="116">
        <v>0</v>
      </c>
      <c r="Z24" s="116">
        <v>0</v>
      </c>
      <c r="AA24" s="116">
        <v>0</v>
      </c>
      <c r="AB24" s="116">
        <v>0</v>
      </c>
      <c r="AC24" s="116">
        <v>17</v>
      </c>
      <c r="AD24" s="116">
        <v>2</v>
      </c>
      <c r="AE24" s="116">
        <v>0</v>
      </c>
      <c r="AF24" s="116">
        <v>0</v>
      </c>
      <c r="AG24" s="116">
        <v>0</v>
      </c>
      <c r="AH24" s="116">
        <v>0</v>
      </c>
      <c r="AI24" s="116">
        <v>1</v>
      </c>
      <c r="AJ24" s="117">
        <v>0</v>
      </c>
      <c r="AK24" s="117">
        <v>8</v>
      </c>
      <c r="AL24" s="117">
        <v>0</v>
      </c>
      <c r="AM24" s="117">
        <v>0</v>
      </c>
      <c r="AN24" s="117">
        <v>39</v>
      </c>
      <c r="AO24" s="117">
        <v>0</v>
      </c>
      <c r="AP24" s="117">
        <v>7</v>
      </c>
      <c r="AQ24" s="117">
        <v>40</v>
      </c>
    </row>
    <row r="25" spans="1:43" s="118" customFormat="1" ht="13.5" customHeight="1">
      <c r="A25" s="119">
        <v>23</v>
      </c>
      <c r="B25" s="76" t="s">
        <v>745</v>
      </c>
      <c r="C25" s="75" t="s">
        <v>882</v>
      </c>
      <c r="D25" s="77" t="s">
        <v>883</v>
      </c>
      <c r="E25" s="77" t="s">
        <v>884</v>
      </c>
      <c r="F25" s="120" t="s">
        <v>963</v>
      </c>
      <c r="G25" s="76" t="s">
        <v>746</v>
      </c>
      <c r="H25" s="121" t="s">
        <v>843</v>
      </c>
      <c r="I25" s="122"/>
      <c r="J25" s="123" t="s">
        <v>888</v>
      </c>
      <c r="K25" s="124">
        <v>2</v>
      </c>
      <c r="L25" s="117">
        <v>3</v>
      </c>
      <c r="M25" s="117">
        <v>1</v>
      </c>
      <c r="N25" s="116">
        <v>10</v>
      </c>
      <c r="O25" s="116">
        <v>1</v>
      </c>
      <c r="P25" s="116">
        <v>0</v>
      </c>
      <c r="Q25" s="116">
        <v>6</v>
      </c>
      <c r="R25" s="116">
        <v>0</v>
      </c>
      <c r="S25" s="116">
        <v>0</v>
      </c>
      <c r="T25" s="116">
        <v>2</v>
      </c>
      <c r="U25" s="116">
        <v>0</v>
      </c>
      <c r="V25" s="116">
        <v>0</v>
      </c>
      <c r="W25" s="116">
        <v>0</v>
      </c>
      <c r="X25" s="116">
        <v>0</v>
      </c>
      <c r="Y25" s="116">
        <v>0</v>
      </c>
      <c r="Z25" s="116">
        <v>14</v>
      </c>
      <c r="AA25" s="116">
        <v>0</v>
      </c>
      <c r="AB25" s="116">
        <v>0</v>
      </c>
      <c r="AC25" s="116">
        <v>0</v>
      </c>
      <c r="AD25" s="116">
        <v>0</v>
      </c>
      <c r="AE25" s="116">
        <v>0</v>
      </c>
      <c r="AF25" s="116">
        <v>0</v>
      </c>
      <c r="AG25" s="116">
        <v>0</v>
      </c>
      <c r="AH25" s="116">
        <v>0</v>
      </c>
      <c r="AI25" s="116">
        <v>1</v>
      </c>
      <c r="AJ25" s="117">
        <v>0</v>
      </c>
      <c r="AK25" s="117">
        <v>14</v>
      </c>
      <c r="AL25" s="117">
        <v>0</v>
      </c>
      <c r="AM25" s="117">
        <v>0</v>
      </c>
      <c r="AN25" s="117">
        <v>65</v>
      </c>
      <c r="AO25" s="117">
        <v>3</v>
      </c>
      <c r="AP25" s="117">
        <v>11</v>
      </c>
      <c r="AQ25" s="117">
        <v>65</v>
      </c>
    </row>
    <row r="26" spans="1:43" s="118" customFormat="1" ht="13.5" customHeight="1">
      <c r="A26" s="119">
        <v>24</v>
      </c>
      <c r="B26" s="76" t="s">
        <v>112</v>
      </c>
      <c r="C26" s="75" t="s">
        <v>882</v>
      </c>
      <c r="D26" s="77" t="s">
        <v>883</v>
      </c>
      <c r="E26" s="77" t="s">
        <v>884</v>
      </c>
      <c r="F26" s="120" t="s">
        <v>962</v>
      </c>
      <c r="G26" s="76" t="s">
        <v>113</v>
      </c>
      <c r="H26" s="121" t="s">
        <v>843</v>
      </c>
      <c r="I26" s="122"/>
      <c r="J26" s="123" t="s">
        <v>888</v>
      </c>
      <c r="K26" s="124">
        <v>2</v>
      </c>
      <c r="L26" s="117">
        <v>2</v>
      </c>
      <c r="M26" s="117">
        <v>1</v>
      </c>
      <c r="N26" s="116">
        <v>7</v>
      </c>
      <c r="O26" s="116">
        <v>3</v>
      </c>
      <c r="P26" s="116">
        <v>0</v>
      </c>
      <c r="Q26" s="116">
        <v>6</v>
      </c>
      <c r="R26" s="116">
        <v>2</v>
      </c>
      <c r="S26" s="116">
        <v>0</v>
      </c>
      <c r="T26" s="116">
        <v>2</v>
      </c>
      <c r="U26" s="116">
        <v>3</v>
      </c>
      <c r="V26" s="116">
        <v>0</v>
      </c>
      <c r="W26" s="116">
        <v>0</v>
      </c>
      <c r="X26" s="116">
        <v>0</v>
      </c>
      <c r="Y26" s="116">
        <v>0</v>
      </c>
      <c r="Z26" s="116">
        <v>10</v>
      </c>
      <c r="AA26" s="116">
        <v>1</v>
      </c>
      <c r="AB26" s="116">
        <v>0</v>
      </c>
      <c r="AC26" s="116">
        <v>0</v>
      </c>
      <c r="AD26" s="116">
        <v>0</v>
      </c>
      <c r="AE26" s="116">
        <v>0</v>
      </c>
      <c r="AF26" s="116">
        <v>0</v>
      </c>
      <c r="AG26" s="116">
        <v>0</v>
      </c>
      <c r="AH26" s="116">
        <v>0</v>
      </c>
      <c r="AI26" s="116">
        <v>1</v>
      </c>
      <c r="AJ26" s="117">
        <v>0</v>
      </c>
      <c r="AK26" s="117">
        <v>11</v>
      </c>
      <c r="AL26" s="117">
        <v>0</v>
      </c>
      <c r="AM26" s="117">
        <v>0</v>
      </c>
      <c r="AN26" s="117">
        <v>64</v>
      </c>
      <c r="AO26" s="117">
        <v>0</v>
      </c>
      <c r="AP26" s="117">
        <v>10</v>
      </c>
      <c r="AQ26" s="117">
        <v>65</v>
      </c>
    </row>
    <row r="27" spans="1:43" s="118" customFormat="1" ht="13.5" customHeight="1">
      <c r="A27" s="119">
        <v>25</v>
      </c>
      <c r="B27" s="76" t="s">
        <v>244</v>
      </c>
      <c r="C27" s="75" t="s">
        <v>882</v>
      </c>
      <c r="D27" s="77" t="s">
        <v>883</v>
      </c>
      <c r="E27" s="77" t="s">
        <v>884</v>
      </c>
      <c r="F27" s="120" t="s">
        <v>961</v>
      </c>
      <c r="G27" s="76" t="s">
        <v>245</v>
      </c>
      <c r="H27" s="121" t="s">
        <v>843</v>
      </c>
      <c r="I27" s="122" t="s">
        <v>842</v>
      </c>
      <c r="J27" s="123" t="s">
        <v>885</v>
      </c>
      <c r="K27" s="124">
        <v>2</v>
      </c>
      <c r="L27" s="117">
        <v>1</v>
      </c>
      <c r="M27" s="117">
        <v>1</v>
      </c>
      <c r="N27" s="116">
        <v>6</v>
      </c>
      <c r="O27" s="116">
        <v>3</v>
      </c>
      <c r="P27" s="116">
        <v>0</v>
      </c>
      <c r="Q27" s="116">
        <v>10</v>
      </c>
      <c r="R27" s="116">
        <v>2</v>
      </c>
      <c r="S27" s="116">
        <v>0</v>
      </c>
      <c r="T27" s="116">
        <v>0</v>
      </c>
      <c r="U27" s="116">
        <v>0</v>
      </c>
      <c r="V27" s="116">
        <v>0</v>
      </c>
      <c r="W27" s="116">
        <v>0</v>
      </c>
      <c r="X27" s="116">
        <v>0</v>
      </c>
      <c r="Y27" s="116">
        <v>0</v>
      </c>
      <c r="Z27" s="116">
        <v>0</v>
      </c>
      <c r="AA27" s="116">
        <v>0</v>
      </c>
      <c r="AB27" s="116">
        <v>0</v>
      </c>
      <c r="AC27" s="116">
        <v>0</v>
      </c>
      <c r="AD27" s="116">
        <v>0</v>
      </c>
      <c r="AE27" s="116">
        <v>0</v>
      </c>
      <c r="AF27" s="116">
        <v>15</v>
      </c>
      <c r="AG27" s="116">
        <v>4</v>
      </c>
      <c r="AH27" s="116">
        <v>0</v>
      </c>
      <c r="AI27" s="116">
        <v>1</v>
      </c>
      <c r="AJ27" s="117">
        <v>0</v>
      </c>
      <c r="AK27" s="117">
        <v>6</v>
      </c>
      <c r="AL27" s="117">
        <v>0</v>
      </c>
      <c r="AM27" s="117">
        <v>23</v>
      </c>
      <c r="AN27" s="117">
        <v>27</v>
      </c>
      <c r="AO27" s="117">
        <v>0</v>
      </c>
      <c r="AP27" s="117">
        <v>5</v>
      </c>
      <c r="AQ27" s="117">
        <v>51</v>
      </c>
    </row>
    <row r="28" spans="1:43" s="118" customFormat="1" ht="13.5" customHeight="1">
      <c r="A28" s="119">
        <v>26</v>
      </c>
      <c r="B28" s="76" t="s">
        <v>775</v>
      </c>
      <c r="C28" s="75" t="s">
        <v>882</v>
      </c>
      <c r="D28" s="77" t="s">
        <v>883</v>
      </c>
      <c r="E28" s="77" t="s">
        <v>884</v>
      </c>
      <c r="F28" s="120" t="s">
        <v>961</v>
      </c>
      <c r="G28" s="76" t="s">
        <v>776</v>
      </c>
      <c r="H28" s="121" t="s">
        <v>843</v>
      </c>
      <c r="I28" s="122" t="s">
        <v>842</v>
      </c>
      <c r="J28" s="123" t="s">
        <v>885</v>
      </c>
      <c r="K28" s="124">
        <v>2</v>
      </c>
      <c r="L28" s="117">
        <v>0</v>
      </c>
      <c r="M28" s="117">
        <v>0</v>
      </c>
      <c r="N28" s="116">
        <v>9</v>
      </c>
      <c r="O28" s="116">
        <v>10</v>
      </c>
      <c r="P28" s="116">
        <v>1</v>
      </c>
      <c r="Q28" s="116">
        <v>0</v>
      </c>
      <c r="R28" s="116">
        <v>0</v>
      </c>
      <c r="S28" s="116">
        <v>0</v>
      </c>
      <c r="T28" s="116">
        <v>1</v>
      </c>
      <c r="U28" s="116">
        <v>0</v>
      </c>
      <c r="V28" s="116">
        <v>0</v>
      </c>
      <c r="W28" s="116">
        <v>0</v>
      </c>
      <c r="X28" s="116">
        <v>1</v>
      </c>
      <c r="Y28" s="116">
        <v>0</v>
      </c>
      <c r="Z28" s="116">
        <v>5</v>
      </c>
      <c r="AA28" s="116">
        <v>7</v>
      </c>
      <c r="AB28" s="116">
        <v>6</v>
      </c>
      <c r="AC28" s="116">
        <v>0</v>
      </c>
      <c r="AD28" s="116">
        <v>0</v>
      </c>
      <c r="AE28" s="116">
        <v>0</v>
      </c>
      <c r="AF28" s="116">
        <v>0</v>
      </c>
      <c r="AG28" s="116">
        <v>0</v>
      </c>
      <c r="AH28" s="116">
        <v>0</v>
      </c>
      <c r="AI28" s="116">
        <v>1</v>
      </c>
      <c r="AJ28" s="117">
        <v>0</v>
      </c>
      <c r="AK28" s="117">
        <v>8</v>
      </c>
      <c r="AL28" s="117">
        <v>1</v>
      </c>
      <c r="AM28" s="117">
        <v>26</v>
      </c>
      <c r="AN28" s="117">
        <v>26</v>
      </c>
      <c r="AO28" s="117">
        <v>2</v>
      </c>
      <c r="AP28" s="117">
        <v>4</v>
      </c>
      <c r="AQ28" s="117">
        <v>56</v>
      </c>
    </row>
    <row r="29" spans="1:43" s="118" customFormat="1" ht="13.5" customHeight="1">
      <c r="A29" s="119">
        <v>27</v>
      </c>
      <c r="B29" s="76" t="s">
        <v>781</v>
      </c>
      <c r="C29" s="75" t="s">
        <v>882</v>
      </c>
      <c r="D29" s="77" t="s">
        <v>883</v>
      </c>
      <c r="E29" s="77" t="s">
        <v>884</v>
      </c>
      <c r="F29" s="120" t="s">
        <v>963</v>
      </c>
      <c r="G29" s="76" t="s">
        <v>782</v>
      </c>
      <c r="H29" s="121" t="s">
        <v>843</v>
      </c>
      <c r="I29" s="122"/>
      <c r="J29" s="123" t="s">
        <v>888</v>
      </c>
      <c r="K29" s="124">
        <v>2</v>
      </c>
      <c r="L29" s="117">
        <v>12</v>
      </c>
      <c r="M29" s="117">
        <v>11</v>
      </c>
      <c r="N29" s="116">
        <v>17</v>
      </c>
      <c r="O29" s="116">
        <v>10</v>
      </c>
      <c r="P29" s="116">
        <v>0</v>
      </c>
      <c r="Q29" s="116">
        <v>2</v>
      </c>
      <c r="R29" s="116">
        <v>1</v>
      </c>
      <c r="S29" s="116">
        <v>0</v>
      </c>
      <c r="T29" s="116">
        <v>0</v>
      </c>
      <c r="U29" s="116">
        <v>0</v>
      </c>
      <c r="V29" s="116">
        <v>0</v>
      </c>
      <c r="W29" s="116">
        <v>0</v>
      </c>
      <c r="X29" s="116">
        <v>0</v>
      </c>
      <c r="Y29" s="116">
        <v>0</v>
      </c>
      <c r="Z29" s="116">
        <v>18</v>
      </c>
      <c r="AA29" s="116">
        <v>10</v>
      </c>
      <c r="AB29" s="116">
        <v>0</v>
      </c>
      <c r="AC29" s="116">
        <v>0</v>
      </c>
      <c r="AD29" s="116">
        <v>0</v>
      </c>
      <c r="AE29" s="116">
        <v>0</v>
      </c>
      <c r="AF29" s="116">
        <v>0</v>
      </c>
      <c r="AG29" s="116">
        <v>0</v>
      </c>
      <c r="AH29" s="116">
        <v>0</v>
      </c>
      <c r="AI29" s="116">
        <v>1</v>
      </c>
      <c r="AJ29" s="117">
        <v>0</v>
      </c>
      <c r="AK29" s="117">
        <v>6</v>
      </c>
      <c r="AL29" s="117">
        <v>0</v>
      </c>
      <c r="AM29" s="117">
        <v>0</v>
      </c>
      <c r="AN29" s="117">
        <v>58</v>
      </c>
      <c r="AO29" s="117">
        <v>0</v>
      </c>
      <c r="AP29" s="117">
        <v>6</v>
      </c>
      <c r="AQ29" s="117">
        <v>58</v>
      </c>
    </row>
    <row r="30" spans="1:43" s="118" customFormat="1" ht="13.5" customHeight="1">
      <c r="A30" s="119">
        <v>28</v>
      </c>
      <c r="B30" s="76" t="s">
        <v>785</v>
      </c>
      <c r="C30" s="75" t="s">
        <v>882</v>
      </c>
      <c r="D30" s="77" t="s">
        <v>883</v>
      </c>
      <c r="E30" s="77" t="s">
        <v>884</v>
      </c>
      <c r="F30" s="120" t="s">
        <v>961</v>
      </c>
      <c r="G30" s="76" t="s">
        <v>786</v>
      </c>
      <c r="H30" s="121" t="s">
        <v>843</v>
      </c>
      <c r="I30" s="122"/>
      <c r="J30" s="123" t="s">
        <v>888</v>
      </c>
      <c r="K30" s="124">
        <v>2</v>
      </c>
      <c r="L30" s="117">
        <v>1</v>
      </c>
      <c r="M30" s="117">
        <v>1</v>
      </c>
      <c r="N30" s="116">
        <v>8</v>
      </c>
      <c r="O30" s="116">
        <v>1</v>
      </c>
      <c r="P30" s="116">
        <v>0</v>
      </c>
      <c r="Q30" s="116">
        <v>13</v>
      </c>
      <c r="R30" s="116">
        <v>4</v>
      </c>
      <c r="S30" s="116">
        <v>0</v>
      </c>
      <c r="T30" s="116">
        <v>0</v>
      </c>
      <c r="U30" s="116">
        <v>0</v>
      </c>
      <c r="V30" s="116">
        <v>0</v>
      </c>
      <c r="W30" s="116">
        <v>0</v>
      </c>
      <c r="X30" s="116">
        <v>0</v>
      </c>
      <c r="Y30" s="116">
        <v>0</v>
      </c>
      <c r="Z30" s="116">
        <v>0</v>
      </c>
      <c r="AA30" s="116">
        <v>0</v>
      </c>
      <c r="AB30" s="116">
        <v>0</v>
      </c>
      <c r="AC30" s="116">
        <v>0</v>
      </c>
      <c r="AD30" s="116">
        <v>0</v>
      </c>
      <c r="AE30" s="116">
        <v>0</v>
      </c>
      <c r="AF30" s="116">
        <v>21</v>
      </c>
      <c r="AG30" s="116">
        <v>5</v>
      </c>
      <c r="AH30" s="116">
        <v>0</v>
      </c>
      <c r="AI30" s="116">
        <v>1</v>
      </c>
      <c r="AJ30" s="117">
        <v>1</v>
      </c>
      <c r="AK30" s="117">
        <v>6</v>
      </c>
      <c r="AL30" s="117">
        <v>0</v>
      </c>
      <c r="AM30" s="117">
        <v>13</v>
      </c>
      <c r="AN30" s="117">
        <v>25</v>
      </c>
      <c r="AO30" s="117">
        <v>0</v>
      </c>
      <c r="AP30" s="117">
        <v>6</v>
      </c>
      <c r="AQ30" s="117">
        <v>39</v>
      </c>
    </row>
    <row r="31" spans="1:43" s="118" customFormat="1" ht="13.5" customHeight="1">
      <c r="A31" s="119">
        <v>29</v>
      </c>
      <c r="B31" s="76" t="s">
        <v>36</v>
      </c>
      <c r="C31" s="75" t="s">
        <v>882</v>
      </c>
      <c r="D31" s="77" t="s">
        <v>883</v>
      </c>
      <c r="E31" s="77" t="s">
        <v>884</v>
      </c>
      <c r="F31" s="120" t="s">
        <v>962</v>
      </c>
      <c r="G31" s="76" t="s">
        <v>37</v>
      </c>
      <c r="H31" s="121" t="s">
        <v>843</v>
      </c>
      <c r="I31" s="122" t="s">
        <v>842</v>
      </c>
      <c r="J31" s="123" t="s">
        <v>888</v>
      </c>
      <c r="K31" s="124">
        <v>2</v>
      </c>
      <c r="L31" s="117">
        <v>1</v>
      </c>
      <c r="M31" s="117">
        <v>1</v>
      </c>
      <c r="N31" s="116">
        <v>19</v>
      </c>
      <c r="O31" s="116">
        <v>4</v>
      </c>
      <c r="P31" s="116">
        <v>0</v>
      </c>
      <c r="Q31" s="116">
        <v>0</v>
      </c>
      <c r="R31" s="116">
        <v>0</v>
      </c>
      <c r="S31" s="116">
        <v>0</v>
      </c>
      <c r="T31" s="116">
        <v>0</v>
      </c>
      <c r="U31" s="116">
        <v>0</v>
      </c>
      <c r="V31" s="116">
        <v>0</v>
      </c>
      <c r="W31" s="116">
        <v>0</v>
      </c>
      <c r="X31" s="116">
        <v>0</v>
      </c>
      <c r="Y31" s="116">
        <v>0</v>
      </c>
      <c r="Z31" s="116">
        <v>18</v>
      </c>
      <c r="AA31" s="116">
        <v>3</v>
      </c>
      <c r="AB31" s="116">
        <v>0</v>
      </c>
      <c r="AC31" s="116">
        <v>0</v>
      </c>
      <c r="AD31" s="116">
        <v>0</v>
      </c>
      <c r="AE31" s="116">
        <v>0</v>
      </c>
      <c r="AF31" s="116">
        <v>0</v>
      </c>
      <c r="AG31" s="116">
        <v>0</v>
      </c>
      <c r="AH31" s="116">
        <v>0</v>
      </c>
      <c r="AI31" s="116">
        <v>1</v>
      </c>
      <c r="AJ31" s="117">
        <v>0</v>
      </c>
      <c r="AK31" s="117">
        <v>6</v>
      </c>
      <c r="AL31" s="117">
        <v>0</v>
      </c>
      <c r="AM31" s="117">
        <v>0</v>
      </c>
      <c r="AN31" s="117">
        <v>47</v>
      </c>
      <c r="AO31" s="117">
        <v>0</v>
      </c>
      <c r="AP31" s="117">
        <v>5</v>
      </c>
      <c r="AQ31" s="117">
        <v>48</v>
      </c>
    </row>
    <row r="32" spans="1:43" s="118" customFormat="1" ht="13.5" customHeight="1">
      <c r="A32" s="119">
        <v>30</v>
      </c>
      <c r="B32" s="76" t="s">
        <v>803</v>
      </c>
      <c r="C32" s="75" t="s">
        <v>882</v>
      </c>
      <c r="D32" s="77" t="s">
        <v>883</v>
      </c>
      <c r="E32" s="77" t="s">
        <v>884</v>
      </c>
      <c r="F32" s="120" t="s">
        <v>961</v>
      </c>
      <c r="G32" s="76" t="s">
        <v>804</v>
      </c>
      <c r="H32" s="121" t="s">
        <v>843</v>
      </c>
      <c r="I32" s="122"/>
      <c r="J32" s="123" t="s">
        <v>885</v>
      </c>
      <c r="K32" s="124">
        <v>2</v>
      </c>
      <c r="L32" s="117">
        <v>1</v>
      </c>
      <c r="M32" s="117">
        <v>1</v>
      </c>
      <c r="N32" s="116">
        <v>7</v>
      </c>
      <c r="O32" s="116">
        <v>1</v>
      </c>
      <c r="P32" s="116">
        <v>0</v>
      </c>
      <c r="Q32" s="116">
        <v>2</v>
      </c>
      <c r="R32" s="116">
        <v>4</v>
      </c>
      <c r="S32" s="116">
        <v>0</v>
      </c>
      <c r="T32" s="116">
        <v>0</v>
      </c>
      <c r="U32" s="116">
        <v>0</v>
      </c>
      <c r="V32" s="116">
        <v>0</v>
      </c>
      <c r="W32" s="116">
        <v>0</v>
      </c>
      <c r="X32" s="116">
        <v>0</v>
      </c>
      <c r="Y32" s="116">
        <v>0</v>
      </c>
      <c r="Z32" s="116">
        <v>0</v>
      </c>
      <c r="AA32" s="116">
        <v>0</v>
      </c>
      <c r="AB32" s="116">
        <v>0</v>
      </c>
      <c r="AC32" s="116">
        <v>9</v>
      </c>
      <c r="AD32" s="116">
        <v>4</v>
      </c>
      <c r="AE32" s="116">
        <v>0</v>
      </c>
      <c r="AF32" s="116">
        <v>0</v>
      </c>
      <c r="AG32" s="116">
        <v>0</v>
      </c>
      <c r="AH32" s="116">
        <v>0</v>
      </c>
      <c r="AI32" s="116">
        <v>1</v>
      </c>
      <c r="AJ32" s="117">
        <v>0</v>
      </c>
      <c r="AK32" s="117">
        <v>11</v>
      </c>
      <c r="AL32" s="117">
        <v>0</v>
      </c>
      <c r="AM32" s="117">
        <v>19</v>
      </c>
      <c r="AN32" s="117">
        <v>19</v>
      </c>
      <c r="AO32" s="117">
        <v>0</v>
      </c>
      <c r="AP32" s="117">
        <v>7</v>
      </c>
      <c r="AQ32" s="117">
        <v>42</v>
      </c>
    </row>
    <row r="33" spans="1:43" s="118" customFormat="1" ht="13.5" customHeight="1">
      <c r="A33" s="119">
        <v>31</v>
      </c>
      <c r="B33" s="76" t="s">
        <v>181</v>
      </c>
      <c r="C33" s="75" t="s">
        <v>882</v>
      </c>
      <c r="D33" s="77" t="s">
        <v>883</v>
      </c>
      <c r="E33" s="77" t="s">
        <v>884</v>
      </c>
      <c r="F33" s="120" t="s">
        <v>960</v>
      </c>
      <c r="G33" s="76" t="s">
        <v>182</v>
      </c>
      <c r="H33" s="121" t="s">
        <v>843</v>
      </c>
      <c r="I33" s="122"/>
      <c r="J33" s="123" t="s">
        <v>888</v>
      </c>
      <c r="K33" s="124">
        <v>2</v>
      </c>
      <c r="L33" s="117">
        <v>1</v>
      </c>
      <c r="M33" s="117">
        <v>1</v>
      </c>
      <c r="N33" s="116">
        <v>11</v>
      </c>
      <c r="O33" s="116">
        <v>3</v>
      </c>
      <c r="P33" s="116">
        <v>0</v>
      </c>
      <c r="Q33" s="116">
        <v>0</v>
      </c>
      <c r="R33" s="116">
        <v>0</v>
      </c>
      <c r="S33" s="116">
        <v>0</v>
      </c>
      <c r="T33" s="116">
        <v>0</v>
      </c>
      <c r="U33" s="116">
        <v>0</v>
      </c>
      <c r="V33" s="116">
        <v>0</v>
      </c>
      <c r="W33" s="116">
        <v>0</v>
      </c>
      <c r="X33" s="116">
        <v>0</v>
      </c>
      <c r="Y33" s="116">
        <v>0</v>
      </c>
      <c r="Z33" s="116">
        <v>10</v>
      </c>
      <c r="AA33" s="116">
        <v>2</v>
      </c>
      <c r="AB33" s="116">
        <v>0</v>
      </c>
      <c r="AC33" s="116">
        <v>0</v>
      </c>
      <c r="AD33" s="116">
        <v>0</v>
      </c>
      <c r="AE33" s="116">
        <v>0</v>
      </c>
      <c r="AF33" s="116">
        <v>0</v>
      </c>
      <c r="AG33" s="116">
        <v>0</v>
      </c>
      <c r="AH33" s="116">
        <v>0</v>
      </c>
      <c r="AI33" s="116">
        <v>1</v>
      </c>
      <c r="AJ33" s="117">
        <v>0</v>
      </c>
      <c r="AK33" s="117">
        <v>5</v>
      </c>
      <c r="AL33" s="117">
        <v>0</v>
      </c>
      <c r="AM33" s="117">
        <v>0</v>
      </c>
      <c r="AN33" s="117">
        <v>27</v>
      </c>
      <c r="AO33" s="117">
        <v>0</v>
      </c>
      <c r="AP33" s="117">
        <v>4</v>
      </c>
      <c r="AQ33" s="117">
        <v>28</v>
      </c>
    </row>
    <row r="34" spans="1:43" s="118" customFormat="1" ht="16.5" customHeight="1">
      <c r="A34" s="119">
        <v>32</v>
      </c>
      <c r="B34" s="76" t="s">
        <v>39</v>
      </c>
      <c r="C34" s="75" t="s">
        <v>882</v>
      </c>
      <c r="D34" s="77" t="s">
        <v>883</v>
      </c>
      <c r="E34" s="77" t="s">
        <v>884</v>
      </c>
      <c r="F34" s="120" t="s">
        <v>962</v>
      </c>
      <c r="G34" s="76" t="s">
        <v>40</v>
      </c>
      <c r="H34" s="121" t="s">
        <v>843</v>
      </c>
      <c r="I34" s="122"/>
      <c r="J34" s="123" t="s">
        <v>885</v>
      </c>
      <c r="K34" s="124">
        <v>2</v>
      </c>
      <c r="L34" s="117">
        <v>1</v>
      </c>
      <c r="M34" s="117">
        <v>1</v>
      </c>
      <c r="N34" s="116">
        <v>11</v>
      </c>
      <c r="O34" s="116">
        <v>5</v>
      </c>
      <c r="P34" s="116">
        <v>0</v>
      </c>
      <c r="Q34" s="116">
        <v>3</v>
      </c>
      <c r="R34" s="116">
        <v>3</v>
      </c>
      <c r="S34" s="116">
        <v>0</v>
      </c>
      <c r="T34" s="116">
        <v>0</v>
      </c>
      <c r="U34" s="116">
        <v>0</v>
      </c>
      <c r="V34" s="116">
        <v>0</v>
      </c>
      <c r="W34" s="116">
        <v>0</v>
      </c>
      <c r="X34" s="116">
        <v>0</v>
      </c>
      <c r="Y34" s="116">
        <v>0</v>
      </c>
      <c r="Z34" s="116">
        <v>0</v>
      </c>
      <c r="AA34" s="116">
        <v>0</v>
      </c>
      <c r="AB34" s="116">
        <v>0</v>
      </c>
      <c r="AC34" s="116">
        <v>13</v>
      </c>
      <c r="AD34" s="116">
        <v>7</v>
      </c>
      <c r="AE34" s="116">
        <v>0</v>
      </c>
      <c r="AF34" s="116">
        <v>0</v>
      </c>
      <c r="AG34" s="116">
        <v>0</v>
      </c>
      <c r="AH34" s="116">
        <v>0</v>
      </c>
      <c r="AI34" s="116">
        <v>1</v>
      </c>
      <c r="AJ34" s="117">
        <v>0</v>
      </c>
      <c r="AK34" s="117">
        <v>5</v>
      </c>
      <c r="AL34" s="117">
        <v>0</v>
      </c>
      <c r="AM34" s="117">
        <v>0</v>
      </c>
      <c r="AN34" s="117">
        <v>43</v>
      </c>
      <c r="AO34" s="117">
        <v>0</v>
      </c>
      <c r="AP34" s="117">
        <v>5</v>
      </c>
      <c r="AQ34" s="117">
        <v>43</v>
      </c>
    </row>
    <row r="35" spans="1:43" s="118" customFormat="1" ht="13.5" customHeight="1">
      <c r="A35" s="119">
        <v>33</v>
      </c>
      <c r="B35" s="76" t="s">
        <v>265</v>
      </c>
      <c r="C35" s="75" t="s">
        <v>882</v>
      </c>
      <c r="D35" s="77" t="s">
        <v>883</v>
      </c>
      <c r="E35" s="77" t="s">
        <v>884</v>
      </c>
      <c r="F35" s="120" t="s">
        <v>961</v>
      </c>
      <c r="G35" s="76" t="s">
        <v>266</v>
      </c>
      <c r="H35" s="121" t="s">
        <v>843</v>
      </c>
      <c r="I35" s="122" t="s">
        <v>842</v>
      </c>
      <c r="J35" s="123" t="s">
        <v>888</v>
      </c>
      <c r="K35" s="124">
        <v>2</v>
      </c>
      <c r="L35" s="117">
        <v>1</v>
      </c>
      <c r="M35" s="117">
        <v>1</v>
      </c>
      <c r="N35" s="116">
        <v>10</v>
      </c>
      <c r="O35" s="116">
        <v>3</v>
      </c>
      <c r="P35" s="116">
        <v>0</v>
      </c>
      <c r="Q35" s="116">
        <v>0</v>
      </c>
      <c r="R35" s="116">
        <v>0</v>
      </c>
      <c r="S35" s="116">
        <v>0</v>
      </c>
      <c r="T35" s="116">
        <v>1</v>
      </c>
      <c r="U35" s="116">
        <v>1</v>
      </c>
      <c r="V35" s="116">
        <v>0</v>
      </c>
      <c r="W35" s="116">
        <v>0</v>
      </c>
      <c r="X35" s="116">
        <v>0</v>
      </c>
      <c r="Y35" s="116">
        <v>0</v>
      </c>
      <c r="Z35" s="116">
        <v>5</v>
      </c>
      <c r="AA35" s="116">
        <v>0</v>
      </c>
      <c r="AB35" s="116">
        <v>0</v>
      </c>
      <c r="AC35" s="116">
        <v>0</v>
      </c>
      <c r="AD35" s="116">
        <v>0</v>
      </c>
      <c r="AE35" s="116">
        <v>0</v>
      </c>
      <c r="AF35" s="116">
        <v>4</v>
      </c>
      <c r="AG35" s="116">
        <v>1</v>
      </c>
      <c r="AH35" s="116">
        <v>0</v>
      </c>
      <c r="AI35" s="116">
        <v>1</v>
      </c>
      <c r="AJ35" s="117">
        <v>0</v>
      </c>
      <c r="AK35" s="117">
        <v>6</v>
      </c>
      <c r="AL35" s="117">
        <v>0</v>
      </c>
      <c r="AM35" s="117">
        <v>14</v>
      </c>
      <c r="AN35" s="117">
        <v>20</v>
      </c>
      <c r="AO35" s="117">
        <v>2</v>
      </c>
      <c r="AP35" s="117">
        <v>3</v>
      </c>
      <c r="AQ35" s="117">
        <v>35</v>
      </c>
    </row>
    <row r="36" spans="1:43" s="118" customFormat="1" ht="13.5" customHeight="1">
      <c r="A36" s="119">
        <v>34</v>
      </c>
      <c r="B36" s="76" t="s">
        <v>184</v>
      </c>
      <c r="C36" s="75" t="s">
        <v>882</v>
      </c>
      <c r="D36" s="77" t="s">
        <v>883</v>
      </c>
      <c r="E36" s="77" t="s">
        <v>884</v>
      </c>
      <c r="F36" s="120" t="s">
        <v>960</v>
      </c>
      <c r="G36" s="76" t="s">
        <v>185</v>
      </c>
      <c r="H36" s="121" t="s">
        <v>843</v>
      </c>
      <c r="I36" s="122"/>
      <c r="J36" s="123" t="s">
        <v>888</v>
      </c>
      <c r="K36" s="124">
        <v>2</v>
      </c>
      <c r="L36" s="117">
        <v>3</v>
      </c>
      <c r="M36" s="117">
        <v>1</v>
      </c>
      <c r="N36" s="116">
        <v>21</v>
      </c>
      <c r="O36" s="116">
        <v>3</v>
      </c>
      <c r="P36" s="116">
        <v>0</v>
      </c>
      <c r="Q36" s="116">
        <v>3</v>
      </c>
      <c r="R36" s="116">
        <v>0</v>
      </c>
      <c r="S36" s="116">
        <v>0</v>
      </c>
      <c r="T36" s="116">
        <v>0</v>
      </c>
      <c r="U36" s="116">
        <v>0</v>
      </c>
      <c r="V36" s="116">
        <v>0</v>
      </c>
      <c r="W36" s="116">
        <v>1</v>
      </c>
      <c r="X36" s="116">
        <v>0</v>
      </c>
      <c r="Y36" s="116">
        <v>0</v>
      </c>
      <c r="Z36" s="116">
        <v>23</v>
      </c>
      <c r="AA36" s="116">
        <v>2</v>
      </c>
      <c r="AB36" s="116">
        <v>0</v>
      </c>
      <c r="AC36" s="116">
        <v>0</v>
      </c>
      <c r="AD36" s="116">
        <v>0</v>
      </c>
      <c r="AE36" s="116">
        <v>0</v>
      </c>
      <c r="AF36" s="116">
        <v>0</v>
      </c>
      <c r="AG36" s="116">
        <v>0</v>
      </c>
      <c r="AH36" s="116">
        <v>0</v>
      </c>
      <c r="AI36" s="116">
        <v>1</v>
      </c>
      <c r="AJ36" s="117">
        <v>0</v>
      </c>
      <c r="AK36" s="117">
        <v>7</v>
      </c>
      <c r="AL36" s="117">
        <v>0</v>
      </c>
      <c r="AM36" s="117">
        <v>0</v>
      </c>
      <c r="AN36" s="117">
        <v>29</v>
      </c>
      <c r="AO36" s="117">
        <v>0</v>
      </c>
      <c r="AP36" s="117">
        <v>3</v>
      </c>
      <c r="AQ36" s="117">
        <v>30</v>
      </c>
    </row>
    <row r="37" spans="1:43" s="118" customFormat="1" ht="13.5" customHeight="1">
      <c r="A37" s="119">
        <v>35</v>
      </c>
      <c r="B37" s="76" t="s">
        <v>811</v>
      </c>
      <c r="C37" s="75" t="s">
        <v>882</v>
      </c>
      <c r="D37" s="77" t="s">
        <v>883</v>
      </c>
      <c r="E37" s="77" t="s">
        <v>884</v>
      </c>
      <c r="F37" s="120" t="s">
        <v>961</v>
      </c>
      <c r="G37" s="76" t="s">
        <v>812</v>
      </c>
      <c r="H37" s="121" t="s">
        <v>843</v>
      </c>
      <c r="I37" s="122"/>
      <c r="J37" s="123" t="s">
        <v>888</v>
      </c>
      <c r="K37" s="124">
        <v>2</v>
      </c>
      <c r="L37" s="117">
        <v>2</v>
      </c>
      <c r="M37" s="117">
        <v>2</v>
      </c>
      <c r="N37" s="116">
        <v>14</v>
      </c>
      <c r="O37" s="116">
        <v>1</v>
      </c>
      <c r="P37" s="116">
        <v>0</v>
      </c>
      <c r="Q37" s="116">
        <v>18</v>
      </c>
      <c r="R37" s="116">
        <v>3</v>
      </c>
      <c r="S37" s="116">
        <v>0</v>
      </c>
      <c r="T37" s="116">
        <v>0</v>
      </c>
      <c r="U37" s="116">
        <v>0</v>
      </c>
      <c r="V37" s="116">
        <v>0</v>
      </c>
      <c r="W37" s="116">
        <v>0</v>
      </c>
      <c r="X37" s="116">
        <v>0</v>
      </c>
      <c r="Y37" s="116">
        <v>0</v>
      </c>
      <c r="Z37" s="116">
        <v>31</v>
      </c>
      <c r="AA37" s="116">
        <v>3</v>
      </c>
      <c r="AB37" s="116">
        <v>0</v>
      </c>
      <c r="AC37" s="116">
        <v>0</v>
      </c>
      <c r="AD37" s="116">
        <v>0</v>
      </c>
      <c r="AE37" s="116">
        <v>0</v>
      </c>
      <c r="AF37" s="116">
        <v>0</v>
      </c>
      <c r="AG37" s="116">
        <v>0</v>
      </c>
      <c r="AH37" s="116">
        <v>0</v>
      </c>
      <c r="AI37" s="116">
        <v>1</v>
      </c>
      <c r="AJ37" s="117">
        <v>2</v>
      </c>
      <c r="AK37" s="117">
        <v>11</v>
      </c>
      <c r="AL37" s="117">
        <v>0</v>
      </c>
      <c r="AM37" s="117">
        <v>5</v>
      </c>
      <c r="AN37" s="117">
        <v>48</v>
      </c>
      <c r="AO37" s="117">
        <v>0</v>
      </c>
      <c r="AP37" s="117">
        <v>5</v>
      </c>
      <c r="AQ37" s="117">
        <v>57</v>
      </c>
    </row>
    <row r="38" spans="1:43" s="118" customFormat="1" ht="13.5" customHeight="1">
      <c r="A38" s="119">
        <v>36</v>
      </c>
      <c r="B38" s="76" t="s">
        <v>187</v>
      </c>
      <c r="C38" s="75" t="s">
        <v>882</v>
      </c>
      <c r="D38" s="77" t="s">
        <v>883</v>
      </c>
      <c r="E38" s="77" t="s">
        <v>884</v>
      </c>
      <c r="F38" s="120" t="s">
        <v>960</v>
      </c>
      <c r="G38" s="76" t="s">
        <v>188</v>
      </c>
      <c r="H38" s="121" t="s">
        <v>843</v>
      </c>
      <c r="I38" s="122"/>
      <c r="J38" s="123" t="s">
        <v>888</v>
      </c>
      <c r="K38" s="124">
        <v>2</v>
      </c>
      <c r="L38" s="117">
        <v>1</v>
      </c>
      <c r="M38" s="117">
        <v>1</v>
      </c>
      <c r="N38" s="116">
        <v>9</v>
      </c>
      <c r="O38" s="116">
        <v>2</v>
      </c>
      <c r="P38" s="116">
        <v>2</v>
      </c>
      <c r="Q38" s="116">
        <v>11</v>
      </c>
      <c r="R38" s="116">
        <v>3</v>
      </c>
      <c r="S38" s="116">
        <v>1</v>
      </c>
      <c r="T38" s="116">
        <v>0</v>
      </c>
      <c r="U38" s="116">
        <v>0</v>
      </c>
      <c r="V38" s="116">
        <v>0</v>
      </c>
      <c r="W38" s="116">
        <v>0</v>
      </c>
      <c r="X38" s="116">
        <v>0</v>
      </c>
      <c r="Y38" s="116">
        <v>0</v>
      </c>
      <c r="Z38" s="116">
        <v>0</v>
      </c>
      <c r="AA38" s="116">
        <v>0</v>
      </c>
      <c r="AB38" s="116">
        <v>0</v>
      </c>
      <c r="AC38" s="116">
        <v>18</v>
      </c>
      <c r="AD38" s="116">
        <v>4</v>
      </c>
      <c r="AE38" s="116">
        <v>6</v>
      </c>
      <c r="AF38" s="116">
        <v>0</v>
      </c>
      <c r="AG38" s="116">
        <v>0</v>
      </c>
      <c r="AH38" s="116">
        <v>0</v>
      </c>
      <c r="AI38" s="116">
        <v>1</v>
      </c>
      <c r="AJ38" s="117">
        <v>0</v>
      </c>
      <c r="AK38" s="117">
        <v>6</v>
      </c>
      <c r="AL38" s="117">
        <v>0</v>
      </c>
      <c r="AM38" s="117">
        <v>0</v>
      </c>
      <c r="AN38" s="117">
        <v>20</v>
      </c>
      <c r="AO38" s="117">
        <v>0</v>
      </c>
      <c r="AP38" s="117">
        <v>5</v>
      </c>
      <c r="AQ38" s="117">
        <v>20</v>
      </c>
    </row>
    <row r="39" spans="1:43" s="118" customFormat="1" ht="13.5" customHeight="1">
      <c r="A39" s="119">
        <v>37</v>
      </c>
      <c r="B39" s="76" t="s">
        <v>813</v>
      </c>
      <c r="C39" s="75" t="s">
        <v>882</v>
      </c>
      <c r="D39" s="77" t="s">
        <v>883</v>
      </c>
      <c r="E39" s="77" t="s">
        <v>884</v>
      </c>
      <c r="F39" s="120" t="s">
        <v>961</v>
      </c>
      <c r="G39" s="76" t="s">
        <v>814</v>
      </c>
      <c r="H39" s="121" t="s">
        <v>843</v>
      </c>
      <c r="I39" s="122"/>
      <c r="J39" s="123" t="s">
        <v>885</v>
      </c>
      <c r="K39" s="124">
        <v>2</v>
      </c>
      <c r="L39" s="117">
        <v>0</v>
      </c>
      <c r="M39" s="117">
        <v>0</v>
      </c>
      <c r="N39" s="116">
        <v>9</v>
      </c>
      <c r="O39" s="116">
        <v>1</v>
      </c>
      <c r="P39" s="116">
        <v>1</v>
      </c>
      <c r="Q39" s="116">
        <v>1</v>
      </c>
      <c r="R39" s="116">
        <v>0</v>
      </c>
      <c r="S39" s="116">
        <v>0</v>
      </c>
      <c r="T39" s="116">
        <v>0</v>
      </c>
      <c r="U39" s="116">
        <v>0</v>
      </c>
      <c r="V39" s="116">
        <v>0</v>
      </c>
      <c r="W39" s="116">
        <v>0</v>
      </c>
      <c r="X39" s="116">
        <v>0</v>
      </c>
      <c r="Y39" s="116">
        <v>0</v>
      </c>
      <c r="Z39" s="116">
        <v>0</v>
      </c>
      <c r="AA39" s="116">
        <v>0</v>
      </c>
      <c r="AB39" s="116">
        <v>0</v>
      </c>
      <c r="AC39" s="116">
        <v>0</v>
      </c>
      <c r="AD39" s="116">
        <v>0</v>
      </c>
      <c r="AE39" s="116">
        <v>0</v>
      </c>
      <c r="AF39" s="116">
        <v>8</v>
      </c>
      <c r="AG39" s="116">
        <v>1</v>
      </c>
      <c r="AH39" s="116">
        <v>3</v>
      </c>
      <c r="AI39" s="116">
        <v>1</v>
      </c>
      <c r="AJ39" s="117">
        <v>0</v>
      </c>
      <c r="AK39" s="117">
        <v>6</v>
      </c>
      <c r="AL39" s="117">
        <v>0</v>
      </c>
      <c r="AM39" s="117">
        <v>14</v>
      </c>
      <c r="AN39" s="117">
        <v>13</v>
      </c>
      <c r="AO39" s="117">
        <v>0</v>
      </c>
      <c r="AP39" s="117">
        <v>3</v>
      </c>
      <c r="AQ39" s="117">
        <v>30</v>
      </c>
    </row>
    <row r="40" spans="1:43" s="118" customFormat="1" ht="13.5" customHeight="1">
      <c r="A40" s="119">
        <v>38</v>
      </c>
      <c r="B40" s="76" t="s">
        <v>268</v>
      </c>
      <c r="C40" s="75" t="s">
        <v>882</v>
      </c>
      <c r="D40" s="77" t="s">
        <v>883</v>
      </c>
      <c r="E40" s="77" t="s">
        <v>884</v>
      </c>
      <c r="F40" s="120" t="s">
        <v>961</v>
      </c>
      <c r="G40" s="76" t="s">
        <v>269</v>
      </c>
      <c r="H40" s="121" t="s">
        <v>843</v>
      </c>
      <c r="I40" s="122"/>
      <c r="J40" s="123" t="s">
        <v>888</v>
      </c>
      <c r="K40" s="124">
        <v>2</v>
      </c>
      <c r="L40" s="117">
        <v>1</v>
      </c>
      <c r="M40" s="117">
        <v>1</v>
      </c>
      <c r="N40" s="116">
        <v>6</v>
      </c>
      <c r="O40" s="116">
        <v>1</v>
      </c>
      <c r="P40" s="116">
        <v>0</v>
      </c>
      <c r="Q40" s="116">
        <v>3</v>
      </c>
      <c r="R40" s="116">
        <v>2</v>
      </c>
      <c r="S40" s="116">
        <v>0</v>
      </c>
      <c r="T40" s="116">
        <v>0</v>
      </c>
      <c r="U40" s="116">
        <v>0</v>
      </c>
      <c r="V40" s="116">
        <v>0</v>
      </c>
      <c r="W40" s="116">
        <v>0</v>
      </c>
      <c r="X40" s="116">
        <v>0</v>
      </c>
      <c r="Y40" s="116">
        <v>0</v>
      </c>
      <c r="Z40" s="116">
        <v>8</v>
      </c>
      <c r="AA40" s="116">
        <v>2</v>
      </c>
      <c r="AB40" s="116">
        <v>0</v>
      </c>
      <c r="AC40" s="116">
        <v>0</v>
      </c>
      <c r="AD40" s="116">
        <v>0</v>
      </c>
      <c r="AE40" s="116">
        <v>0</v>
      </c>
      <c r="AF40" s="116">
        <v>0</v>
      </c>
      <c r="AG40" s="116">
        <v>0</v>
      </c>
      <c r="AH40" s="116">
        <v>0</v>
      </c>
      <c r="AI40" s="116">
        <v>1</v>
      </c>
      <c r="AJ40" s="117">
        <v>1</v>
      </c>
      <c r="AK40" s="117">
        <v>2</v>
      </c>
      <c r="AL40" s="117">
        <v>0</v>
      </c>
      <c r="AM40" s="117">
        <v>2</v>
      </c>
      <c r="AN40" s="117">
        <v>11</v>
      </c>
      <c r="AO40" s="117">
        <v>0</v>
      </c>
      <c r="AP40" s="117">
        <v>2</v>
      </c>
      <c r="AQ40" s="117">
        <v>14</v>
      </c>
    </row>
    <row r="41" spans="1:43" s="118" customFormat="1" ht="13.5" customHeight="1">
      <c r="A41" s="119">
        <v>39</v>
      </c>
      <c r="B41" s="76" t="s">
        <v>815</v>
      </c>
      <c r="C41" s="75" t="s">
        <v>882</v>
      </c>
      <c r="D41" s="77" t="s">
        <v>883</v>
      </c>
      <c r="E41" s="77" t="s">
        <v>884</v>
      </c>
      <c r="F41" s="120" t="s">
        <v>960</v>
      </c>
      <c r="G41" s="76" t="s">
        <v>816</v>
      </c>
      <c r="H41" s="121" t="s">
        <v>843</v>
      </c>
      <c r="I41" s="122"/>
      <c r="J41" s="123" t="s">
        <v>888</v>
      </c>
      <c r="K41" s="124">
        <v>2</v>
      </c>
      <c r="L41" s="117">
        <v>0</v>
      </c>
      <c r="M41" s="117">
        <v>0</v>
      </c>
      <c r="N41" s="116">
        <v>9</v>
      </c>
      <c r="O41" s="116">
        <v>2</v>
      </c>
      <c r="P41" s="116">
        <v>1</v>
      </c>
      <c r="Q41" s="116">
        <v>0</v>
      </c>
      <c r="R41" s="116">
        <v>0</v>
      </c>
      <c r="S41" s="116">
        <v>0</v>
      </c>
      <c r="T41" s="116">
        <v>0</v>
      </c>
      <c r="U41" s="116">
        <v>0</v>
      </c>
      <c r="V41" s="116">
        <v>0</v>
      </c>
      <c r="W41" s="116">
        <v>1</v>
      </c>
      <c r="X41" s="116">
        <v>1</v>
      </c>
      <c r="Y41" s="116">
        <v>1</v>
      </c>
      <c r="Z41" s="116">
        <v>7</v>
      </c>
      <c r="AA41" s="116">
        <v>1</v>
      </c>
      <c r="AB41" s="116">
        <v>2</v>
      </c>
      <c r="AC41" s="116">
        <v>0</v>
      </c>
      <c r="AD41" s="116">
        <v>0</v>
      </c>
      <c r="AE41" s="116">
        <v>0</v>
      </c>
      <c r="AF41" s="116">
        <v>0</v>
      </c>
      <c r="AG41" s="116">
        <v>0</v>
      </c>
      <c r="AH41" s="116">
        <v>0</v>
      </c>
      <c r="AI41" s="116">
        <v>1</v>
      </c>
      <c r="AJ41" s="117">
        <v>0</v>
      </c>
      <c r="AK41" s="117">
        <v>6</v>
      </c>
      <c r="AL41" s="117">
        <v>0</v>
      </c>
      <c r="AM41" s="117">
        <v>0</v>
      </c>
      <c r="AN41" s="117">
        <v>32</v>
      </c>
      <c r="AO41" s="117">
        <v>1</v>
      </c>
      <c r="AP41" s="117">
        <v>4</v>
      </c>
      <c r="AQ41" s="117">
        <v>33</v>
      </c>
    </row>
    <row r="42" spans="1:43" s="118" customFormat="1" ht="13.5" customHeight="1">
      <c r="A42" s="119">
        <v>40</v>
      </c>
      <c r="B42" s="76" t="s">
        <v>835</v>
      </c>
      <c r="C42" s="75" t="s">
        <v>882</v>
      </c>
      <c r="D42" s="77" t="s">
        <v>883</v>
      </c>
      <c r="E42" s="77" t="s">
        <v>884</v>
      </c>
      <c r="F42" s="120" t="s">
        <v>960</v>
      </c>
      <c r="G42" s="76" t="s">
        <v>836</v>
      </c>
      <c r="H42" s="121" t="s">
        <v>843</v>
      </c>
      <c r="I42" s="122"/>
      <c r="J42" s="123" t="s">
        <v>888</v>
      </c>
      <c r="K42" s="124">
        <v>2</v>
      </c>
      <c r="L42" s="117">
        <v>1</v>
      </c>
      <c r="M42" s="117">
        <v>1</v>
      </c>
      <c r="N42" s="116">
        <v>6</v>
      </c>
      <c r="O42" s="116">
        <v>2</v>
      </c>
      <c r="P42" s="116">
        <v>0</v>
      </c>
      <c r="Q42" s="116">
        <v>2</v>
      </c>
      <c r="R42" s="116">
        <v>1</v>
      </c>
      <c r="S42" s="116">
        <v>0</v>
      </c>
      <c r="T42" s="116">
        <v>2</v>
      </c>
      <c r="U42" s="116">
        <v>0</v>
      </c>
      <c r="V42" s="116">
        <v>0</v>
      </c>
      <c r="W42" s="116">
        <v>0</v>
      </c>
      <c r="X42" s="116">
        <v>0</v>
      </c>
      <c r="Y42" s="116">
        <v>0</v>
      </c>
      <c r="Z42" s="116">
        <v>4</v>
      </c>
      <c r="AA42" s="116">
        <v>0</v>
      </c>
      <c r="AB42" s="116">
        <v>0</v>
      </c>
      <c r="AC42" s="116">
        <v>0</v>
      </c>
      <c r="AD42" s="116">
        <v>0</v>
      </c>
      <c r="AE42" s="116">
        <v>0</v>
      </c>
      <c r="AF42" s="116">
        <v>1</v>
      </c>
      <c r="AG42" s="116">
        <v>2</v>
      </c>
      <c r="AH42" s="116">
        <v>0</v>
      </c>
      <c r="AI42" s="116">
        <v>1</v>
      </c>
      <c r="AJ42" s="117">
        <v>0</v>
      </c>
      <c r="AK42" s="117">
        <v>4</v>
      </c>
      <c r="AL42" s="117">
        <v>0</v>
      </c>
      <c r="AM42" s="117">
        <v>0</v>
      </c>
      <c r="AN42" s="117">
        <v>23</v>
      </c>
      <c r="AO42" s="117">
        <v>1</v>
      </c>
      <c r="AP42" s="117">
        <v>3</v>
      </c>
      <c r="AQ42" s="117">
        <v>23</v>
      </c>
    </row>
    <row r="43" spans="1:43" s="118" customFormat="1" ht="13.5" customHeight="1">
      <c r="A43" s="119">
        <v>41</v>
      </c>
      <c r="B43" s="76" t="s">
        <v>837</v>
      </c>
      <c r="C43" s="75" t="s">
        <v>882</v>
      </c>
      <c r="D43" s="77" t="s">
        <v>883</v>
      </c>
      <c r="E43" s="77" t="s">
        <v>884</v>
      </c>
      <c r="F43" s="120" t="s">
        <v>961</v>
      </c>
      <c r="G43" s="76" t="s">
        <v>838</v>
      </c>
      <c r="H43" s="121" t="s">
        <v>843</v>
      </c>
      <c r="I43" s="122"/>
      <c r="J43" s="123" t="s">
        <v>888</v>
      </c>
      <c r="K43" s="124">
        <v>2</v>
      </c>
      <c r="L43" s="117">
        <v>1</v>
      </c>
      <c r="M43" s="117">
        <v>1</v>
      </c>
      <c r="N43" s="116">
        <v>8</v>
      </c>
      <c r="O43" s="116">
        <v>2</v>
      </c>
      <c r="P43" s="116">
        <v>0</v>
      </c>
      <c r="Q43" s="116">
        <v>2</v>
      </c>
      <c r="R43" s="116">
        <v>4</v>
      </c>
      <c r="S43" s="116">
        <v>0</v>
      </c>
      <c r="T43" s="116">
        <v>0</v>
      </c>
      <c r="U43" s="116">
        <v>1</v>
      </c>
      <c r="V43" s="116">
        <v>0</v>
      </c>
      <c r="W43" s="116">
        <v>0</v>
      </c>
      <c r="X43" s="116">
        <v>0</v>
      </c>
      <c r="Y43" s="116">
        <v>0</v>
      </c>
      <c r="Z43" s="116">
        <v>3</v>
      </c>
      <c r="AA43" s="116">
        <v>0</v>
      </c>
      <c r="AB43" s="116">
        <v>0</v>
      </c>
      <c r="AC43" s="116">
        <v>6</v>
      </c>
      <c r="AD43" s="116">
        <v>4</v>
      </c>
      <c r="AE43" s="116">
        <v>0</v>
      </c>
      <c r="AF43" s="116">
        <v>0</v>
      </c>
      <c r="AG43" s="116">
        <v>0</v>
      </c>
      <c r="AH43" s="116">
        <v>0</v>
      </c>
      <c r="AI43" s="116">
        <v>1</v>
      </c>
      <c r="AJ43" s="117">
        <v>1</v>
      </c>
      <c r="AK43" s="117">
        <v>6</v>
      </c>
      <c r="AL43" s="117">
        <v>0</v>
      </c>
      <c r="AM43" s="117">
        <v>9</v>
      </c>
      <c r="AN43" s="117">
        <v>22</v>
      </c>
      <c r="AO43" s="117">
        <v>0</v>
      </c>
      <c r="AP43" s="117">
        <v>6</v>
      </c>
      <c r="AQ43" s="117">
        <v>32</v>
      </c>
    </row>
    <row r="44" spans="1:43" s="118" customFormat="1" ht="13.5" customHeight="1">
      <c r="A44" s="119">
        <v>42</v>
      </c>
      <c r="B44" s="76" t="s">
        <v>589</v>
      </c>
      <c r="C44" s="75" t="s">
        <v>882</v>
      </c>
      <c r="D44" s="77" t="s">
        <v>883</v>
      </c>
      <c r="E44" s="77" t="s">
        <v>909</v>
      </c>
      <c r="F44" s="120" t="s">
        <v>962</v>
      </c>
      <c r="G44" s="76" t="s">
        <v>590</v>
      </c>
      <c r="H44" s="121" t="s">
        <v>843</v>
      </c>
      <c r="I44" s="122"/>
      <c r="J44" s="123" t="s">
        <v>888</v>
      </c>
      <c r="K44" s="124">
        <v>2</v>
      </c>
      <c r="L44" s="117">
        <v>1</v>
      </c>
      <c r="M44" s="117">
        <v>1</v>
      </c>
      <c r="N44" s="116">
        <v>7</v>
      </c>
      <c r="O44" s="116">
        <v>11</v>
      </c>
      <c r="P44" s="116">
        <v>0</v>
      </c>
      <c r="Q44" s="116">
        <v>4</v>
      </c>
      <c r="R44" s="116">
        <v>17</v>
      </c>
      <c r="S44" s="116">
        <v>0</v>
      </c>
      <c r="T44" s="116">
        <v>1</v>
      </c>
      <c r="U44" s="116">
        <v>0</v>
      </c>
      <c r="V44" s="116">
        <v>0</v>
      </c>
      <c r="W44" s="116">
        <v>1</v>
      </c>
      <c r="X44" s="116">
        <v>1</v>
      </c>
      <c r="Y44" s="116">
        <v>0</v>
      </c>
      <c r="Z44" s="116">
        <v>0</v>
      </c>
      <c r="AA44" s="116">
        <v>0</v>
      </c>
      <c r="AB44" s="116">
        <v>0</v>
      </c>
      <c r="AC44" s="116">
        <v>0</v>
      </c>
      <c r="AD44" s="116">
        <v>0</v>
      </c>
      <c r="AE44" s="116">
        <v>0</v>
      </c>
      <c r="AF44" s="116">
        <v>8</v>
      </c>
      <c r="AG44" s="116">
        <v>26</v>
      </c>
      <c r="AH44" s="116">
        <v>0</v>
      </c>
      <c r="AI44" s="116">
        <v>1</v>
      </c>
      <c r="AJ44" s="117">
        <v>0</v>
      </c>
      <c r="AK44" s="117">
        <v>10</v>
      </c>
      <c r="AL44" s="117">
        <v>0</v>
      </c>
      <c r="AM44" s="117">
        <v>0</v>
      </c>
      <c r="AN44" s="117">
        <v>68</v>
      </c>
      <c r="AO44" s="117">
        <v>0</v>
      </c>
      <c r="AP44" s="117">
        <v>8</v>
      </c>
      <c r="AQ44" s="117">
        <v>70</v>
      </c>
    </row>
    <row r="45" spans="1:43" s="118" customFormat="1" ht="13.5" customHeight="1">
      <c r="A45" s="119">
        <v>43</v>
      </c>
      <c r="B45" s="76" t="s">
        <v>142</v>
      </c>
      <c r="C45" s="75" t="s">
        <v>882</v>
      </c>
      <c r="D45" s="77" t="s">
        <v>883</v>
      </c>
      <c r="E45" s="77" t="s">
        <v>909</v>
      </c>
      <c r="F45" s="120" t="s">
        <v>960</v>
      </c>
      <c r="G45" s="76" t="s">
        <v>143</v>
      </c>
      <c r="H45" s="121" t="s">
        <v>843</v>
      </c>
      <c r="I45" s="122"/>
      <c r="J45" s="123" t="s">
        <v>888</v>
      </c>
      <c r="K45" s="124">
        <v>2</v>
      </c>
      <c r="L45" s="117">
        <v>1</v>
      </c>
      <c r="M45" s="117">
        <v>0</v>
      </c>
      <c r="N45" s="116">
        <v>16</v>
      </c>
      <c r="O45" s="116">
        <v>0</v>
      </c>
      <c r="P45" s="116">
        <v>6</v>
      </c>
      <c r="Q45" s="116">
        <v>3</v>
      </c>
      <c r="R45" s="116">
        <v>0</v>
      </c>
      <c r="S45" s="116">
        <v>2</v>
      </c>
      <c r="T45" s="116">
        <v>5</v>
      </c>
      <c r="U45" s="116">
        <v>0</v>
      </c>
      <c r="V45" s="116">
        <v>8</v>
      </c>
      <c r="W45" s="116">
        <v>0</v>
      </c>
      <c r="X45" s="116">
        <v>0</v>
      </c>
      <c r="Y45" s="116">
        <v>0</v>
      </c>
      <c r="Z45" s="116">
        <v>2</v>
      </c>
      <c r="AA45" s="116">
        <v>0</v>
      </c>
      <c r="AB45" s="116">
        <v>0</v>
      </c>
      <c r="AC45" s="116">
        <v>0</v>
      </c>
      <c r="AD45" s="116">
        <v>0</v>
      </c>
      <c r="AE45" s="116">
        <v>0</v>
      </c>
      <c r="AF45" s="116">
        <v>7</v>
      </c>
      <c r="AG45" s="116">
        <v>0</v>
      </c>
      <c r="AH45" s="116">
        <v>5</v>
      </c>
      <c r="AI45" s="116">
        <v>1</v>
      </c>
      <c r="AJ45" s="117">
        <v>0</v>
      </c>
      <c r="AK45" s="117">
        <v>6</v>
      </c>
      <c r="AL45" s="117">
        <v>0</v>
      </c>
      <c r="AM45" s="117">
        <v>0</v>
      </c>
      <c r="AN45" s="117">
        <v>39</v>
      </c>
      <c r="AO45" s="117">
        <v>3</v>
      </c>
      <c r="AP45" s="117">
        <v>2</v>
      </c>
      <c r="AQ45" s="117">
        <v>40</v>
      </c>
    </row>
    <row r="46" spans="1:43" s="118" customFormat="1" ht="13.5" customHeight="1">
      <c r="A46" s="119">
        <v>44</v>
      </c>
      <c r="B46" s="76" t="s">
        <v>601</v>
      </c>
      <c r="C46" s="75" t="s">
        <v>882</v>
      </c>
      <c r="D46" s="77" t="s">
        <v>883</v>
      </c>
      <c r="E46" s="77" t="s">
        <v>909</v>
      </c>
      <c r="F46" s="120" t="s">
        <v>961</v>
      </c>
      <c r="G46" s="76" t="s">
        <v>602</v>
      </c>
      <c r="H46" s="121" t="s">
        <v>843</v>
      </c>
      <c r="I46" s="122" t="s">
        <v>842</v>
      </c>
      <c r="J46" s="123" t="s">
        <v>888</v>
      </c>
      <c r="K46" s="124">
        <v>2</v>
      </c>
      <c r="L46" s="117">
        <v>2</v>
      </c>
      <c r="M46" s="117">
        <v>1</v>
      </c>
      <c r="N46" s="116">
        <v>7</v>
      </c>
      <c r="O46" s="116">
        <v>2</v>
      </c>
      <c r="P46" s="116">
        <v>0</v>
      </c>
      <c r="Q46" s="116">
        <v>3</v>
      </c>
      <c r="R46" s="116">
        <v>4</v>
      </c>
      <c r="S46" s="116">
        <v>0</v>
      </c>
      <c r="T46" s="116">
        <v>0</v>
      </c>
      <c r="U46" s="116">
        <v>0</v>
      </c>
      <c r="V46" s="116">
        <v>0</v>
      </c>
      <c r="W46" s="116">
        <v>0</v>
      </c>
      <c r="X46" s="116">
        <v>0</v>
      </c>
      <c r="Y46" s="116">
        <v>0</v>
      </c>
      <c r="Z46" s="116">
        <v>12</v>
      </c>
      <c r="AA46" s="116">
        <v>5</v>
      </c>
      <c r="AB46" s="116">
        <v>0</v>
      </c>
      <c r="AC46" s="116">
        <v>0</v>
      </c>
      <c r="AD46" s="116">
        <v>0</v>
      </c>
      <c r="AE46" s="116">
        <v>0</v>
      </c>
      <c r="AF46" s="116">
        <v>0</v>
      </c>
      <c r="AG46" s="116">
        <v>0</v>
      </c>
      <c r="AH46" s="116">
        <v>0</v>
      </c>
      <c r="AI46" s="116">
        <v>1</v>
      </c>
      <c r="AJ46" s="117">
        <v>0</v>
      </c>
      <c r="AK46" s="117">
        <v>4</v>
      </c>
      <c r="AL46" s="117">
        <v>0</v>
      </c>
      <c r="AM46" s="117">
        <v>28</v>
      </c>
      <c r="AN46" s="117">
        <v>18</v>
      </c>
      <c r="AO46" s="117">
        <v>0</v>
      </c>
      <c r="AP46" s="117">
        <v>1</v>
      </c>
      <c r="AQ46" s="117">
        <v>49</v>
      </c>
    </row>
    <row r="47" spans="1:43" s="118" customFormat="1" ht="13.5" customHeight="1">
      <c r="A47" s="119">
        <v>45</v>
      </c>
      <c r="B47" s="76" t="s">
        <v>603</v>
      </c>
      <c r="C47" s="75" t="s">
        <v>882</v>
      </c>
      <c r="D47" s="77" t="s">
        <v>883</v>
      </c>
      <c r="E47" s="77" t="s">
        <v>909</v>
      </c>
      <c r="F47" s="120" t="s">
        <v>962</v>
      </c>
      <c r="G47" s="76" t="s">
        <v>604</v>
      </c>
      <c r="H47" s="121" t="s">
        <v>843</v>
      </c>
      <c r="I47" s="122" t="s">
        <v>842</v>
      </c>
      <c r="J47" s="123" t="s">
        <v>888</v>
      </c>
      <c r="K47" s="124">
        <v>2</v>
      </c>
      <c r="L47" s="117">
        <v>1</v>
      </c>
      <c r="M47" s="117">
        <v>1</v>
      </c>
      <c r="N47" s="116">
        <v>9</v>
      </c>
      <c r="O47" s="116">
        <v>3</v>
      </c>
      <c r="P47" s="116">
        <v>0</v>
      </c>
      <c r="Q47" s="116">
        <v>5</v>
      </c>
      <c r="R47" s="116">
        <v>2</v>
      </c>
      <c r="S47" s="116">
        <v>0</v>
      </c>
      <c r="T47" s="116">
        <v>1</v>
      </c>
      <c r="U47" s="116">
        <v>1</v>
      </c>
      <c r="V47" s="116">
        <v>0</v>
      </c>
      <c r="W47" s="116">
        <v>0</v>
      </c>
      <c r="X47" s="116">
        <v>1</v>
      </c>
      <c r="Y47" s="116">
        <v>0</v>
      </c>
      <c r="Z47" s="116">
        <v>12</v>
      </c>
      <c r="AA47" s="116">
        <v>3</v>
      </c>
      <c r="AB47" s="116">
        <v>0</v>
      </c>
      <c r="AC47" s="116">
        <v>0</v>
      </c>
      <c r="AD47" s="116">
        <v>0</v>
      </c>
      <c r="AE47" s="116">
        <v>0</v>
      </c>
      <c r="AF47" s="116">
        <v>0</v>
      </c>
      <c r="AG47" s="116">
        <v>0</v>
      </c>
      <c r="AH47" s="116">
        <v>0</v>
      </c>
      <c r="AI47" s="116">
        <v>1</v>
      </c>
      <c r="AJ47" s="117">
        <v>0</v>
      </c>
      <c r="AK47" s="117">
        <v>7</v>
      </c>
      <c r="AL47" s="117">
        <v>0</v>
      </c>
      <c r="AM47" s="117">
        <v>0</v>
      </c>
      <c r="AN47" s="117">
        <v>45</v>
      </c>
      <c r="AO47" s="117">
        <v>0</v>
      </c>
      <c r="AP47" s="117">
        <v>6</v>
      </c>
      <c r="AQ47" s="117">
        <v>46</v>
      </c>
    </row>
    <row r="48" spans="1:43" s="118" customFormat="1" ht="13.5" customHeight="1">
      <c r="A48" s="119">
        <v>46</v>
      </c>
      <c r="B48" s="76" t="s">
        <v>605</v>
      </c>
      <c r="C48" s="75" t="s">
        <v>882</v>
      </c>
      <c r="D48" s="77" t="s">
        <v>883</v>
      </c>
      <c r="E48" s="77" t="s">
        <v>909</v>
      </c>
      <c r="F48" s="120" t="s">
        <v>960</v>
      </c>
      <c r="G48" s="76" t="s">
        <v>606</v>
      </c>
      <c r="H48" s="121" t="s">
        <v>843</v>
      </c>
      <c r="I48" s="122" t="s">
        <v>842</v>
      </c>
      <c r="J48" s="123" t="s">
        <v>888</v>
      </c>
      <c r="K48" s="124">
        <v>2</v>
      </c>
      <c r="L48" s="117">
        <v>0</v>
      </c>
      <c r="M48" s="117">
        <v>1</v>
      </c>
      <c r="N48" s="116">
        <v>12</v>
      </c>
      <c r="O48" s="116">
        <v>3</v>
      </c>
      <c r="P48" s="116">
        <v>1</v>
      </c>
      <c r="Q48" s="116">
        <v>1</v>
      </c>
      <c r="R48" s="116">
        <v>1</v>
      </c>
      <c r="S48" s="116">
        <v>0</v>
      </c>
      <c r="T48" s="116">
        <v>0</v>
      </c>
      <c r="U48" s="116">
        <v>1</v>
      </c>
      <c r="V48" s="116">
        <v>0</v>
      </c>
      <c r="W48" s="116">
        <v>0</v>
      </c>
      <c r="X48" s="116">
        <v>0</v>
      </c>
      <c r="Y48" s="116">
        <v>0</v>
      </c>
      <c r="Z48" s="116">
        <v>11</v>
      </c>
      <c r="AA48" s="116">
        <v>2</v>
      </c>
      <c r="AB48" s="116">
        <v>4</v>
      </c>
      <c r="AC48" s="116">
        <v>0</v>
      </c>
      <c r="AD48" s="116">
        <v>0</v>
      </c>
      <c r="AE48" s="116">
        <v>0</v>
      </c>
      <c r="AF48" s="116">
        <v>0</v>
      </c>
      <c r="AG48" s="116">
        <v>0</v>
      </c>
      <c r="AH48" s="116">
        <v>0</v>
      </c>
      <c r="AI48" s="116">
        <v>1</v>
      </c>
      <c r="AJ48" s="117">
        <v>0</v>
      </c>
      <c r="AK48" s="117">
        <v>7</v>
      </c>
      <c r="AL48" s="117">
        <v>0</v>
      </c>
      <c r="AM48" s="117">
        <v>0</v>
      </c>
      <c r="AN48" s="117">
        <v>31</v>
      </c>
      <c r="AO48" s="117">
        <v>0</v>
      </c>
      <c r="AP48" s="117">
        <v>3</v>
      </c>
      <c r="AQ48" s="117">
        <v>33</v>
      </c>
    </row>
    <row r="49" spans="1:43" s="118" customFormat="1" ht="13.5" customHeight="1">
      <c r="A49" s="119">
        <v>47</v>
      </c>
      <c r="B49" s="76" t="s">
        <v>607</v>
      </c>
      <c r="C49" s="75" t="s">
        <v>882</v>
      </c>
      <c r="D49" s="77" t="s">
        <v>883</v>
      </c>
      <c r="E49" s="77" t="s">
        <v>909</v>
      </c>
      <c r="F49" s="120" t="s">
        <v>961</v>
      </c>
      <c r="G49" s="76" t="s">
        <v>608</v>
      </c>
      <c r="H49" s="121" t="s">
        <v>843</v>
      </c>
      <c r="I49" s="122" t="s">
        <v>842</v>
      </c>
      <c r="J49" s="123" t="s">
        <v>885</v>
      </c>
      <c r="K49" s="124">
        <v>2</v>
      </c>
      <c r="L49" s="117">
        <v>1</v>
      </c>
      <c r="M49" s="117">
        <v>1</v>
      </c>
      <c r="N49" s="116">
        <v>8</v>
      </c>
      <c r="O49" s="116">
        <v>1</v>
      </c>
      <c r="P49" s="116">
        <v>0</v>
      </c>
      <c r="Q49" s="116">
        <v>6</v>
      </c>
      <c r="R49" s="116">
        <v>4</v>
      </c>
      <c r="S49" s="116">
        <v>0</v>
      </c>
      <c r="T49" s="116">
        <v>0</v>
      </c>
      <c r="U49" s="116">
        <v>0</v>
      </c>
      <c r="V49" s="116">
        <v>0</v>
      </c>
      <c r="W49" s="116">
        <v>0</v>
      </c>
      <c r="X49" s="116">
        <v>0</v>
      </c>
      <c r="Y49" s="116">
        <v>0</v>
      </c>
      <c r="Z49" s="116">
        <v>13</v>
      </c>
      <c r="AA49" s="116">
        <v>4</v>
      </c>
      <c r="AB49" s="116">
        <v>0</v>
      </c>
      <c r="AC49" s="116">
        <v>0</v>
      </c>
      <c r="AD49" s="116">
        <v>0</v>
      </c>
      <c r="AE49" s="116">
        <v>0</v>
      </c>
      <c r="AF49" s="116">
        <v>0</v>
      </c>
      <c r="AG49" s="116">
        <v>0</v>
      </c>
      <c r="AH49" s="116">
        <v>0</v>
      </c>
      <c r="AI49" s="116">
        <v>1</v>
      </c>
      <c r="AJ49" s="117">
        <v>0</v>
      </c>
      <c r="AK49" s="117">
        <v>8</v>
      </c>
      <c r="AL49" s="117">
        <v>0</v>
      </c>
      <c r="AM49" s="117">
        <v>25</v>
      </c>
      <c r="AN49" s="117">
        <v>26</v>
      </c>
      <c r="AO49" s="117">
        <v>0</v>
      </c>
      <c r="AP49" s="117">
        <v>6</v>
      </c>
      <c r="AQ49" s="117">
        <v>53</v>
      </c>
    </row>
    <row r="50" spans="1:43" s="118" customFormat="1" ht="13.5" customHeight="1">
      <c r="A50" s="119">
        <v>48</v>
      </c>
      <c r="B50" s="76" t="s">
        <v>199</v>
      </c>
      <c r="C50" s="75" t="s">
        <v>882</v>
      </c>
      <c r="D50" s="77" t="s">
        <v>883</v>
      </c>
      <c r="E50" s="77" t="s">
        <v>909</v>
      </c>
      <c r="F50" s="120" t="s">
        <v>961</v>
      </c>
      <c r="G50" s="76" t="s">
        <v>200</v>
      </c>
      <c r="H50" s="121" t="s">
        <v>843</v>
      </c>
      <c r="I50" s="122"/>
      <c r="J50" s="123" t="s">
        <v>888</v>
      </c>
      <c r="K50" s="124">
        <v>2</v>
      </c>
      <c r="L50" s="117">
        <v>3</v>
      </c>
      <c r="M50" s="117">
        <v>1</v>
      </c>
      <c r="N50" s="116">
        <v>9</v>
      </c>
      <c r="O50" s="116">
        <v>3</v>
      </c>
      <c r="P50" s="116">
        <v>0</v>
      </c>
      <c r="Q50" s="116">
        <v>2</v>
      </c>
      <c r="R50" s="116">
        <v>3</v>
      </c>
      <c r="S50" s="116">
        <v>0</v>
      </c>
      <c r="T50" s="116">
        <v>0</v>
      </c>
      <c r="U50" s="116">
        <v>0</v>
      </c>
      <c r="V50" s="116">
        <v>0</v>
      </c>
      <c r="W50" s="116">
        <v>0</v>
      </c>
      <c r="X50" s="116">
        <v>0</v>
      </c>
      <c r="Y50" s="116">
        <v>0</v>
      </c>
      <c r="Z50" s="116">
        <v>11</v>
      </c>
      <c r="AA50" s="116">
        <v>5</v>
      </c>
      <c r="AB50" s="116">
        <v>0</v>
      </c>
      <c r="AC50" s="116">
        <v>0</v>
      </c>
      <c r="AD50" s="116">
        <v>0</v>
      </c>
      <c r="AE50" s="116">
        <v>0</v>
      </c>
      <c r="AF50" s="116">
        <v>0</v>
      </c>
      <c r="AG50" s="116">
        <v>0</v>
      </c>
      <c r="AH50" s="116">
        <v>0</v>
      </c>
      <c r="AI50" s="116">
        <v>1</v>
      </c>
      <c r="AJ50" s="117">
        <v>1</v>
      </c>
      <c r="AK50" s="117">
        <v>4</v>
      </c>
      <c r="AL50" s="117">
        <v>0</v>
      </c>
      <c r="AM50" s="117">
        <v>13</v>
      </c>
      <c r="AN50" s="117">
        <v>18</v>
      </c>
      <c r="AO50" s="117">
        <v>0</v>
      </c>
      <c r="AP50" s="117">
        <v>2</v>
      </c>
      <c r="AQ50" s="117">
        <v>32</v>
      </c>
    </row>
    <row r="51" spans="1:43" s="118" customFormat="1" ht="13.5" customHeight="1">
      <c r="A51" s="119">
        <v>49</v>
      </c>
      <c r="B51" s="76" t="s">
        <v>202</v>
      </c>
      <c r="C51" s="75" t="s">
        <v>882</v>
      </c>
      <c r="D51" s="77" t="s">
        <v>883</v>
      </c>
      <c r="E51" s="77" t="s">
        <v>909</v>
      </c>
      <c r="F51" s="120" t="s">
        <v>961</v>
      </c>
      <c r="G51" s="76" t="s">
        <v>203</v>
      </c>
      <c r="H51" s="121" t="s">
        <v>843</v>
      </c>
      <c r="I51" s="122" t="s">
        <v>842</v>
      </c>
      <c r="J51" s="123" t="s">
        <v>885</v>
      </c>
      <c r="K51" s="124">
        <v>2</v>
      </c>
      <c r="L51" s="117">
        <v>3</v>
      </c>
      <c r="M51" s="117">
        <v>1</v>
      </c>
      <c r="N51" s="116">
        <v>3</v>
      </c>
      <c r="O51" s="116">
        <v>3</v>
      </c>
      <c r="P51" s="116">
        <v>0</v>
      </c>
      <c r="Q51" s="116">
        <v>7</v>
      </c>
      <c r="R51" s="116">
        <v>0</v>
      </c>
      <c r="S51" s="116">
        <v>0</v>
      </c>
      <c r="T51" s="116">
        <v>0</v>
      </c>
      <c r="U51" s="116">
        <v>0</v>
      </c>
      <c r="V51" s="116">
        <v>0</v>
      </c>
      <c r="W51" s="116">
        <v>0</v>
      </c>
      <c r="X51" s="116">
        <v>0</v>
      </c>
      <c r="Y51" s="116">
        <v>0</v>
      </c>
      <c r="Z51" s="116">
        <v>0</v>
      </c>
      <c r="AA51" s="116">
        <v>0</v>
      </c>
      <c r="AB51" s="116">
        <v>0</v>
      </c>
      <c r="AC51" s="116">
        <v>0</v>
      </c>
      <c r="AD51" s="116">
        <v>0</v>
      </c>
      <c r="AE51" s="116">
        <v>0</v>
      </c>
      <c r="AF51" s="116">
        <v>9</v>
      </c>
      <c r="AG51" s="116">
        <v>2</v>
      </c>
      <c r="AH51" s="116">
        <v>0</v>
      </c>
      <c r="AI51" s="116">
        <v>1</v>
      </c>
      <c r="AJ51" s="117">
        <v>1</v>
      </c>
      <c r="AK51" s="117">
        <v>4</v>
      </c>
      <c r="AL51" s="117">
        <v>1</v>
      </c>
      <c r="AM51" s="117">
        <v>11</v>
      </c>
      <c r="AN51" s="117">
        <v>21</v>
      </c>
      <c r="AO51" s="117">
        <v>0</v>
      </c>
      <c r="AP51" s="117">
        <v>4</v>
      </c>
      <c r="AQ51" s="117">
        <v>34</v>
      </c>
    </row>
    <row r="52" spans="1:43" s="118" customFormat="1" ht="13.5" customHeight="1">
      <c r="A52" s="119">
        <v>50</v>
      </c>
      <c r="B52" s="76" t="s">
        <v>139</v>
      </c>
      <c r="C52" s="75" t="s">
        <v>882</v>
      </c>
      <c r="D52" s="77" t="s">
        <v>883</v>
      </c>
      <c r="E52" s="77" t="s">
        <v>909</v>
      </c>
      <c r="F52" s="120" t="s">
        <v>962</v>
      </c>
      <c r="G52" s="76" t="s">
        <v>140</v>
      </c>
      <c r="H52" s="121" t="s">
        <v>843</v>
      </c>
      <c r="I52" s="122"/>
      <c r="J52" s="123" t="s">
        <v>888</v>
      </c>
      <c r="K52" s="124">
        <v>2</v>
      </c>
      <c r="L52" s="117">
        <v>2</v>
      </c>
      <c r="M52" s="117">
        <v>1</v>
      </c>
      <c r="N52" s="116">
        <v>16</v>
      </c>
      <c r="O52" s="116">
        <v>7</v>
      </c>
      <c r="P52" s="116">
        <v>0</v>
      </c>
      <c r="Q52" s="116">
        <v>3</v>
      </c>
      <c r="R52" s="116">
        <v>0</v>
      </c>
      <c r="S52" s="116">
        <v>0</v>
      </c>
      <c r="T52" s="116">
        <v>1</v>
      </c>
      <c r="U52" s="116">
        <v>0</v>
      </c>
      <c r="V52" s="116">
        <v>0</v>
      </c>
      <c r="W52" s="116">
        <v>0</v>
      </c>
      <c r="X52" s="116">
        <v>0</v>
      </c>
      <c r="Y52" s="116">
        <v>0</v>
      </c>
      <c r="Z52" s="116">
        <v>17</v>
      </c>
      <c r="AA52" s="116">
        <v>6</v>
      </c>
      <c r="AB52" s="116">
        <v>0</v>
      </c>
      <c r="AC52" s="116">
        <v>0</v>
      </c>
      <c r="AD52" s="116">
        <v>0</v>
      </c>
      <c r="AE52" s="116">
        <v>0</v>
      </c>
      <c r="AF52" s="116">
        <v>0</v>
      </c>
      <c r="AG52" s="116">
        <v>0</v>
      </c>
      <c r="AH52" s="116">
        <v>0</v>
      </c>
      <c r="AI52" s="116">
        <v>1</v>
      </c>
      <c r="AJ52" s="117">
        <v>0</v>
      </c>
      <c r="AK52" s="117">
        <v>13</v>
      </c>
      <c r="AL52" s="117">
        <v>0</v>
      </c>
      <c r="AM52" s="117">
        <v>0</v>
      </c>
      <c r="AN52" s="117">
        <v>61</v>
      </c>
      <c r="AO52" s="117">
        <v>0</v>
      </c>
      <c r="AP52" s="117">
        <v>6</v>
      </c>
      <c r="AQ52" s="117">
        <v>68</v>
      </c>
    </row>
    <row r="53" spans="1:43" s="118" customFormat="1" ht="13.5" customHeight="1">
      <c r="A53" s="119">
        <v>51</v>
      </c>
      <c r="B53" s="76" t="s">
        <v>274</v>
      </c>
      <c r="C53" s="75" t="s">
        <v>882</v>
      </c>
      <c r="D53" s="77" t="s">
        <v>883</v>
      </c>
      <c r="E53" s="77" t="s">
        <v>909</v>
      </c>
      <c r="F53" s="120" t="s">
        <v>960</v>
      </c>
      <c r="G53" s="76" t="s">
        <v>275</v>
      </c>
      <c r="H53" s="121" t="s">
        <v>843</v>
      </c>
      <c r="I53" s="122"/>
      <c r="J53" s="123" t="s">
        <v>888</v>
      </c>
      <c r="K53" s="124">
        <v>2</v>
      </c>
      <c r="L53" s="117">
        <v>3</v>
      </c>
      <c r="M53" s="117">
        <v>1</v>
      </c>
      <c r="N53" s="116">
        <v>7</v>
      </c>
      <c r="O53" s="116">
        <v>4</v>
      </c>
      <c r="P53" s="116">
        <v>0</v>
      </c>
      <c r="Q53" s="116">
        <v>5</v>
      </c>
      <c r="R53" s="116">
        <v>0</v>
      </c>
      <c r="S53" s="116">
        <v>0</v>
      </c>
      <c r="T53" s="116">
        <v>0</v>
      </c>
      <c r="U53" s="116">
        <v>0</v>
      </c>
      <c r="V53" s="116">
        <v>0</v>
      </c>
      <c r="W53" s="116">
        <v>0</v>
      </c>
      <c r="X53" s="116">
        <v>0</v>
      </c>
      <c r="Y53" s="116">
        <v>0</v>
      </c>
      <c r="Z53" s="116">
        <v>1</v>
      </c>
      <c r="AA53" s="116">
        <v>0</v>
      </c>
      <c r="AB53" s="116">
        <v>0</v>
      </c>
      <c r="AC53" s="116">
        <v>0</v>
      </c>
      <c r="AD53" s="116">
        <v>0</v>
      </c>
      <c r="AE53" s="116">
        <v>0</v>
      </c>
      <c r="AF53" s="116">
        <v>11</v>
      </c>
      <c r="AG53" s="116">
        <v>3</v>
      </c>
      <c r="AH53" s="116">
        <v>0</v>
      </c>
      <c r="AI53" s="116">
        <v>1</v>
      </c>
      <c r="AJ53" s="117">
        <v>0</v>
      </c>
      <c r="AK53" s="117">
        <v>5</v>
      </c>
      <c r="AL53" s="117">
        <v>0</v>
      </c>
      <c r="AM53" s="117">
        <v>0</v>
      </c>
      <c r="AN53" s="117">
        <v>28</v>
      </c>
      <c r="AO53" s="117">
        <v>0</v>
      </c>
      <c r="AP53" s="117">
        <v>4</v>
      </c>
      <c r="AQ53" s="117">
        <v>29</v>
      </c>
    </row>
    <row r="54" spans="1:43" s="118" customFormat="1" ht="13.5" customHeight="1">
      <c r="A54" s="119">
        <v>52</v>
      </c>
      <c r="B54" s="76" t="s">
        <v>629</v>
      </c>
      <c r="C54" s="75" t="s">
        <v>882</v>
      </c>
      <c r="D54" s="77" t="s">
        <v>883</v>
      </c>
      <c r="E54" s="77" t="s">
        <v>909</v>
      </c>
      <c r="F54" s="120" t="s">
        <v>961</v>
      </c>
      <c r="G54" s="76" t="s">
        <v>630</v>
      </c>
      <c r="H54" s="121" t="s">
        <v>843</v>
      </c>
      <c r="I54" s="122"/>
      <c r="J54" s="123" t="s">
        <v>888</v>
      </c>
      <c r="K54" s="124">
        <v>2</v>
      </c>
      <c r="L54" s="117">
        <v>2</v>
      </c>
      <c r="M54" s="117">
        <v>1</v>
      </c>
      <c r="N54" s="116">
        <v>9</v>
      </c>
      <c r="O54" s="116">
        <v>1</v>
      </c>
      <c r="P54" s="116">
        <v>0</v>
      </c>
      <c r="Q54" s="116">
        <v>2</v>
      </c>
      <c r="R54" s="116">
        <v>2</v>
      </c>
      <c r="S54" s="116">
        <v>0</v>
      </c>
      <c r="T54" s="116">
        <v>0</v>
      </c>
      <c r="U54" s="116">
        <v>0</v>
      </c>
      <c r="V54" s="116">
        <v>0</v>
      </c>
      <c r="W54" s="116">
        <v>0</v>
      </c>
      <c r="X54" s="116">
        <v>0</v>
      </c>
      <c r="Y54" s="116">
        <v>0</v>
      </c>
      <c r="Z54" s="116">
        <v>0</v>
      </c>
      <c r="AA54" s="116">
        <v>0</v>
      </c>
      <c r="AB54" s="116">
        <v>0</v>
      </c>
      <c r="AC54" s="116">
        <v>10</v>
      </c>
      <c r="AD54" s="116">
        <v>2</v>
      </c>
      <c r="AE54" s="116">
        <v>0</v>
      </c>
      <c r="AF54" s="116">
        <v>0</v>
      </c>
      <c r="AG54" s="116">
        <v>0</v>
      </c>
      <c r="AH54" s="116">
        <v>0</v>
      </c>
      <c r="AI54" s="116">
        <v>1</v>
      </c>
      <c r="AJ54" s="117">
        <v>1</v>
      </c>
      <c r="AK54" s="117">
        <v>5</v>
      </c>
      <c r="AL54" s="117">
        <v>0</v>
      </c>
      <c r="AM54" s="117">
        <v>8</v>
      </c>
      <c r="AN54" s="117">
        <v>23</v>
      </c>
      <c r="AO54" s="117">
        <v>0</v>
      </c>
      <c r="AP54" s="117">
        <v>5</v>
      </c>
      <c r="AQ54" s="117">
        <v>32</v>
      </c>
    </row>
    <row r="55" spans="1:43" s="118" customFormat="1" ht="13.5" customHeight="1">
      <c r="A55" s="119">
        <v>53</v>
      </c>
      <c r="B55" s="76" t="s">
        <v>205</v>
      </c>
      <c r="C55" s="75" t="s">
        <v>882</v>
      </c>
      <c r="D55" s="77" t="s">
        <v>883</v>
      </c>
      <c r="E55" s="77" t="s">
        <v>909</v>
      </c>
      <c r="F55" s="120" t="s">
        <v>961</v>
      </c>
      <c r="G55" s="76" t="s">
        <v>206</v>
      </c>
      <c r="H55" s="121" t="s">
        <v>843</v>
      </c>
      <c r="I55" s="122"/>
      <c r="J55" s="123" t="s">
        <v>888</v>
      </c>
      <c r="K55" s="124">
        <v>2</v>
      </c>
      <c r="L55" s="117">
        <v>1</v>
      </c>
      <c r="M55" s="117">
        <v>1</v>
      </c>
      <c r="N55" s="116">
        <v>11</v>
      </c>
      <c r="O55" s="116">
        <v>1</v>
      </c>
      <c r="P55" s="116">
        <v>0</v>
      </c>
      <c r="Q55" s="116">
        <v>3</v>
      </c>
      <c r="R55" s="116">
        <v>3</v>
      </c>
      <c r="S55" s="116">
        <v>0</v>
      </c>
      <c r="T55" s="116">
        <v>0</v>
      </c>
      <c r="U55" s="116">
        <v>0</v>
      </c>
      <c r="V55" s="116">
        <v>0</v>
      </c>
      <c r="W55" s="116">
        <v>0</v>
      </c>
      <c r="X55" s="116">
        <v>0</v>
      </c>
      <c r="Y55" s="116">
        <v>0</v>
      </c>
      <c r="Z55" s="116">
        <v>0</v>
      </c>
      <c r="AA55" s="116">
        <v>0</v>
      </c>
      <c r="AB55" s="116">
        <v>0</v>
      </c>
      <c r="AC55" s="116">
        <v>13</v>
      </c>
      <c r="AD55" s="116">
        <v>3</v>
      </c>
      <c r="AE55" s="116">
        <v>0</v>
      </c>
      <c r="AF55" s="116">
        <v>0</v>
      </c>
      <c r="AG55" s="116">
        <v>0</v>
      </c>
      <c r="AH55" s="116">
        <v>0</v>
      </c>
      <c r="AI55" s="116">
        <v>1</v>
      </c>
      <c r="AJ55" s="117">
        <v>1</v>
      </c>
      <c r="AK55" s="117">
        <v>5</v>
      </c>
      <c r="AL55" s="117">
        <v>0</v>
      </c>
      <c r="AM55" s="117">
        <v>7</v>
      </c>
      <c r="AN55" s="117">
        <v>20</v>
      </c>
      <c r="AO55" s="117">
        <v>0</v>
      </c>
      <c r="AP55" s="117">
        <v>4</v>
      </c>
      <c r="AQ55" s="117">
        <v>29</v>
      </c>
    </row>
    <row r="56" spans="1:43" s="118" customFormat="1" ht="13.5" customHeight="1">
      <c r="A56" s="119">
        <v>54</v>
      </c>
      <c r="B56" s="76" t="s">
        <v>645</v>
      </c>
      <c r="C56" s="75" t="s">
        <v>882</v>
      </c>
      <c r="D56" s="77" t="s">
        <v>883</v>
      </c>
      <c r="E56" s="77" t="s">
        <v>909</v>
      </c>
      <c r="F56" s="120" t="s">
        <v>961</v>
      </c>
      <c r="G56" s="76" t="s">
        <v>646</v>
      </c>
      <c r="H56" s="121" t="s">
        <v>843</v>
      </c>
      <c r="I56" s="122"/>
      <c r="J56" s="123" t="s">
        <v>888</v>
      </c>
      <c r="K56" s="124">
        <v>2</v>
      </c>
      <c r="L56" s="117">
        <v>1</v>
      </c>
      <c r="M56" s="117">
        <v>1</v>
      </c>
      <c r="N56" s="116">
        <v>10</v>
      </c>
      <c r="O56" s="116">
        <v>2</v>
      </c>
      <c r="P56" s="116">
        <v>0</v>
      </c>
      <c r="Q56" s="116">
        <v>0</v>
      </c>
      <c r="R56" s="116">
        <v>0</v>
      </c>
      <c r="S56" s="116">
        <v>0</v>
      </c>
      <c r="T56" s="116">
        <v>0</v>
      </c>
      <c r="U56" s="116">
        <v>0</v>
      </c>
      <c r="V56" s="116">
        <v>0</v>
      </c>
      <c r="W56" s="116">
        <v>0</v>
      </c>
      <c r="X56" s="116">
        <v>0</v>
      </c>
      <c r="Y56" s="116">
        <v>0</v>
      </c>
      <c r="Z56" s="116">
        <v>0</v>
      </c>
      <c r="AA56" s="116">
        <v>0</v>
      </c>
      <c r="AB56" s="116">
        <v>0</v>
      </c>
      <c r="AC56" s="116">
        <v>0</v>
      </c>
      <c r="AD56" s="116">
        <v>0</v>
      </c>
      <c r="AE56" s="116">
        <v>0</v>
      </c>
      <c r="AF56" s="116">
        <v>9</v>
      </c>
      <c r="AG56" s="116">
        <v>1</v>
      </c>
      <c r="AH56" s="116">
        <v>0</v>
      </c>
      <c r="AI56" s="116">
        <v>1</v>
      </c>
      <c r="AJ56" s="117">
        <v>1</v>
      </c>
      <c r="AK56" s="117">
        <v>4</v>
      </c>
      <c r="AL56" s="117">
        <v>1</v>
      </c>
      <c r="AM56" s="117">
        <v>5</v>
      </c>
      <c r="AN56" s="117">
        <v>23</v>
      </c>
      <c r="AO56" s="117">
        <v>1</v>
      </c>
      <c r="AP56" s="117">
        <v>4</v>
      </c>
      <c r="AQ56" s="117">
        <v>31</v>
      </c>
    </row>
    <row r="57" spans="1:43" s="118" customFormat="1" ht="13.5" customHeight="1">
      <c r="A57" s="119">
        <v>55</v>
      </c>
      <c r="B57" s="76" t="s">
        <v>647</v>
      </c>
      <c r="C57" s="75" t="s">
        <v>882</v>
      </c>
      <c r="D57" s="77" t="s">
        <v>883</v>
      </c>
      <c r="E57" s="77" t="s">
        <v>909</v>
      </c>
      <c r="F57" s="120" t="s">
        <v>962</v>
      </c>
      <c r="G57" s="76" t="s">
        <v>648</v>
      </c>
      <c r="H57" s="121" t="s">
        <v>843</v>
      </c>
      <c r="I57" s="122"/>
      <c r="J57" s="123" t="s">
        <v>885</v>
      </c>
      <c r="K57" s="124">
        <v>2</v>
      </c>
      <c r="L57" s="117">
        <v>1</v>
      </c>
      <c r="M57" s="117">
        <v>1</v>
      </c>
      <c r="N57" s="116">
        <v>16</v>
      </c>
      <c r="O57" s="116">
        <v>12</v>
      </c>
      <c r="P57" s="116">
        <v>0</v>
      </c>
      <c r="Q57" s="116">
        <v>3</v>
      </c>
      <c r="R57" s="116">
        <v>4</v>
      </c>
      <c r="S57" s="116">
        <v>0</v>
      </c>
      <c r="T57" s="116">
        <v>2</v>
      </c>
      <c r="U57" s="116">
        <v>2</v>
      </c>
      <c r="V57" s="116">
        <v>0</v>
      </c>
      <c r="W57" s="116">
        <v>0</v>
      </c>
      <c r="X57" s="116">
        <v>0</v>
      </c>
      <c r="Y57" s="116">
        <v>0</v>
      </c>
      <c r="Z57" s="116">
        <v>16</v>
      </c>
      <c r="AA57" s="116">
        <v>13</v>
      </c>
      <c r="AB57" s="116">
        <v>0</v>
      </c>
      <c r="AC57" s="116">
        <v>0</v>
      </c>
      <c r="AD57" s="116">
        <v>0</v>
      </c>
      <c r="AE57" s="116">
        <v>0</v>
      </c>
      <c r="AF57" s="116">
        <v>0</v>
      </c>
      <c r="AG57" s="116">
        <v>0</v>
      </c>
      <c r="AH57" s="116">
        <v>0</v>
      </c>
      <c r="AI57" s="116">
        <v>1</v>
      </c>
      <c r="AJ57" s="117">
        <v>0</v>
      </c>
      <c r="AK57" s="117">
        <v>6</v>
      </c>
      <c r="AL57" s="117">
        <v>0</v>
      </c>
      <c r="AM57" s="117">
        <v>0</v>
      </c>
      <c r="AN57" s="117">
        <v>51</v>
      </c>
      <c r="AO57" s="117">
        <v>1</v>
      </c>
      <c r="AP57" s="117">
        <v>5</v>
      </c>
      <c r="AQ57" s="117">
        <v>56</v>
      </c>
    </row>
    <row r="58" spans="1:43" s="118" customFormat="1" ht="13.5" customHeight="1">
      <c r="A58" s="119">
        <v>56</v>
      </c>
      <c r="B58" s="76" t="s">
        <v>661</v>
      </c>
      <c r="C58" s="75" t="s">
        <v>882</v>
      </c>
      <c r="D58" s="77" t="s">
        <v>883</v>
      </c>
      <c r="E58" s="77" t="s">
        <v>909</v>
      </c>
      <c r="F58" s="120" t="s">
        <v>963</v>
      </c>
      <c r="G58" s="76" t="s">
        <v>662</v>
      </c>
      <c r="H58" s="121" t="s">
        <v>843</v>
      </c>
      <c r="I58" s="122"/>
      <c r="J58" s="123" t="s">
        <v>885</v>
      </c>
      <c r="K58" s="124">
        <v>2</v>
      </c>
      <c r="L58" s="117">
        <v>2</v>
      </c>
      <c r="M58" s="117">
        <v>1</v>
      </c>
      <c r="N58" s="116">
        <v>8</v>
      </c>
      <c r="O58" s="116">
        <v>2</v>
      </c>
      <c r="P58" s="116">
        <v>0</v>
      </c>
      <c r="Q58" s="116">
        <v>6</v>
      </c>
      <c r="R58" s="116">
        <v>3</v>
      </c>
      <c r="S58" s="116">
        <v>0</v>
      </c>
      <c r="T58" s="116">
        <v>1</v>
      </c>
      <c r="U58" s="116">
        <v>1</v>
      </c>
      <c r="V58" s="116">
        <v>0</v>
      </c>
      <c r="W58" s="116">
        <v>0</v>
      </c>
      <c r="X58" s="116">
        <v>0</v>
      </c>
      <c r="Y58" s="116">
        <v>0</v>
      </c>
      <c r="Z58" s="116">
        <v>0</v>
      </c>
      <c r="AA58" s="116">
        <v>0</v>
      </c>
      <c r="AB58" s="116">
        <v>0</v>
      </c>
      <c r="AC58" s="116">
        <v>12</v>
      </c>
      <c r="AD58" s="116">
        <v>3</v>
      </c>
      <c r="AE58" s="116">
        <v>0</v>
      </c>
      <c r="AF58" s="116">
        <v>0</v>
      </c>
      <c r="AG58" s="116">
        <v>0</v>
      </c>
      <c r="AH58" s="116">
        <v>0</v>
      </c>
      <c r="AI58" s="116">
        <v>1</v>
      </c>
      <c r="AJ58" s="117">
        <v>0</v>
      </c>
      <c r="AK58" s="117">
        <v>7</v>
      </c>
      <c r="AL58" s="117">
        <v>0</v>
      </c>
      <c r="AM58" s="117">
        <v>0</v>
      </c>
      <c r="AN58" s="117">
        <v>52</v>
      </c>
      <c r="AO58" s="117">
        <v>0</v>
      </c>
      <c r="AP58" s="117">
        <v>6</v>
      </c>
      <c r="AQ58" s="117">
        <v>53</v>
      </c>
    </row>
    <row r="59" spans="1:43" s="118" customFormat="1" ht="13.5" customHeight="1">
      <c r="A59" s="119">
        <v>57</v>
      </c>
      <c r="B59" s="76" t="s">
        <v>689</v>
      </c>
      <c r="C59" s="75" t="s">
        <v>882</v>
      </c>
      <c r="D59" s="77" t="s">
        <v>883</v>
      </c>
      <c r="E59" s="77" t="s">
        <v>909</v>
      </c>
      <c r="F59" s="120" t="s">
        <v>961</v>
      </c>
      <c r="G59" s="76" t="s">
        <v>690</v>
      </c>
      <c r="H59" s="121" t="s">
        <v>843</v>
      </c>
      <c r="I59" s="122"/>
      <c r="J59" s="123" t="s">
        <v>888</v>
      </c>
      <c r="K59" s="124">
        <v>2</v>
      </c>
      <c r="L59" s="117">
        <v>1</v>
      </c>
      <c r="M59" s="117">
        <v>1</v>
      </c>
      <c r="N59" s="116">
        <v>6</v>
      </c>
      <c r="O59" s="116">
        <v>3</v>
      </c>
      <c r="P59" s="116">
        <v>0</v>
      </c>
      <c r="Q59" s="116">
        <v>4</v>
      </c>
      <c r="R59" s="116">
        <v>4</v>
      </c>
      <c r="S59" s="116">
        <v>0</v>
      </c>
      <c r="T59" s="116">
        <v>0</v>
      </c>
      <c r="U59" s="116">
        <v>0</v>
      </c>
      <c r="V59" s="116">
        <v>0</v>
      </c>
      <c r="W59" s="116">
        <v>0</v>
      </c>
      <c r="X59" s="116">
        <v>0</v>
      </c>
      <c r="Y59" s="116">
        <v>0</v>
      </c>
      <c r="Z59" s="116">
        <v>0</v>
      </c>
      <c r="AA59" s="116">
        <v>0</v>
      </c>
      <c r="AB59" s="116">
        <v>0</v>
      </c>
      <c r="AC59" s="116">
        <v>9</v>
      </c>
      <c r="AD59" s="116">
        <v>6</v>
      </c>
      <c r="AE59" s="116">
        <v>0</v>
      </c>
      <c r="AF59" s="116">
        <v>0</v>
      </c>
      <c r="AG59" s="116">
        <v>0</v>
      </c>
      <c r="AH59" s="116">
        <v>0</v>
      </c>
      <c r="AI59" s="116">
        <v>1</v>
      </c>
      <c r="AJ59" s="117">
        <v>0</v>
      </c>
      <c r="AK59" s="117">
        <v>5</v>
      </c>
      <c r="AL59" s="117">
        <v>1</v>
      </c>
      <c r="AM59" s="117">
        <v>1</v>
      </c>
      <c r="AN59" s="117">
        <v>19</v>
      </c>
      <c r="AO59" s="117">
        <v>1</v>
      </c>
      <c r="AP59" s="117">
        <v>3</v>
      </c>
      <c r="AQ59" s="117">
        <v>22</v>
      </c>
    </row>
    <row r="60" spans="1:43" s="118" customFormat="1" ht="13.5" customHeight="1">
      <c r="A60" s="119">
        <v>58</v>
      </c>
      <c r="B60" s="76" t="s">
        <v>229</v>
      </c>
      <c r="C60" s="75" t="s">
        <v>882</v>
      </c>
      <c r="D60" s="77" t="s">
        <v>883</v>
      </c>
      <c r="E60" s="77" t="s">
        <v>909</v>
      </c>
      <c r="F60" s="120" t="s">
        <v>961</v>
      </c>
      <c r="G60" s="76" t="s">
        <v>230</v>
      </c>
      <c r="H60" s="121" t="s">
        <v>843</v>
      </c>
      <c r="I60" s="122" t="s">
        <v>842</v>
      </c>
      <c r="J60" s="123" t="s">
        <v>888</v>
      </c>
      <c r="K60" s="124">
        <v>2</v>
      </c>
      <c r="L60" s="117">
        <v>1</v>
      </c>
      <c r="M60" s="117">
        <v>1</v>
      </c>
      <c r="N60" s="116">
        <v>11</v>
      </c>
      <c r="O60" s="116">
        <v>4</v>
      </c>
      <c r="P60" s="116">
        <v>0</v>
      </c>
      <c r="Q60" s="116">
        <v>1</v>
      </c>
      <c r="R60" s="116">
        <v>0</v>
      </c>
      <c r="S60" s="116">
        <v>0</v>
      </c>
      <c r="T60" s="116">
        <v>0</v>
      </c>
      <c r="U60" s="116">
        <v>0</v>
      </c>
      <c r="V60" s="116">
        <v>0</v>
      </c>
      <c r="W60" s="116">
        <v>2</v>
      </c>
      <c r="X60" s="116">
        <v>2</v>
      </c>
      <c r="Y60" s="116">
        <v>0</v>
      </c>
      <c r="Z60" s="116">
        <v>0</v>
      </c>
      <c r="AA60" s="116">
        <v>0</v>
      </c>
      <c r="AB60" s="116">
        <v>0</v>
      </c>
      <c r="AC60" s="116">
        <v>9</v>
      </c>
      <c r="AD60" s="116">
        <v>1</v>
      </c>
      <c r="AE60" s="116">
        <v>0</v>
      </c>
      <c r="AF60" s="116">
        <v>0</v>
      </c>
      <c r="AG60" s="116">
        <v>0</v>
      </c>
      <c r="AH60" s="116">
        <v>0</v>
      </c>
      <c r="AI60" s="116">
        <v>1</v>
      </c>
      <c r="AJ60" s="117">
        <v>1</v>
      </c>
      <c r="AK60" s="117">
        <v>4</v>
      </c>
      <c r="AL60" s="117">
        <v>0</v>
      </c>
      <c r="AM60" s="117">
        <v>13</v>
      </c>
      <c r="AN60" s="117">
        <v>21</v>
      </c>
      <c r="AO60" s="117">
        <v>3</v>
      </c>
      <c r="AP60" s="117">
        <v>2</v>
      </c>
      <c r="AQ60" s="117">
        <v>34</v>
      </c>
    </row>
    <row r="61" spans="1:43" s="118" customFormat="1" ht="13.5" customHeight="1">
      <c r="A61" s="119">
        <v>59</v>
      </c>
      <c r="B61" s="76" t="s">
        <v>723</v>
      </c>
      <c r="C61" s="75" t="s">
        <v>882</v>
      </c>
      <c r="D61" s="77" t="s">
        <v>883</v>
      </c>
      <c r="E61" s="77" t="s">
        <v>909</v>
      </c>
      <c r="F61" s="120" t="s">
        <v>961</v>
      </c>
      <c r="G61" s="76" t="s">
        <v>724</v>
      </c>
      <c r="H61" s="121" t="s">
        <v>843</v>
      </c>
      <c r="I61" s="122" t="s">
        <v>844</v>
      </c>
      <c r="J61" s="123" t="s">
        <v>888</v>
      </c>
      <c r="K61" s="124">
        <v>2</v>
      </c>
      <c r="L61" s="117">
        <v>3</v>
      </c>
      <c r="M61" s="117">
        <v>1</v>
      </c>
      <c r="N61" s="116">
        <v>8</v>
      </c>
      <c r="O61" s="116">
        <v>6</v>
      </c>
      <c r="P61" s="116">
        <v>0</v>
      </c>
      <c r="Q61" s="116">
        <v>2</v>
      </c>
      <c r="R61" s="116">
        <v>0</v>
      </c>
      <c r="S61" s="116">
        <v>0</v>
      </c>
      <c r="T61" s="116">
        <v>0</v>
      </c>
      <c r="U61" s="116">
        <v>0</v>
      </c>
      <c r="V61" s="116">
        <v>0</v>
      </c>
      <c r="W61" s="116">
        <v>0</v>
      </c>
      <c r="X61" s="116">
        <v>0</v>
      </c>
      <c r="Y61" s="116">
        <v>0</v>
      </c>
      <c r="Z61" s="116">
        <v>0</v>
      </c>
      <c r="AA61" s="116">
        <v>0</v>
      </c>
      <c r="AB61" s="116">
        <v>0</v>
      </c>
      <c r="AC61" s="116">
        <v>0</v>
      </c>
      <c r="AD61" s="116">
        <v>0</v>
      </c>
      <c r="AE61" s="116">
        <v>0</v>
      </c>
      <c r="AF61" s="116">
        <v>9</v>
      </c>
      <c r="AG61" s="116">
        <v>5</v>
      </c>
      <c r="AH61" s="116">
        <v>0</v>
      </c>
      <c r="AI61" s="116">
        <v>1</v>
      </c>
      <c r="AJ61" s="117">
        <v>2</v>
      </c>
      <c r="AK61" s="117">
        <v>12</v>
      </c>
      <c r="AL61" s="117">
        <v>0</v>
      </c>
      <c r="AM61" s="117">
        <v>5</v>
      </c>
      <c r="AN61" s="117">
        <v>63</v>
      </c>
      <c r="AO61" s="117">
        <v>0</v>
      </c>
      <c r="AP61" s="117">
        <v>11</v>
      </c>
      <c r="AQ61" s="117">
        <v>67</v>
      </c>
    </row>
    <row r="62" spans="1:43" s="118" customFormat="1" ht="13.5" customHeight="1">
      <c r="A62" s="119">
        <v>60</v>
      </c>
      <c r="B62" s="76" t="s">
        <v>27</v>
      </c>
      <c r="C62" s="75" t="s">
        <v>882</v>
      </c>
      <c r="D62" s="77" t="s">
        <v>883</v>
      </c>
      <c r="E62" s="77" t="s">
        <v>909</v>
      </c>
      <c r="F62" s="120" t="s">
        <v>962</v>
      </c>
      <c r="G62" s="76" t="s">
        <v>28</v>
      </c>
      <c r="H62" s="121" t="s">
        <v>843</v>
      </c>
      <c r="I62" s="122" t="s">
        <v>842</v>
      </c>
      <c r="J62" s="123" t="s">
        <v>885</v>
      </c>
      <c r="K62" s="124">
        <v>2</v>
      </c>
      <c r="L62" s="117">
        <v>7</v>
      </c>
      <c r="M62" s="117">
        <v>2</v>
      </c>
      <c r="N62" s="116">
        <v>13</v>
      </c>
      <c r="O62" s="116">
        <v>6</v>
      </c>
      <c r="P62" s="116">
        <v>1</v>
      </c>
      <c r="Q62" s="116">
        <v>2</v>
      </c>
      <c r="R62" s="116">
        <v>0</v>
      </c>
      <c r="S62" s="116">
        <v>0</v>
      </c>
      <c r="T62" s="116">
        <v>2</v>
      </c>
      <c r="U62" s="116">
        <v>1</v>
      </c>
      <c r="V62" s="116">
        <v>0</v>
      </c>
      <c r="W62" s="116">
        <v>3</v>
      </c>
      <c r="X62" s="116">
        <v>2</v>
      </c>
      <c r="Y62" s="116">
        <v>0</v>
      </c>
      <c r="Z62" s="116">
        <v>8</v>
      </c>
      <c r="AA62" s="116">
        <v>2</v>
      </c>
      <c r="AB62" s="116">
        <v>4</v>
      </c>
      <c r="AC62" s="116">
        <v>0</v>
      </c>
      <c r="AD62" s="116">
        <v>0</v>
      </c>
      <c r="AE62" s="116">
        <v>0</v>
      </c>
      <c r="AF62" s="116">
        <v>0</v>
      </c>
      <c r="AG62" s="116">
        <v>0</v>
      </c>
      <c r="AH62" s="116">
        <v>0</v>
      </c>
      <c r="AI62" s="116">
        <v>1</v>
      </c>
      <c r="AJ62" s="117">
        <v>0</v>
      </c>
      <c r="AK62" s="117">
        <v>11</v>
      </c>
      <c r="AL62" s="117">
        <v>0</v>
      </c>
      <c r="AM62" s="117">
        <v>0</v>
      </c>
      <c r="AN62" s="117">
        <v>61</v>
      </c>
      <c r="AO62" s="117">
        <v>0</v>
      </c>
      <c r="AP62" s="117">
        <v>11</v>
      </c>
      <c r="AQ62" s="117">
        <v>61</v>
      </c>
    </row>
    <row r="63" spans="1:43" s="118" customFormat="1" ht="13.5" customHeight="1">
      <c r="A63" s="119">
        <v>62</v>
      </c>
      <c r="B63" s="76" t="s">
        <v>157</v>
      </c>
      <c r="C63" s="75" t="s">
        <v>882</v>
      </c>
      <c r="D63" s="77" t="s">
        <v>883</v>
      </c>
      <c r="E63" s="77" t="s">
        <v>909</v>
      </c>
      <c r="F63" s="120" t="s">
        <v>960</v>
      </c>
      <c r="G63" s="76" t="s">
        <v>158</v>
      </c>
      <c r="H63" s="121" t="s">
        <v>843</v>
      </c>
      <c r="I63" s="122"/>
      <c r="J63" s="123" t="s">
        <v>888</v>
      </c>
      <c r="K63" s="124">
        <v>2</v>
      </c>
      <c r="L63" s="117">
        <v>1</v>
      </c>
      <c r="M63" s="117">
        <v>1</v>
      </c>
      <c r="N63" s="116">
        <v>15</v>
      </c>
      <c r="O63" s="116">
        <v>3</v>
      </c>
      <c r="P63" s="116">
        <v>0</v>
      </c>
      <c r="Q63" s="116">
        <v>0</v>
      </c>
      <c r="R63" s="116">
        <v>0</v>
      </c>
      <c r="S63" s="116">
        <v>0</v>
      </c>
      <c r="T63" s="116">
        <v>0</v>
      </c>
      <c r="U63" s="116">
        <v>0</v>
      </c>
      <c r="V63" s="116">
        <v>0</v>
      </c>
      <c r="W63" s="116">
        <v>1</v>
      </c>
      <c r="X63" s="116">
        <v>0</v>
      </c>
      <c r="Y63" s="116">
        <v>0</v>
      </c>
      <c r="Z63" s="116">
        <v>1</v>
      </c>
      <c r="AA63" s="116">
        <v>0</v>
      </c>
      <c r="AB63" s="116">
        <v>0</v>
      </c>
      <c r="AC63" s="116">
        <v>0</v>
      </c>
      <c r="AD63" s="116">
        <v>0</v>
      </c>
      <c r="AE63" s="116">
        <v>0</v>
      </c>
      <c r="AF63" s="116">
        <v>15</v>
      </c>
      <c r="AG63" s="116">
        <v>2</v>
      </c>
      <c r="AH63" s="116">
        <v>0</v>
      </c>
      <c r="AI63" s="116">
        <v>1</v>
      </c>
      <c r="AJ63" s="117">
        <v>0</v>
      </c>
      <c r="AK63" s="117">
        <v>7</v>
      </c>
      <c r="AL63" s="117">
        <v>0</v>
      </c>
      <c r="AM63" s="117">
        <v>0</v>
      </c>
      <c r="AN63" s="117">
        <v>32</v>
      </c>
      <c r="AO63" s="117">
        <v>0</v>
      </c>
      <c r="AP63" s="117">
        <v>6</v>
      </c>
      <c r="AQ63" s="117">
        <v>33</v>
      </c>
    </row>
    <row r="64" spans="1:43" s="118" customFormat="1" ht="13.5" customHeight="1">
      <c r="A64" s="119">
        <v>63</v>
      </c>
      <c r="B64" s="76" t="s">
        <v>741</v>
      </c>
      <c r="C64" s="75" t="s">
        <v>882</v>
      </c>
      <c r="D64" s="77" t="s">
        <v>883</v>
      </c>
      <c r="E64" s="77" t="s">
        <v>909</v>
      </c>
      <c r="F64" s="120" t="s">
        <v>961</v>
      </c>
      <c r="G64" s="76" t="s">
        <v>742</v>
      </c>
      <c r="H64" s="121" t="s">
        <v>843</v>
      </c>
      <c r="I64" s="122" t="s">
        <v>842</v>
      </c>
      <c r="J64" s="123" t="s">
        <v>888</v>
      </c>
      <c r="K64" s="124">
        <v>2</v>
      </c>
      <c r="L64" s="117">
        <v>1</v>
      </c>
      <c r="M64" s="117">
        <v>1</v>
      </c>
      <c r="N64" s="116">
        <v>9</v>
      </c>
      <c r="O64" s="116">
        <v>5</v>
      </c>
      <c r="P64" s="116">
        <v>0</v>
      </c>
      <c r="Q64" s="116">
        <v>0</v>
      </c>
      <c r="R64" s="116">
        <v>0</v>
      </c>
      <c r="S64" s="116">
        <v>0</v>
      </c>
      <c r="T64" s="116">
        <v>1</v>
      </c>
      <c r="U64" s="116">
        <v>1</v>
      </c>
      <c r="V64" s="116">
        <v>0</v>
      </c>
      <c r="W64" s="116">
        <v>0</v>
      </c>
      <c r="X64" s="116">
        <v>0</v>
      </c>
      <c r="Y64" s="116">
        <v>0</v>
      </c>
      <c r="Z64" s="116">
        <v>7</v>
      </c>
      <c r="AA64" s="116">
        <v>4</v>
      </c>
      <c r="AB64" s="116">
        <v>0</v>
      </c>
      <c r="AC64" s="116">
        <v>0</v>
      </c>
      <c r="AD64" s="116">
        <v>0</v>
      </c>
      <c r="AE64" s="116">
        <v>0</v>
      </c>
      <c r="AF64" s="116">
        <v>0</v>
      </c>
      <c r="AG64" s="116">
        <v>0</v>
      </c>
      <c r="AH64" s="116">
        <v>0</v>
      </c>
      <c r="AI64" s="116">
        <v>1</v>
      </c>
      <c r="AJ64" s="117">
        <v>1</v>
      </c>
      <c r="AK64" s="117">
        <v>6</v>
      </c>
      <c r="AL64" s="117">
        <v>0</v>
      </c>
      <c r="AM64" s="117">
        <v>5</v>
      </c>
      <c r="AN64" s="117">
        <v>30</v>
      </c>
      <c r="AO64" s="117">
        <v>0</v>
      </c>
      <c r="AP64" s="117">
        <v>6</v>
      </c>
      <c r="AQ64" s="117">
        <v>36</v>
      </c>
    </row>
    <row r="65" spans="1:43" s="118" customFormat="1" ht="13.5" customHeight="1">
      <c r="A65" s="119">
        <v>64</v>
      </c>
      <c r="B65" s="76" t="s">
        <v>743</v>
      </c>
      <c r="C65" s="75" t="s">
        <v>882</v>
      </c>
      <c r="D65" s="77" t="s">
        <v>883</v>
      </c>
      <c r="E65" s="77" t="s">
        <v>909</v>
      </c>
      <c r="F65" s="120" t="s">
        <v>961</v>
      </c>
      <c r="G65" s="76" t="s">
        <v>744</v>
      </c>
      <c r="H65" s="121" t="s">
        <v>843</v>
      </c>
      <c r="I65" s="122" t="s">
        <v>842</v>
      </c>
      <c r="J65" s="123" t="s">
        <v>888</v>
      </c>
      <c r="K65" s="124">
        <v>2</v>
      </c>
      <c r="L65" s="117">
        <v>1</v>
      </c>
      <c r="M65" s="117">
        <v>1</v>
      </c>
      <c r="N65" s="116">
        <v>18</v>
      </c>
      <c r="O65" s="116">
        <v>5</v>
      </c>
      <c r="P65" s="116">
        <v>0</v>
      </c>
      <c r="Q65" s="116">
        <v>0</v>
      </c>
      <c r="R65" s="116">
        <v>0</v>
      </c>
      <c r="S65" s="116">
        <v>0</v>
      </c>
      <c r="T65" s="116">
        <v>3</v>
      </c>
      <c r="U65" s="116">
        <v>1</v>
      </c>
      <c r="V65" s="116">
        <v>0</v>
      </c>
      <c r="W65" s="116">
        <v>1</v>
      </c>
      <c r="X65" s="116">
        <v>0</v>
      </c>
      <c r="Y65" s="116">
        <v>0</v>
      </c>
      <c r="Z65" s="116">
        <v>13</v>
      </c>
      <c r="AA65" s="116">
        <v>3</v>
      </c>
      <c r="AB65" s="116">
        <v>0</v>
      </c>
      <c r="AC65" s="116">
        <v>0</v>
      </c>
      <c r="AD65" s="116">
        <v>0</v>
      </c>
      <c r="AE65" s="116">
        <v>0</v>
      </c>
      <c r="AF65" s="116">
        <v>0</v>
      </c>
      <c r="AG65" s="116">
        <v>0</v>
      </c>
      <c r="AH65" s="116">
        <v>0</v>
      </c>
      <c r="AI65" s="116">
        <v>1</v>
      </c>
      <c r="AJ65" s="117">
        <v>1</v>
      </c>
      <c r="AK65" s="117">
        <v>6</v>
      </c>
      <c r="AL65" s="117">
        <v>0</v>
      </c>
      <c r="AM65" s="117">
        <v>24</v>
      </c>
      <c r="AN65" s="117">
        <v>30</v>
      </c>
      <c r="AO65" s="117">
        <v>0</v>
      </c>
      <c r="AP65" s="117">
        <v>3</v>
      </c>
      <c r="AQ65" s="117">
        <v>42</v>
      </c>
    </row>
    <row r="66" spans="1:43" s="118" customFormat="1" ht="13.5" customHeight="1">
      <c r="A66" s="119">
        <v>65</v>
      </c>
      <c r="B66" s="76" t="s">
        <v>755</v>
      </c>
      <c r="C66" s="75" t="s">
        <v>882</v>
      </c>
      <c r="D66" s="77" t="s">
        <v>883</v>
      </c>
      <c r="E66" s="77" t="s">
        <v>909</v>
      </c>
      <c r="F66" s="120" t="s">
        <v>960</v>
      </c>
      <c r="G66" s="76" t="s">
        <v>756</v>
      </c>
      <c r="H66" s="121" t="s">
        <v>843</v>
      </c>
      <c r="I66" s="122" t="s">
        <v>842</v>
      </c>
      <c r="J66" s="123" t="s">
        <v>885</v>
      </c>
      <c r="K66" s="124">
        <v>2</v>
      </c>
      <c r="L66" s="117">
        <v>2</v>
      </c>
      <c r="M66" s="117">
        <v>1</v>
      </c>
      <c r="N66" s="116">
        <v>11</v>
      </c>
      <c r="O66" s="116">
        <v>3</v>
      </c>
      <c r="P66" s="116">
        <v>0</v>
      </c>
      <c r="Q66" s="116">
        <v>1</v>
      </c>
      <c r="R66" s="116">
        <v>0</v>
      </c>
      <c r="S66" s="116">
        <v>0</v>
      </c>
      <c r="T66" s="116">
        <v>0</v>
      </c>
      <c r="U66" s="116">
        <v>0</v>
      </c>
      <c r="V66" s="116">
        <v>0</v>
      </c>
      <c r="W66" s="116">
        <v>0</v>
      </c>
      <c r="X66" s="116">
        <v>0</v>
      </c>
      <c r="Y66" s="116">
        <v>0</v>
      </c>
      <c r="Z66" s="116">
        <v>1</v>
      </c>
      <c r="AA66" s="116">
        <v>0</v>
      </c>
      <c r="AB66" s="116">
        <v>0</v>
      </c>
      <c r="AC66" s="116">
        <v>11</v>
      </c>
      <c r="AD66" s="116">
        <v>2</v>
      </c>
      <c r="AE66" s="116">
        <v>0</v>
      </c>
      <c r="AF66" s="116">
        <v>0</v>
      </c>
      <c r="AG66" s="116">
        <v>0</v>
      </c>
      <c r="AH66" s="116">
        <v>0</v>
      </c>
      <c r="AI66" s="116">
        <v>1</v>
      </c>
      <c r="AJ66" s="117">
        <v>0</v>
      </c>
      <c r="AK66" s="117">
        <v>5</v>
      </c>
      <c r="AL66" s="117">
        <v>0</v>
      </c>
      <c r="AM66" s="117">
        <v>0</v>
      </c>
      <c r="AN66" s="117">
        <v>47</v>
      </c>
      <c r="AO66" s="117">
        <v>0</v>
      </c>
      <c r="AP66" s="117">
        <v>4</v>
      </c>
      <c r="AQ66" s="117">
        <v>48</v>
      </c>
    </row>
    <row r="67" spans="1:43" s="118" customFormat="1" ht="13.5" customHeight="1">
      <c r="A67" s="119">
        <v>66</v>
      </c>
      <c r="B67" s="76" t="s">
        <v>757</v>
      </c>
      <c r="C67" s="75" t="s">
        <v>882</v>
      </c>
      <c r="D67" s="77" t="s">
        <v>883</v>
      </c>
      <c r="E67" s="77" t="s">
        <v>909</v>
      </c>
      <c r="F67" s="120" t="s">
        <v>961</v>
      </c>
      <c r="G67" s="76" t="s">
        <v>758</v>
      </c>
      <c r="H67" s="121" t="s">
        <v>843</v>
      </c>
      <c r="I67" s="122" t="s">
        <v>844</v>
      </c>
      <c r="J67" s="123" t="s">
        <v>888</v>
      </c>
      <c r="K67" s="124">
        <v>2</v>
      </c>
      <c r="L67" s="117">
        <v>2</v>
      </c>
      <c r="M67" s="117">
        <v>1</v>
      </c>
      <c r="N67" s="116">
        <v>4</v>
      </c>
      <c r="O67" s="116">
        <v>5</v>
      </c>
      <c r="P67" s="116">
        <v>0</v>
      </c>
      <c r="Q67" s="116">
        <v>1</v>
      </c>
      <c r="R67" s="116">
        <v>4</v>
      </c>
      <c r="S67" s="116">
        <v>0</v>
      </c>
      <c r="T67" s="116">
        <v>0</v>
      </c>
      <c r="U67" s="116">
        <v>1</v>
      </c>
      <c r="V67" s="116">
        <v>0</v>
      </c>
      <c r="W67" s="116">
        <v>1</v>
      </c>
      <c r="X67" s="116">
        <v>0</v>
      </c>
      <c r="Y67" s="116">
        <v>0</v>
      </c>
      <c r="Z67" s="116">
        <v>0</v>
      </c>
      <c r="AA67" s="116">
        <v>0</v>
      </c>
      <c r="AB67" s="116">
        <v>0</v>
      </c>
      <c r="AC67" s="116">
        <v>4</v>
      </c>
      <c r="AD67" s="116">
        <v>7</v>
      </c>
      <c r="AE67" s="116">
        <v>0</v>
      </c>
      <c r="AF67" s="116">
        <v>0</v>
      </c>
      <c r="AG67" s="116">
        <v>0</v>
      </c>
      <c r="AH67" s="116">
        <v>0</v>
      </c>
      <c r="AI67" s="116">
        <v>1</v>
      </c>
      <c r="AJ67" s="117">
        <v>2</v>
      </c>
      <c r="AK67" s="117">
        <v>8</v>
      </c>
      <c r="AL67" s="117">
        <v>0</v>
      </c>
      <c r="AM67" s="117">
        <v>5</v>
      </c>
      <c r="AN67" s="117">
        <v>55</v>
      </c>
      <c r="AO67" s="117">
        <v>0</v>
      </c>
      <c r="AP67" s="117">
        <v>8</v>
      </c>
      <c r="AQ67" s="117">
        <v>62</v>
      </c>
    </row>
    <row r="68" spans="1:43" s="118" customFormat="1" ht="13.5" customHeight="1">
      <c r="A68" s="119">
        <v>67</v>
      </c>
      <c r="B68" s="76" t="s">
        <v>241</v>
      </c>
      <c r="C68" s="75" t="s">
        <v>882</v>
      </c>
      <c r="D68" s="77" t="s">
        <v>883</v>
      </c>
      <c r="E68" s="77" t="s">
        <v>909</v>
      </c>
      <c r="F68" s="120" t="s">
        <v>961</v>
      </c>
      <c r="G68" s="76" t="s">
        <v>242</v>
      </c>
      <c r="H68" s="121" t="s">
        <v>843</v>
      </c>
      <c r="I68" s="122"/>
      <c r="J68" s="123" t="s">
        <v>888</v>
      </c>
      <c r="K68" s="124">
        <v>2</v>
      </c>
      <c r="L68" s="117">
        <v>1</v>
      </c>
      <c r="M68" s="117">
        <v>1</v>
      </c>
      <c r="N68" s="116">
        <v>8</v>
      </c>
      <c r="O68" s="116">
        <v>2</v>
      </c>
      <c r="P68" s="116">
        <v>0</v>
      </c>
      <c r="Q68" s="116">
        <v>0</v>
      </c>
      <c r="R68" s="116">
        <v>1</v>
      </c>
      <c r="S68" s="116">
        <v>0</v>
      </c>
      <c r="T68" s="116">
        <v>0</v>
      </c>
      <c r="U68" s="116">
        <v>0</v>
      </c>
      <c r="V68" s="116">
        <v>0</v>
      </c>
      <c r="W68" s="116">
        <v>0</v>
      </c>
      <c r="X68" s="116">
        <v>0</v>
      </c>
      <c r="Y68" s="116">
        <v>0</v>
      </c>
      <c r="Z68" s="116">
        <v>9</v>
      </c>
      <c r="AA68" s="116">
        <v>3</v>
      </c>
      <c r="AB68" s="116">
        <v>0</v>
      </c>
      <c r="AC68" s="116">
        <v>0</v>
      </c>
      <c r="AD68" s="116">
        <v>0</v>
      </c>
      <c r="AE68" s="116">
        <v>0</v>
      </c>
      <c r="AF68" s="116">
        <v>0</v>
      </c>
      <c r="AG68" s="116">
        <v>0</v>
      </c>
      <c r="AH68" s="116">
        <v>0</v>
      </c>
      <c r="AI68" s="116">
        <v>1</v>
      </c>
      <c r="AJ68" s="117">
        <v>0</v>
      </c>
      <c r="AK68" s="117">
        <v>6</v>
      </c>
      <c r="AL68" s="117">
        <v>0</v>
      </c>
      <c r="AM68" s="117">
        <v>12</v>
      </c>
      <c r="AN68" s="117">
        <v>19</v>
      </c>
      <c r="AO68" s="117">
        <v>0</v>
      </c>
      <c r="AP68" s="117">
        <v>3</v>
      </c>
      <c r="AQ68" s="117">
        <v>32</v>
      </c>
    </row>
    <row r="69" spans="1:43" s="118" customFormat="1" ht="13.5" customHeight="1">
      <c r="A69" s="119">
        <v>68</v>
      </c>
      <c r="B69" s="76" t="s">
        <v>250</v>
      </c>
      <c r="C69" s="75" t="s">
        <v>882</v>
      </c>
      <c r="D69" s="77" t="s">
        <v>883</v>
      </c>
      <c r="E69" s="77" t="s">
        <v>909</v>
      </c>
      <c r="F69" s="120" t="s">
        <v>961</v>
      </c>
      <c r="G69" s="76" t="s">
        <v>251</v>
      </c>
      <c r="H69" s="121" t="s">
        <v>843</v>
      </c>
      <c r="I69" s="122" t="s">
        <v>842</v>
      </c>
      <c r="J69" s="123" t="s">
        <v>885</v>
      </c>
      <c r="K69" s="124">
        <v>2</v>
      </c>
      <c r="L69" s="117">
        <v>1</v>
      </c>
      <c r="M69" s="117">
        <v>0</v>
      </c>
      <c r="N69" s="116">
        <v>9</v>
      </c>
      <c r="O69" s="116">
        <v>5</v>
      </c>
      <c r="P69" s="116">
        <v>1</v>
      </c>
      <c r="Q69" s="116">
        <v>1</v>
      </c>
      <c r="R69" s="116">
        <v>0</v>
      </c>
      <c r="S69" s="116">
        <v>0</v>
      </c>
      <c r="T69" s="116">
        <v>0</v>
      </c>
      <c r="U69" s="116">
        <v>0</v>
      </c>
      <c r="V69" s="116">
        <v>0</v>
      </c>
      <c r="W69" s="116">
        <v>2</v>
      </c>
      <c r="X69" s="116">
        <v>1</v>
      </c>
      <c r="Y69" s="116">
        <v>0</v>
      </c>
      <c r="Z69" s="116">
        <v>7</v>
      </c>
      <c r="AA69" s="116">
        <v>4</v>
      </c>
      <c r="AB69" s="116">
        <v>2</v>
      </c>
      <c r="AC69" s="116">
        <v>0</v>
      </c>
      <c r="AD69" s="116">
        <v>0</v>
      </c>
      <c r="AE69" s="116">
        <v>0</v>
      </c>
      <c r="AF69" s="116">
        <v>0</v>
      </c>
      <c r="AG69" s="116">
        <v>0</v>
      </c>
      <c r="AH69" s="116">
        <v>0</v>
      </c>
      <c r="AI69" s="116">
        <v>1</v>
      </c>
      <c r="AJ69" s="117">
        <v>0</v>
      </c>
      <c r="AK69" s="117">
        <v>9</v>
      </c>
      <c r="AL69" s="117">
        <v>0</v>
      </c>
      <c r="AM69" s="117">
        <v>33</v>
      </c>
      <c r="AN69" s="117">
        <v>24</v>
      </c>
      <c r="AO69" s="117">
        <v>0</v>
      </c>
      <c r="AP69" s="117">
        <v>8</v>
      </c>
      <c r="AQ69" s="117">
        <v>59</v>
      </c>
    </row>
    <row r="70" spans="1:43" s="118" customFormat="1" ht="13.5" customHeight="1">
      <c r="A70" s="119">
        <v>69</v>
      </c>
      <c r="B70" s="76" t="s">
        <v>256</v>
      </c>
      <c r="C70" s="75" t="s">
        <v>882</v>
      </c>
      <c r="D70" s="77" t="s">
        <v>883</v>
      </c>
      <c r="E70" s="77" t="s">
        <v>909</v>
      </c>
      <c r="F70" s="120" t="s">
        <v>961</v>
      </c>
      <c r="G70" s="76" t="s">
        <v>257</v>
      </c>
      <c r="H70" s="121" t="s">
        <v>843</v>
      </c>
      <c r="I70" s="122" t="s">
        <v>842</v>
      </c>
      <c r="J70" s="123" t="s">
        <v>888</v>
      </c>
      <c r="K70" s="124">
        <v>2</v>
      </c>
      <c r="L70" s="117">
        <v>2</v>
      </c>
      <c r="M70" s="117">
        <v>1</v>
      </c>
      <c r="N70" s="116">
        <v>7</v>
      </c>
      <c r="O70" s="116">
        <v>3</v>
      </c>
      <c r="P70" s="116">
        <v>0</v>
      </c>
      <c r="Q70" s="116">
        <v>2</v>
      </c>
      <c r="R70" s="116">
        <v>3</v>
      </c>
      <c r="S70" s="116">
        <v>0</v>
      </c>
      <c r="T70" s="116">
        <v>0</v>
      </c>
      <c r="U70" s="116">
        <v>0</v>
      </c>
      <c r="V70" s="116">
        <v>0</v>
      </c>
      <c r="W70" s="116">
        <v>0</v>
      </c>
      <c r="X70" s="116">
        <v>0</v>
      </c>
      <c r="Y70" s="116">
        <v>0</v>
      </c>
      <c r="Z70" s="116">
        <v>9</v>
      </c>
      <c r="AA70" s="116">
        <v>5</v>
      </c>
      <c r="AB70" s="116">
        <v>0</v>
      </c>
      <c r="AC70" s="116">
        <v>0</v>
      </c>
      <c r="AD70" s="116">
        <v>0</v>
      </c>
      <c r="AE70" s="116">
        <v>0</v>
      </c>
      <c r="AF70" s="116">
        <v>0</v>
      </c>
      <c r="AG70" s="116">
        <v>0</v>
      </c>
      <c r="AH70" s="116">
        <v>0</v>
      </c>
      <c r="AI70" s="116">
        <v>1</v>
      </c>
      <c r="AJ70" s="117">
        <v>0</v>
      </c>
      <c r="AK70" s="117">
        <v>9</v>
      </c>
      <c r="AL70" s="117">
        <v>0</v>
      </c>
      <c r="AM70" s="117">
        <v>20</v>
      </c>
      <c r="AN70" s="117">
        <v>20</v>
      </c>
      <c r="AO70" s="117">
        <v>0</v>
      </c>
      <c r="AP70" s="117">
        <v>7</v>
      </c>
      <c r="AQ70" s="117">
        <v>41</v>
      </c>
    </row>
    <row r="71" spans="1:43" s="118" customFormat="1" ht="13.5" customHeight="1">
      <c r="A71" s="119">
        <v>70</v>
      </c>
      <c r="B71" s="76" t="s">
        <v>783</v>
      </c>
      <c r="C71" s="75" t="s">
        <v>882</v>
      </c>
      <c r="D71" s="77" t="s">
        <v>883</v>
      </c>
      <c r="E71" s="77" t="s">
        <v>909</v>
      </c>
      <c r="F71" s="120" t="s">
        <v>961</v>
      </c>
      <c r="G71" s="76" t="s">
        <v>784</v>
      </c>
      <c r="H71" s="121" t="s">
        <v>843</v>
      </c>
      <c r="I71" s="122"/>
      <c r="J71" s="123" t="s">
        <v>888</v>
      </c>
      <c r="K71" s="124">
        <v>2</v>
      </c>
      <c r="L71" s="117">
        <v>2</v>
      </c>
      <c r="M71" s="117">
        <v>0</v>
      </c>
      <c r="N71" s="116">
        <v>13</v>
      </c>
      <c r="O71" s="116">
        <v>1</v>
      </c>
      <c r="P71" s="116">
        <v>1</v>
      </c>
      <c r="Q71" s="116">
        <v>6</v>
      </c>
      <c r="R71" s="116">
        <v>0</v>
      </c>
      <c r="S71" s="116">
        <v>0</v>
      </c>
      <c r="T71" s="116">
        <v>0</v>
      </c>
      <c r="U71" s="116">
        <v>0</v>
      </c>
      <c r="V71" s="116">
        <v>0</v>
      </c>
      <c r="W71" s="116">
        <v>0</v>
      </c>
      <c r="X71" s="116">
        <v>0</v>
      </c>
      <c r="Y71" s="116">
        <v>0</v>
      </c>
      <c r="Z71" s="116">
        <v>0</v>
      </c>
      <c r="AA71" s="116">
        <v>0</v>
      </c>
      <c r="AB71" s="116">
        <v>0</v>
      </c>
      <c r="AC71" s="116">
        <v>0</v>
      </c>
      <c r="AD71" s="116">
        <v>0</v>
      </c>
      <c r="AE71" s="116">
        <v>0</v>
      </c>
      <c r="AF71" s="116">
        <v>14</v>
      </c>
      <c r="AG71" s="116">
        <v>1</v>
      </c>
      <c r="AH71" s="116">
        <v>6</v>
      </c>
      <c r="AI71" s="116">
        <v>1</v>
      </c>
      <c r="AJ71" s="117">
        <v>0</v>
      </c>
      <c r="AK71" s="117">
        <v>4</v>
      </c>
      <c r="AL71" s="117">
        <v>0</v>
      </c>
      <c r="AM71" s="117">
        <v>9</v>
      </c>
      <c r="AN71" s="117">
        <v>9</v>
      </c>
      <c r="AO71" s="117">
        <v>0</v>
      </c>
      <c r="AP71" s="117">
        <v>2</v>
      </c>
      <c r="AQ71" s="117">
        <v>20</v>
      </c>
    </row>
    <row r="72" spans="1:43" s="118" customFormat="1" ht="13.5" customHeight="1">
      <c r="A72" s="119">
        <v>71</v>
      </c>
      <c r="B72" s="76" t="s">
        <v>78</v>
      </c>
      <c r="C72" s="75" t="s">
        <v>882</v>
      </c>
      <c r="D72" s="77" t="s">
        <v>883</v>
      </c>
      <c r="E72" s="77" t="s">
        <v>909</v>
      </c>
      <c r="F72" s="120" t="s">
        <v>963</v>
      </c>
      <c r="G72" s="76" t="s">
        <v>79</v>
      </c>
      <c r="H72" s="121" t="s">
        <v>843</v>
      </c>
      <c r="I72" s="122"/>
      <c r="J72" s="123" t="s">
        <v>885</v>
      </c>
      <c r="K72" s="124">
        <v>2</v>
      </c>
      <c r="L72" s="117">
        <v>1</v>
      </c>
      <c r="M72" s="117">
        <v>2</v>
      </c>
      <c r="N72" s="116">
        <v>7</v>
      </c>
      <c r="O72" s="116">
        <v>1</v>
      </c>
      <c r="P72" s="116">
        <v>0</v>
      </c>
      <c r="Q72" s="116">
        <v>9</v>
      </c>
      <c r="R72" s="116">
        <v>1</v>
      </c>
      <c r="S72" s="116">
        <v>0</v>
      </c>
      <c r="T72" s="116">
        <v>0</v>
      </c>
      <c r="U72" s="116">
        <v>0</v>
      </c>
      <c r="V72" s="116">
        <v>0</v>
      </c>
      <c r="W72" s="116">
        <v>0</v>
      </c>
      <c r="X72" s="116">
        <v>0</v>
      </c>
      <c r="Y72" s="116">
        <v>0</v>
      </c>
      <c r="Z72" s="116">
        <v>15</v>
      </c>
      <c r="AA72" s="116">
        <v>1</v>
      </c>
      <c r="AB72" s="116">
        <v>0</v>
      </c>
      <c r="AC72" s="116">
        <v>0</v>
      </c>
      <c r="AD72" s="116">
        <v>0</v>
      </c>
      <c r="AE72" s="116">
        <v>0</v>
      </c>
      <c r="AF72" s="116">
        <v>0</v>
      </c>
      <c r="AG72" s="116">
        <v>0</v>
      </c>
      <c r="AH72" s="116">
        <v>0</v>
      </c>
      <c r="AI72" s="116">
        <v>1</v>
      </c>
      <c r="AJ72" s="117">
        <v>0</v>
      </c>
      <c r="AK72" s="117">
        <v>7</v>
      </c>
      <c r="AL72" s="117">
        <v>0</v>
      </c>
      <c r="AM72" s="117">
        <v>0</v>
      </c>
      <c r="AN72" s="117">
        <v>57</v>
      </c>
      <c r="AO72" s="117">
        <v>0</v>
      </c>
      <c r="AP72" s="117">
        <v>5</v>
      </c>
      <c r="AQ72" s="117">
        <v>59</v>
      </c>
    </row>
    <row r="73" spans="1:43" s="118" customFormat="1" ht="13.5" customHeight="1">
      <c r="A73" s="119">
        <v>72</v>
      </c>
      <c r="B73" s="76" t="s">
        <v>259</v>
      </c>
      <c r="C73" s="75" t="s">
        <v>882</v>
      </c>
      <c r="D73" s="77" t="s">
        <v>883</v>
      </c>
      <c r="E73" s="77" t="s">
        <v>909</v>
      </c>
      <c r="F73" s="120" t="s">
        <v>961</v>
      </c>
      <c r="G73" s="76" t="s">
        <v>260</v>
      </c>
      <c r="H73" s="121" t="s">
        <v>843</v>
      </c>
      <c r="I73" s="122"/>
      <c r="J73" s="123" t="s">
        <v>885</v>
      </c>
      <c r="K73" s="124">
        <v>2</v>
      </c>
      <c r="L73" s="117">
        <v>1</v>
      </c>
      <c r="M73" s="117">
        <v>1</v>
      </c>
      <c r="N73" s="116">
        <v>6</v>
      </c>
      <c r="O73" s="116">
        <v>1</v>
      </c>
      <c r="P73" s="116">
        <v>0</v>
      </c>
      <c r="Q73" s="116">
        <v>4</v>
      </c>
      <c r="R73" s="116">
        <v>3</v>
      </c>
      <c r="S73" s="116">
        <v>0</v>
      </c>
      <c r="T73" s="116">
        <v>0</v>
      </c>
      <c r="U73" s="116">
        <v>0</v>
      </c>
      <c r="V73" s="116">
        <v>0</v>
      </c>
      <c r="W73" s="116">
        <v>0</v>
      </c>
      <c r="X73" s="116">
        <v>0</v>
      </c>
      <c r="Y73" s="116">
        <v>0</v>
      </c>
      <c r="Z73" s="116">
        <v>9</v>
      </c>
      <c r="AA73" s="116">
        <v>3</v>
      </c>
      <c r="AB73" s="116">
        <v>0</v>
      </c>
      <c r="AC73" s="116">
        <v>0</v>
      </c>
      <c r="AD73" s="116">
        <v>0</v>
      </c>
      <c r="AE73" s="116">
        <v>0</v>
      </c>
      <c r="AF73" s="116">
        <v>0</v>
      </c>
      <c r="AG73" s="116">
        <v>0</v>
      </c>
      <c r="AH73" s="116">
        <v>0</v>
      </c>
      <c r="AI73" s="116">
        <v>1</v>
      </c>
      <c r="AJ73" s="117">
        <v>0</v>
      </c>
      <c r="AK73" s="117">
        <v>4</v>
      </c>
      <c r="AL73" s="117">
        <v>0</v>
      </c>
      <c r="AM73" s="117">
        <v>24</v>
      </c>
      <c r="AN73" s="117">
        <v>12</v>
      </c>
      <c r="AO73" s="117">
        <v>1</v>
      </c>
      <c r="AP73" s="117">
        <v>2</v>
      </c>
      <c r="AQ73" s="117">
        <v>37</v>
      </c>
    </row>
    <row r="74" spans="1:43" s="118" customFormat="1" ht="13.5" customHeight="1">
      <c r="A74" s="119">
        <v>73</v>
      </c>
      <c r="B74" s="76" t="s">
        <v>172</v>
      </c>
      <c r="C74" s="75" t="s">
        <v>882</v>
      </c>
      <c r="D74" s="77" t="s">
        <v>883</v>
      </c>
      <c r="E74" s="77" t="s">
        <v>909</v>
      </c>
      <c r="F74" s="120" t="s">
        <v>960</v>
      </c>
      <c r="G74" s="76" t="s">
        <v>173</v>
      </c>
      <c r="H74" s="121" t="s">
        <v>843</v>
      </c>
      <c r="I74" s="122"/>
      <c r="J74" s="123" t="s">
        <v>888</v>
      </c>
      <c r="K74" s="124">
        <v>2</v>
      </c>
      <c r="L74" s="117">
        <v>0</v>
      </c>
      <c r="M74" s="117">
        <v>0</v>
      </c>
      <c r="N74" s="116">
        <v>13</v>
      </c>
      <c r="O74" s="116">
        <v>1</v>
      </c>
      <c r="P74" s="116">
        <v>1</v>
      </c>
      <c r="Q74" s="116">
        <v>0</v>
      </c>
      <c r="R74" s="116">
        <v>1</v>
      </c>
      <c r="S74" s="116">
        <v>0</v>
      </c>
      <c r="T74" s="116">
        <v>0</v>
      </c>
      <c r="U74" s="116">
        <v>0</v>
      </c>
      <c r="V74" s="116">
        <v>0</v>
      </c>
      <c r="W74" s="116">
        <v>0</v>
      </c>
      <c r="X74" s="116">
        <v>0</v>
      </c>
      <c r="Y74" s="116">
        <v>0</v>
      </c>
      <c r="Z74" s="116">
        <v>12</v>
      </c>
      <c r="AA74" s="116">
        <v>1</v>
      </c>
      <c r="AB74" s="116">
        <v>3</v>
      </c>
      <c r="AC74" s="116">
        <v>0</v>
      </c>
      <c r="AD74" s="116">
        <v>0</v>
      </c>
      <c r="AE74" s="116">
        <v>0</v>
      </c>
      <c r="AF74" s="116">
        <v>0</v>
      </c>
      <c r="AG74" s="116">
        <v>0</v>
      </c>
      <c r="AH74" s="116">
        <v>0</v>
      </c>
      <c r="AI74" s="116">
        <v>1</v>
      </c>
      <c r="AJ74" s="117">
        <v>0</v>
      </c>
      <c r="AK74" s="117">
        <v>5</v>
      </c>
      <c r="AL74" s="117">
        <v>1</v>
      </c>
      <c r="AM74" s="117">
        <v>1</v>
      </c>
      <c r="AN74" s="117">
        <v>31</v>
      </c>
      <c r="AO74" s="117">
        <v>0</v>
      </c>
      <c r="AP74" s="117">
        <v>5</v>
      </c>
      <c r="AQ74" s="117">
        <v>33</v>
      </c>
    </row>
    <row r="75" spans="1:43" s="118" customFormat="1" ht="13.5" customHeight="1">
      <c r="A75" s="119">
        <v>74</v>
      </c>
      <c r="B75" s="76" t="s">
        <v>262</v>
      </c>
      <c r="C75" s="75" t="s">
        <v>882</v>
      </c>
      <c r="D75" s="77" t="s">
        <v>883</v>
      </c>
      <c r="E75" s="77" t="s">
        <v>909</v>
      </c>
      <c r="F75" s="120" t="s">
        <v>961</v>
      </c>
      <c r="G75" s="76" t="s">
        <v>263</v>
      </c>
      <c r="H75" s="121" t="s">
        <v>843</v>
      </c>
      <c r="I75" s="122" t="s">
        <v>842</v>
      </c>
      <c r="J75" s="123" t="s">
        <v>888</v>
      </c>
      <c r="K75" s="124">
        <v>2</v>
      </c>
      <c r="L75" s="117">
        <v>2</v>
      </c>
      <c r="M75" s="117">
        <v>2</v>
      </c>
      <c r="N75" s="116">
        <v>9</v>
      </c>
      <c r="O75" s="116">
        <v>3</v>
      </c>
      <c r="P75" s="116">
        <v>0</v>
      </c>
      <c r="Q75" s="116">
        <v>6</v>
      </c>
      <c r="R75" s="116">
        <v>5</v>
      </c>
      <c r="S75" s="116">
        <v>0</v>
      </c>
      <c r="T75" s="116">
        <v>1</v>
      </c>
      <c r="U75" s="116">
        <v>1</v>
      </c>
      <c r="V75" s="116">
        <v>0</v>
      </c>
      <c r="W75" s="116">
        <v>1</v>
      </c>
      <c r="X75" s="116">
        <v>0</v>
      </c>
      <c r="Y75" s="116">
        <v>0</v>
      </c>
      <c r="Z75" s="116">
        <v>12</v>
      </c>
      <c r="AA75" s="116">
        <v>6</v>
      </c>
      <c r="AB75" s="116">
        <v>0</v>
      </c>
      <c r="AC75" s="116">
        <v>0</v>
      </c>
      <c r="AD75" s="116">
        <v>0</v>
      </c>
      <c r="AE75" s="116">
        <v>0</v>
      </c>
      <c r="AF75" s="116">
        <v>0</v>
      </c>
      <c r="AG75" s="116">
        <v>0</v>
      </c>
      <c r="AH75" s="116">
        <v>0</v>
      </c>
      <c r="AI75" s="116">
        <v>1</v>
      </c>
      <c r="AJ75" s="117">
        <v>0</v>
      </c>
      <c r="AK75" s="117">
        <v>11</v>
      </c>
      <c r="AL75" s="117">
        <v>0</v>
      </c>
      <c r="AM75" s="117">
        <v>29</v>
      </c>
      <c r="AN75" s="117">
        <v>30</v>
      </c>
      <c r="AO75" s="117">
        <v>1</v>
      </c>
      <c r="AP75" s="117">
        <v>9</v>
      </c>
      <c r="AQ75" s="117">
        <v>58</v>
      </c>
    </row>
    <row r="76" spans="1:43" s="118" customFormat="1" ht="13.5" customHeight="1">
      <c r="A76" s="119">
        <v>75</v>
      </c>
      <c r="B76" s="76" t="s">
        <v>787</v>
      </c>
      <c r="C76" s="75" t="s">
        <v>882</v>
      </c>
      <c r="D76" s="77" t="s">
        <v>883</v>
      </c>
      <c r="E76" s="77" t="s">
        <v>909</v>
      </c>
      <c r="F76" s="120" t="s">
        <v>961</v>
      </c>
      <c r="G76" s="76" t="s">
        <v>788</v>
      </c>
      <c r="H76" s="121" t="s">
        <v>843</v>
      </c>
      <c r="I76" s="122"/>
      <c r="J76" s="123" t="s">
        <v>888</v>
      </c>
      <c r="K76" s="124">
        <v>2</v>
      </c>
      <c r="L76" s="117">
        <v>1</v>
      </c>
      <c r="M76" s="117">
        <v>1</v>
      </c>
      <c r="N76" s="116">
        <v>3</v>
      </c>
      <c r="O76" s="116">
        <v>2</v>
      </c>
      <c r="P76" s="116">
        <v>0</v>
      </c>
      <c r="Q76" s="116">
        <v>1</v>
      </c>
      <c r="R76" s="116">
        <v>0</v>
      </c>
      <c r="S76" s="116">
        <v>0</v>
      </c>
      <c r="T76" s="116">
        <v>1</v>
      </c>
      <c r="U76" s="116">
        <v>0</v>
      </c>
      <c r="V76" s="116">
        <v>0</v>
      </c>
      <c r="W76" s="116">
        <v>0</v>
      </c>
      <c r="X76" s="116">
        <v>0</v>
      </c>
      <c r="Y76" s="116">
        <v>0</v>
      </c>
      <c r="Z76" s="116">
        <v>2</v>
      </c>
      <c r="AA76" s="116">
        <v>1</v>
      </c>
      <c r="AB76" s="116">
        <v>0</v>
      </c>
      <c r="AC76" s="116">
        <v>0</v>
      </c>
      <c r="AD76" s="116">
        <v>0</v>
      </c>
      <c r="AE76" s="116">
        <v>0</v>
      </c>
      <c r="AF76" s="116">
        <v>0</v>
      </c>
      <c r="AG76" s="116">
        <v>0</v>
      </c>
      <c r="AH76" s="116">
        <v>0</v>
      </c>
      <c r="AI76" s="116">
        <v>1</v>
      </c>
      <c r="AJ76" s="117">
        <v>1</v>
      </c>
      <c r="AK76" s="117">
        <v>1</v>
      </c>
      <c r="AL76" s="117">
        <v>0</v>
      </c>
      <c r="AM76" s="117">
        <v>3</v>
      </c>
      <c r="AN76" s="117">
        <v>10</v>
      </c>
      <c r="AO76" s="117">
        <v>0</v>
      </c>
      <c r="AP76" s="117">
        <v>1</v>
      </c>
      <c r="AQ76" s="117">
        <v>14</v>
      </c>
    </row>
    <row r="77" spans="1:43" s="118" customFormat="1" ht="13.5" customHeight="1">
      <c r="A77" s="119">
        <v>76</v>
      </c>
      <c r="B77" s="76" t="s">
        <v>791</v>
      </c>
      <c r="C77" s="75" t="s">
        <v>882</v>
      </c>
      <c r="D77" s="77" t="s">
        <v>883</v>
      </c>
      <c r="E77" s="77" t="s">
        <v>909</v>
      </c>
      <c r="F77" s="120" t="s">
        <v>960</v>
      </c>
      <c r="G77" s="76" t="s">
        <v>792</v>
      </c>
      <c r="H77" s="121" t="s">
        <v>843</v>
      </c>
      <c r="I77" s="122"/>
      <c r="J77" s="123" t="s">
        <v>888</v>
      </c>
      <c r="K77" s="124">
        <v>2</v>
      </c>
      <c r="L77" s="117">
        <v>1</v>
      </c>
      <c r="M77" s="117">
        <v>1</v>
      </c>
      <c r="N77" s="116">
        <v>7</v>
      </c>
      <c r="O77" s="116">
        <v>7</v>
      </c>
      <c r="P77" s="116">
        <v>0</v>
      </c>
      <c r="Q77" s="116">
        <v>9</v>
      </c>
      <c r="R77" s="116">
        <v>2</v>
      </c>
      <c r="S77" s="116">
        <v>0</v>
      </c>
      <c r="T77" s="116">
        <v>0</v>
      </c>
      <c r="U77" s="116">
        <v>0</v>
      </c>
      <c r="V77" s="116">
        <v>0</v>
      </c>
      <c r="W77" s="116">
        <v>0</v>
      </c>
      <c r="X77" s="116">
        <v>0</v>
      </c>
      <c r="Y77" s="116">
        <v>0</v>
      </c>
      <c r="Z77" s="116">
        <v>0</v>
      </c>
      <c r="AA77" s="116">
        <v>0</v>
      </c>
      <c r="AB77" s="116">
        <v>0</v>
      </c>
      <c r="AC77" s="116">
        <v>0</v>
      </c>
      <c r="AD77" s="116">
        <v>0</v>
      </c>
      <c r="AE77" s="116">
        <v>0</v>
      </c>
      <c r="AF77" s="116">
        <v>15</v>
      </c>
      <c r="AG77" s="116">
        <v>9</v>
      </c>
      <c r="AH77" s="116">
        <v>0</v>
      </c>
      <c r="AI77" s="116">
        <v>1</v>
      </c>
      <c r="AJ77" s="117">
        <v>0</v>
      </c>
      <c r="AK77" s="117">
        <v>4</v>
      </c>
      <c r="AL77" s="117">
        <v>0</v>
      </c>
      <c r="AM77" s="117">
        <v>0</v>
      </c>
      <c r="AN77" s="117">
        <v>29</v>
      </c>
      <c r="AO77" s="117">
        <v>0</v>
      </c>
      <c r="AP77" s="117">
        <v>3</v>
      </c>
      <c r="AQ77" s="117">
        <v>30</v>
      </c>
    </row>
    <row r="78" spans="1:43" s="118" customFormat="1" ht="13.5" customHeight="1">
      <c r="A78" s="119">
        <v>77</v>
      </c>
      <c r="B78" s="76" t="s">
        <v>127</v>
      </c>
      <c r="C78" s="75" t="s">
        <v>882</v>
      </c>
      <c r="D78" s="77" t="s">
        <v>883</v>
      </c>
      <c r="E78" s="77" t="s">
        <v>909</v>
      </c>
      <c r="F78" s="120" t="s">
        <v>962</v>
      </c>
      <c r="G78" s="76" t="s">
        <v>128</v>
      </c>
      <c r="H78" s="121" t="s">
        <v>843</v>
      </c>
      <c r="I78" s="122"/>
      <c r="J78" s="123" t="s">
        <v>888</v>
      </c>
      <c r="K78" s="124">
        <v>2</v>
      </c>
      <c r="L78" s="117">
        <v>2</v>
      </c>
      <c r="M78" s="117">
        <v>2</v>
      </c>
      <c r="N78" s="116">
        <v>13</v>
      </c>
      <c r="O78" s="116">
        <v>8</v>
      </c>
      <c r="P78" s="116">
        <v>0</v>
      </c>
      <c r="Q78" s="116">
        <v>16</v>
      </c>
      <c r="R78" s="116">
        <v>13</v>
      </c>
      <c r="S78" s="116">
        <v>0</v>
      </c>
      <c r="T78" s="116">
        <v>1</v>
      </c>
      <c r="U78" s="116">
        <v>2</v>
      </c>
      <c r="V78" s="116">
        <v>0</v>
      </c>
      <c r="W78" s="116">
        <v>5</v>
      </c>
      <c r="X78" s="116">
        <v>2</v>
      </c>
      <c r="Y78" s="116">
        <v>0</v>
      </c>
      <c r="Z78" s="116">
        <v>22</v>
      </c>
      <c r="AA78" s="116">
        <v>16</v>
      </c>
      <c r="AB78" s="116">
        <v>0</v>
      </c>
      <c r="AC78" s="116">
        <v>0</v>
      </c>
      <c r="AD78" s="116">
        <v>0</v>
      </c>
      <c r="AE78" s="116">
        <v>0</v>
      </c>
      <c r="AF78" s="116">
        <v>0</v>
      </c>
      <c r="AG78" s="116">
        <v>0</v>
      </c>
      <c r="AH78" s="116">
        <v>0</v>
      </c>
      <c r="AI78" s="116">
        <v>1</v>
      </c>
      <c r="AJ78" s="117">
        <v>0</v>
      </c>
      <c r="AK78" s="117">
        <v>14</v>
      </c>
      <c r="AL78" s="117">
        <v>0</v>
      </c>
      <c r="AM78" s="117">
        <v>0</v>
      </c>
      <c r="AN78" s="117">
        <v>107</v>
      </c>
      <c r="AO78" s="117">
        <v>0</v>
      </c>
      <c r="AP78" s="117">
        <v>14</v>
      </c>
      <c r="AQ78" s="117">
        <v>107</v>
      </c>
    </row>
    <row r="79" spans="1:43" s="118" customFormat="1" ht="13.5" customHeight="1">
      <c r="A79" s="119">
        <v>78</v>
      </c>
      <c r="B79" s="76" t="s">
        <v>54</v>
      </c>
      <c r="C79" s="75" t="s">
        <v>882</v>
      </c>
      <c r="D79" s="77" t="s">
        <v>883</v>
      </c>
      <c r="E79" s="77" t="s">
        <v>909</v>
      </c>
      <c r="F79" s="120" t="s">
        <v>962</v>
      </c>
      <c r="G79" s="76" t="s">
        <v>55</v>
      </c>
      <c r="H79" s="121" t="s">
        <v>843</v>
      </c>
      <c r="I79" s="122" t="s">
        <v>842</v>
      </c>
      <c r="J79" s="123" t="s">
        <v>888</v>
      </c>
      <c r="K79" s="124">
        <v>2</v>
      </c>
      <c r="L79" s="117">
        <v>1</v>
      </c>
      <c r="M79" s="117">
        <v>1</v>
      </c>
      <c r="N79" s="116">
        <v>13</v>
      </c>
      <c r="O79" s="116">
        <v>2</v>
      </c>
      <c r="P79" s="116">
        <v>0</v>
      </c>
      <c r="Q79" s="116">
        <v>0</v>
      </c>
      <c r="R79" s="116">
        <v>3</v>
      </c>
      <c r="S79" s="116">
        <v>0</v>
      </c>
      <c r="T79" s="116">
        <v>0</v>
      </c>
      <c r="U79" s="116">
        <v>0</v>
      </c>
      <c r="V79" s="116">
        <v>0</v>
      </c>
      <c r="W79" s="116">
        <v>0</v>
      </c>
      <c r="X79" s="116">
        <v>0</v>
      </c>
      <c r="Y79" s="116">
        <v>0</v>
      </c>
      <c r="Z79" s="116">
        <v>13</v>
      </c>
      <c r="AA79" s="116">
        <v>4</v>
      </c>
      <c r="AB79" s="116">
        <v>0</v>
      </c>
      <c r="AC79" s="116">
        <v>0</v>
      </c>
      <c r="AD79" s="116">
        <v>0</v>
      </c>
      <c r="AE79" s="116">
        <v>0</v>
      </c>
      <c r="AF79" s="116">
        <v>0</v>
      </c>
      <c r="AG79" s="116">
        <v>0</v>
      </c>
      <c r="AH79" s="116">
        <v>0</v>
      </c>
      <c r="AI79" s="116">
        <v>1</v>
      </c>
      <c r="AJ79" s="117">
        <v>0</v>
      </c>
      <c r="AK79" s="117">
        <v>6</v>
      </c>
      <c r="AL79" s="117">
        <v>0</v>
      </c>
      <c r="AM79" s="117">
        <v>0</v>
      </c>
      <c r="AN79" s="117">
        <v>36</v>
      </c>
      <c r="AO79" s="117">
        <v>0</v>
      </c>
      <c r="AP79" s="117">
        <v>6</v>
      </c>
      <c r="AQ79" s="117">
        <v>36</v>
      </c>
    </row>
    <row r="80" spans="1:43" s="118" customFormat="1" ht="13.5" customHeight="1">
      <c r="A80" s="119">
        <v>79</v>
      </c>
      <c r="B80" s="76" t="s">
        <v>57</v>
      </c>
      <c r="C80" s="75" t="s">
        <v>882</v>
      </c>
      <c r="D80" s="77" t="s">
        <v>883</v>
      </c>
      <c r="E80" s="77" t="s">
        <v>909</v>
      </c>
      <c r="F80" s="120" t="s">
        <v>962</v>
      </c>
      <c r="G80" s="76" t="s">
        <v>58</v>
      </c>
      <c r="H80" s="121" t="s">
        <v>843</v>
      </c>
      <c r="I80" s="122" t="s">
        <v>842</v>
      </c>
      <c r="J80" s="123" t="s">
        <v>885</v>
      </c>
      <c r="K80" s="124">
        <v>2</v>
      </c>
      <c r="L80" s="117">
        <v>1</v>
      </c>
      <c r="M80" s="117">
        <v>1</v>
      </c>
      <c r="N80" s="116">
        <v>9</v>
      </c>
      <c r="O80" s="116">
        <v>3</v>
      </c>
      <c r="P80" s="116">
        <v>0</v>
      </c>
      <c r="Q80" s="116">
        <v>6</v>
      </c>
      <c r="R80" s="116">
        <v>1</v>
      </c>
      <c r="S80" s="116">
        <v>0</v>
      </c>
      <c r="T80" s="116">
        <v>0</v>
      </c>
      <c r="U80" s="116">
        <v>0</v>
      </c>
      <c r="V80" s="116">
        <v>0</v>
      </c>
      <c r="W80" s="116">
        <v>0</v>
      </c>
      <c r="X80" s="116">
        <v>0</v>
      </c>
      <c r="Y80" s="116">
        <v>0</v>
      </c>
      <c r="Z80" s="116">
        <v>14</v>
      </c>
      <c r="AA80" s="116">
        <v>3</v>
      </c>
      <c r="AB80" s="116">
        <v>0</v>
      </c>
      <c r="AC80" s="116">
        <v>0</v>
      </c>
      <c r="AD80" s="116">
        <v>0</v>
      </c>
      <c r="AE80" s="116">
        <v>0</v>
      </c>
      <c r="AF80" s="116">
        <v>0</v>
      </c>
      <c r="AG80" s="116">
        <v>0</v>
      </c>
      <c r="AH80" s="116">
        <v>0</v>
      </c>
      <c r="AI80" s="116">
        <v>1</v>
      </c>
      <c r="AJ80" s="117">
        <v>0</v>
      </c>
      <c r="AK80" s="117">
        <v>8</v>
      </c>
      <c r="AL80" s="117">
        <v>0</v>
      </c>
      <c r="AM80" s="117">
        <v>0</v>
      </c>
      <c r="AN80" s="117">
        <v>48</v>
      </c>
      <c r="AO80" s="117">
        <v>1</v>
      </c>
      <c r="AP80" s="117">
        <v>8</v>
      </c>
      <c r="AQ80" s="117">
        <v>48</v>
      </c>
    </row>
    <row r="81" spans="1:43" s="118" customFormat="1" ht="13.5" customHeight="1">
      <c r="A81" s="119">
        <v>80</v>
      </c>
      <c r="B81" s="76" t="s">
        <v>178</v>
      </c>
      <c r="C81" s="75" t="s">
        <v>882</v>
      </c>
      <c r="D81" s="77" t="s">
        <v>883</v>
      </c>
      <c r="E81" s="77" t="s">
        <v>909</v>
      </c>
      <c r="F81" s="120" t="s">
        <v>960</v>
      </c>
      <c r="G81" s="76" t="s">
        <v>179</v>
      </c>
      <c r="H81" s="121" t="s">
        <v>843</v>
      </c>
      <c r="I81" s="122"/>
      <c r="J81" s="123" t="s">
        <v>885</v>
      </c>
      <c r="K81" s="124">
        <v>2</v>
      </c>
      <c r="L81" s="117">
        <v>2</v>
      </c>
      <c r="M81" s="117">
        <v>1</v>
      </c>
      <c r="N81" s="116">
        <v>6</v>
      </c>
      <c r="O81" s="116">
        <v>4</v>
      </c>
      <c r="P81" s="116">
        <v>0</v>
      </c>
      <c r="Q81" s="116">
        <v>3</v>
      </c>
      <c r="R81" s="116">
        <v>1</v>
      </c>
      <c r="S81" s="116">
        <v>0</v>
      </c>
      <c r="T81" s="116">
        <v>0</v>
      </c>
      <c r="U81" s="116">
        <v>0</v>
      </c>
      <c r="V81" s="116">
        <v>0</v>
      </c>
      <c r="W81" s="116">
        <v>0</v>
      </c>
      <c r="X81" s="116">
        <v>0</v>
      </c>
      <c r="Y81" s="116">
        <v>0</v>
      </c>
      <c r="Z81" s="116">
        <v>8</v>
      </c>
      <c r="AA81" s="116">
        <v>4</v>
      </c>
      <c r="AB81" s="116">
        <v>0</v>
      </c>
      <c r="AC81" s="116">
        <v>0</v>
      </c>
      <c r="AD81" s="116">
        <v>0</v>
      </c>
      <c r="AE81" s="116">
        <v>0</v>
      </c>
      <c r="AF81" s="116">
        <v>0</v>
      </c>
      <c r="AG81" s="116">
        <v>0</v>
      </c>
      <c r="AH81" s="116">
        <v>0</v>
      </c>
      <c r="AI81" s="116">
        <v>1</v>
      </c>
      <c r="AJ81" s="117">
        <v>0</v>
      </c>
      <c r="AK81" s="117">
        <v>4</v>
      </c>
      <c r="AL81" s="117">
        <v>0</v>
      </c>
      <c r="AM81" s="117">
        <v>0</v>
      </c>
      <c r="AN81" s="117">
        <v>21</v>
      </c>
      <c r="AO81" s="117">
        <v>0</v>
      </c>
      <c r="AP81" s="117">
        <v>3</v>
      </c>
      <c r="AQ81" s="117">
        <v>22</v>
      </c>
    </row>
    <row r="82" spans="1:43" s="118" customFormat="1" ht="13.5" customHeight="1">
      <c r="A82" s="119">
        <v>81</v>
      </c>
      <c r="B82" s="76" t="s">
        <v>797</v>
      </c>
      <c r="C82" s="75" t="s">
        <v>882</v>
      </c>
      <c r="D82" s="77" t="s">
        <v>883</v>
      </c>
      <c r="E82" s="77" t="s">
        <v>909</v>
      </c>
      <c r="F82" s="120" t="s">
        <v>961</v>
      </c>
      <c r="G82" s="76" t="s">
        <v>798</v>
      </c>
      <c r="H82" s="121" t="s">
        <v>843</v>
      </c>
      <c r="I82" s="122" t="s">
        <v>842</v>
      </c>
      <c r="J82" s="123" t="s">
        <v>888</v>
      </c>
      <c r="K82" s="124">
        <v>2</v>
      </c>
      <c r="L82" s="117">
        <v>2</v>
      </c>
      <c r="M82" s="117">
        <v>1</v>
      </c>
      <c r="N82" s="116">
        <v>8</v>
      </c>
      <c r="O82" s="116">
        <v>1</v>
      </c>
      <c r="P82" s="116">
        <v>0</v>
      </c>
      <c r="Q82" s="116">
        <v>3</v>
      </c>
      <c r="R82" s="116">
        <v>2</v>
      </c>
      <c r="S82" s="116">
        <v>0</v>
      </c>
      <c r="T82" s="116">
        <v>0</v>
      </c>
      <c r="U82" s="116">
        <v>0</v>
      </c>
      <c r="V82" s="116">
        <v>0</v>
      </c>
      <c r="W82" s="116">
        <v>0</v>
      </c>
      <c r="X82" s="116">
        <v>0</v>
      </c>
      <c r="Y82" s="116">
        <v>0</v>
      </c>
      <c r="Z82" s="116">
        <v>0</v>
      </c>
      <c r="AA82" s="116">
        <v>0</v>
      </c>
      <c r="AB82" s="116">
        <v>0</v>
      </c>
      <c r="AC82" s="116">
        <v>10</v>
      </c>
      <c r="AD82" s="116">
        <v>2</v>
      </c>
      <c r="AE82" s="116">
        <v>0</v>
      </c>
      <c r="AF82" s="116">
        <v>0</v>
      </c>
      <c r="AG82" s="116">
        <v>0</v>
      </c>
      <c r="AH82" s="116">
        <v>0</v>
      </c>
      <c r="AI82" s="116">
        <v>1</v>
      </c>
      <c r="AJ82" s="117">
        <v>1</v>
      </c>
      <c r="AK82" s="117">
        <v>3</v>
      </c>
      <c r="AL82" s="117">
        <v>0</v>
      </c>
      <c r="AM82" s="117">
        <v>17</v>
      </c>
      <c r="AN82" s="117">
        <v>22</v>
      </c>
      <c r="AO82" s="117">
        <v>1</v>
      </c>
      <c r="AP82" s="117">
        <v>2</v>
      </c>
      <c r="AQ82" s="117">
        <v>42</v>
      </c>
    </row>
    <row r="83" spans="1:43" s="118" customFormat="1" ht="13.5" customHeight="1">
      <c r="A83" s="119">
        <v>82</v>
      </c>
      <c r="B83" s="76" t="s">
        <v>801</v>
      </c>
      <c r="C83" s="75" t="s">
        <v>882</v>
      </c>
      <c r="D83" s="77" t="s">
        <v>883</v>
      </c>
      <c r="E83" s="77" t="s">
        <v>909</v>
      </c>
      <c r="F83" s="120" t="s">
        <v>961</v>
      </c>
      <c r="G83" s="76" t="s">
        <v>802</v>
      </c>
      <c r="H83" s="121" t="s">
        <v>843</v>
      </c>
      <c r="I83" s="122"/>
      <c r="J83" s="123" t="s">
        <v>885</v>
      </c>
      <c r="K83" s="124">
        <v>2</v>
      </c>
      <c r="L83" s="117">
        <v>0</v>
      </c>
      <c r="M83" s="117">
        <v>0</v>
      </c>
      <c r="N83" s="116">
        <v>4</v>
      </c>
      <c r="O83" s="116">
        <v>1</v>
      </c>
      <c r="P83" s="116">
        <v>1</v>
      </c>
      <c r="Q83" s="116">
        <v>1</v>
      </c>
      <c r="R83" s="116">
        <v>0</v>
      </c>
      <c r="S83" s="116">
        <v>0</v>
      </c>
      <c r="T83" s="116">
        <v>0</v>
      </c>
      <c r="U83" s="116">
        <v>0</v>
      </c>
      <c r="V83" s="116">
        <v>0</v>
      </c>
      <c r="W83" s="116">
        <v>0</v>
      </c>
      <c r="X83" s="116">
        <v>0</v>
      </c>
      <c r="Y83" s="116">
        <v>0</v>
      </c>
      <c r="Z83" s="116">
        <v>0</v>
      </c>
      <c r="AA83" s="116">
        <v>0</v>
      </c>
      <c r="AB83" s="116">
        <v>0</v>
      </c>
      <c r="AC83" s="116">
        <v>0</v>
      </c>
      <c r="AD83" s="116">
        <v>0</v>
      </c>
      <c r="AE83" s="116">
        <v>0</v>
      </c>
      <c r="AF83" s="116">
        <v>4</v>
      </c>
      <c r="AG83" s="116">
        <v>1</v>
      </c>
      <c r="AH83" s="116">
        <v>2</v>
      </c>
      <c r="AI83" s="116">
        <v>1</v>
      </c>
      <c r="AJ83" s="117">
        <v>0</v>
      </c>
      <c r="AK83" s="117">
        <v>2</v>
      </c>
      <c r="AL83" s="117">
        <v>0</v>
      </c>
      <c r="AM83" s="117">
        <v>0</v>
      </c>
      <c r="AN83" s="117">
        <v>13</v>
      </c>
      <c r="AO83" s="117">
        <v>1</v>
      </c>
      <c r="AP83" s="117">
        <v>1</v>
      </c>
      <c r="AQ83" s="117">
        <v>13</v>
      </c>
    </row>
    <row r="84" spans="1:43" s="118" customFormat="1" ht="13.5" customHeight="1">
      <c r="A84" s="119">
        <v>83</v>
      </c>
      <c r="B84" s="76" t="s">
        <v>809</v>
      </c>
      <c r="C84" s="75" t="s">
        <v>882</v>
      </c>
      <c r="D84" s="77" t="s">
        <v>883</v>
      </c>
      <c r="E84" s="77" t="s">
        <v>909</v>
      </c>
      <c r="F84" s="120" t="s">
        <v>961</v>
      </c>
      <c r="G84" s="76" t="s">
        <v>810</v>
      </c>
      <c r="H84" s="121" t="s">
        <v>843</v>
      </c>
      <c r="I84" s="122"/>
      <c r="J84" s="123" t="s">
        <v>888</v>
      </c>
      <c r="K84" s="124">
        <v>2</v>
      </c>
      <c r="L84" s="117">
        <v>2</v>
      </c>
      <c r="M84" s="117">
        <v>1</v>
      </c>
      <c r="N84" s="116">
        <v>4</v>
      </c>
      <c r="O84" s="116">
        <v>1</v>
      </c>
      <c r="P84" s="116">
        <v>0</v>
      </c>
      <c r="Q84" s="116">
        <v>2</v>
      </c>
      <c r="R84" s="116">
        <v>2</v>
      </c>
      <c r="S84" s="116">
        <v>0</v>
      </c>
      <c r="T84" s="116">
        <v>0</v>
      </c>
      <c r="U84" s="116">
        <v>0</v>
      </c>
      <c r="V84" s="116">
        <v>0</v>
      </c>
      <c r="W84" s="116">
        <v>0</v>
      </c>
      <c r="X84" s="116">
        <v>0</v>
      </c>
      <c r="Y84" s="116">
        <v>0</v>
      </c>
      <c r="Z84" s="116">
        <v>0</v>
      </c>
      <c r="AA84" s="116">
        <v>0</v>
      </c>
      <c r="AB84" s="116">
        <v>0</v>
      </c>
      <c r="AC84" s="116">
        <v>0</v>
      </c>
      <c r="AD84" s="116">
        <v>0</v>
      </c>
      <c r="AE84" s="116">
        <v>0</v>
      </c>
      <c r="AF84" s="116">
        <v>5</v>
      </c>
      <c r="AG84" s="116">
        <v>2</v>
      </c>
      <c r="AH84" s="116">
        <v>0</v>
      </c>
      <c r="AI84" s="116">
        <v>1</v>
      </c>
      <c r="AJ84" s="117">
        <v>1</v>
      </c>
      <c r="AK84" s="117">
        <v>1</v>
      </c>
      <c r="AL84" s="117">
        <v>0</v>
      </c>
      <c r="AM84" s="117">
        <v>2</v>
      </c>
      <c r="AN84" s="117">
        <v>7</v>
      </c>
      <c r="AO84" s="117">
        <v>0</v>
      </c>
      <c r="AP84" s="117">
        <v>2</v>
      </c>
      <c r="AQ84" s="117">
        <v>9</v>
      </c>
    </row>
    <row r="85" spans="1:43" s="118" customFormat="1" ht="13.5" customHeight="1">
      <c r="A85" s="119">
        <v>84</v>
      </c>
      <c r="B85" s="76" t="s">
        <v>87</v>
      </c>
      <c r="C85" s="75" t="s">
        <v>882</v>
      </c>
      <c r="D85" s="77" t="s">
        <v>883</v>
      </c>
      <c r="E85" s="77" t="s">
        <v>909</v>
      </c>
      <c r="F85" s="120" t="s">
        <v>962</v>
      </c>
      <c r="G85" s="76" t="s">
        <v>88</v>
      </c>
      <c r="H85" s="121" t="s">
        <v>843</v>
      </c>
      <c r="I85" s="122" t="s">
        <v>842</v>
      </c>
      <c r="J85" s="123" t="s">
        <v>888</v>
      </c>
      <c r="K85" s="124">
        <v>2</v>
      </c>
      <c r="L85" s="117">
        <v>1</v>
      </c>
      <c r="M85" s="117">
        <v>1</v>
      </c>
      <c r="N85" s="116">
        <v>7</v>
      </c>
      <c r="O85" s="116">
        <v>7</v>
      </c>
      <c r="P85" s="116">
        <v>0</v>
      </c>
      <c r="Q85" s="116">
        <v>7</v>
      </c>
      <c r="R85" s="116">
        <v>1</v>
      </c>
      <c r="S85" s="116">
        <v>0</v>
      </c>
      <c r="T85" s="116">
        <v>0</v>
      </c>
      <c r="U85" s="116">
        <v>1</v>
      </c>
      <c r="V85" s="116">
        <v>0</v>
      </c>
      <c r="W85" s="116">
        <v>0</v>
      </c>
      <c r="X85" s="116">
        <v>0</v>
      </c>
      <c r="Y85" s="116">
        <v>0</v>
      </c>
      <c r="Z85" s="116">
        <v>0</v>
      </c>
      <c r="AA85" s="116">
        <v>1</v>
      </c>
      <c r="AB85" s="116">
        <v>0</v>
      </c>
      <c r="AC85" s="116">
        <v>0</v>
      </c>
      <c r="AD85" s="116">
        <v>0</v>
      </c>
      <c r="AE85" s="116">
        <v>0</v>
      </c>
      <c r="AF85" s="116">
        <v>13</v>
      </c>
      <c r="AG85" s="116">
        <v>5</v>
      </c>
      <c r="AH85" s="116">
        <v>0</v>
      </c>
      <c r="AI85" s="116">
        <v>1</v>
      </c>
      <c r="AJ85" s="117">
        <v>0</v>
      </c>
      <c r="AK85" s="117">
        <v>9</v>
      </c>
      <c r="AL85" s="117">
        <v>0</v>
      </c>
      <c r="AM85" s="117">
        <v>0</v>
      </c>
      <c r="AN85" s="117">
        <v>64</v>
      </c>
      <c r="AO85" s="117">
        <v>1</v>
      </c>
      <c r="AP85" s="117">
        <v>5</v>
      </c>
      <c r="AQ85" s="117">
        <v>67</v>
      </c>
    </row>
    <row r="86" spans="1:43" s="118" customFormat="1" ht="13.5" customHeight="1">
      <c r="A86" s="119">
        <v>85</v>
      </c>
      <c r="B86" s="76" t="s">
        <v>190</v>
      </c>
      <c r="C86" s="75" t="s">
        <v>882</v>
      </c>
      <c r="D86" s="77" t="s">
        <v>883</v>
      </c>
      <c r="E86" s="77" t="s">
        <v>909</v>
      </c>
      <c r="F86" s="120" t="s">
        <v>960</v>
      </c>
      <c r="G86" s="76" t="s">
        <v>191</v>
      </c>
      <c r="H86" s="121" t="s">
        <v>843</v>
      </c>
      <c r="I86" s="122"/>
      <c r="J86" s="123" t="s">
        <v>888</v>
      </c>
      <c r="K86" s="124">
        <v>2</v>
      </c>
      <c r="L86" s="117">
        <v>2</v>
      </c>
      <c r="M86" s="117">
        <v>1</v>
      </c>
      <c r="N86" s="116">
        <v>13</v>
      </c>
      <c r="O86" s="116">
        <v>2</v>
      </c>
      <c r="P86" s="116">
        <v>0</v>
      </c>
      <c r="Q86" s="116">
        <v>6</v>
      </c>
      <c r="R86" s="116">
        <v>0</v>
      </c>
      <c r="S86" s="116">
        <v>0</v>
      </c>
      <c r="T86" s="116">
        <v>0</v>
      </c>
      <c r="U86" s="116">
        <v>0</v>
      </c>
      <c r="V86" s="116">
        <v>0</v>
      </c>
      <c r="W86" s="116">
        <v>0</v>
      </c>
      <c r="X86" s="116">
        <v>0</v>
      </c>
      <c r="Y86" s="116">
        <v>0</v>
      </c>
      <c r="Z86" s="116">
        <v>0</v>
      </c>
      <c r="AA86" s="116">
        <v>0</v>
      </c>
      <c r="AB86" s="116">
        <v>0</v>
      </c>
      <c r="AC86" s="116">
        <v>0</v>
      </c>
      <c r="AD86" s="116">
        <v>0</v>
      </c>
      <c r="AE86" s="116">
        <v>0</v>
      </c>
      <c r="AF86" s="116">
        <v>18</v>
      </c>
      <c r="AG86" s="116">
        <v>1</v>
      </c>
      <c r="AH86" s="116">
        <v>0</v>
      </c>
      <c r="AI86" s="116">
        <v>1</v>
      </c>
      <c r="AJ86" s="117">
        <v>0</v>
      </c>
      <c r="AK86" s="117">
        <v>4</v>
      </c>
      <c r="AL86" s="117">
        <v>0</v>
      </c>
      <c r="AM86" s="117">
        <v>0</v>
      </c>
      <c r="AN86" s="117">
        <v>22</v>
      </c>
      <c r="AO86" s="117">
        <v>0</v>
      </c>
      <c r="AP86" s="117">
        <v>4</v>
      </c>
      <c r="AQ86" s="117">
        <v>22</v>
      </c>
    </row>
    <row r="87" spans="1:43" s="118" customFormat="1" ht="13.5" customHeight="1">
      <c r="A87" s="119">
        <v>86</v>
      </c>
      <c r="B87" s="76" t="s">
        <v>831</v>
      </c>
      <c r="C87" s="75" t="s">
        <v>882</v>
      </c>
      <c r="D87" s="77" t="s">
        <v>883</v>
      </c>
      <c r="E87" s="77" t="s">
        <v>909</v>
      </c>
      <c r="F87" s="120" t="s">
        <v>960</v>
      </c>
      <c r="G87" s="76" t="s">
        <v>832</v>
      </c>
      <c r="H87" s="121" t="s">
        <v>843</v>
      </c>
      <c r="I87" s="122" t="s">
        <v>842</v>
      </c>
      <c r="J87" s="123" t="s">
        <v>888</v>
      </c>
      <c r="K87" s="124">
        <v>2</v>
      </c>
      <c r="L87" s="117">
        <v>3</v>
      </c>
      <c r="M87" s="117">
        <v>1</v>
      </c>
      <c r="N87" s="116">
        <v>7</v>
      </c>
      <c r="O87" s="116">
        <v>3</v>
      </c>
      <c r="P87" s="116">
        <v>0</v>
      </c>
      <c r="Q87" s="116">
        <v>13</v>
      </c>
      <c r="R87" s="116">
        <v>2</v>
      </c>
      <c r="S87" s="116">
        <v>0</v>
      </c>
      <c r="T87" s="116">
        <v>0</v>
      </c>
      <c r="U87" s="116">
        <v>0</v>
      </c>
      <c r="V87" s="116">
        <v>0</v>
      </c>
      <c r="W87" s="116">
        <v>0</v>
      </c>
      <c r="X87" s="116">
        <v>0</v>
      </c>
      <c r="Y87" s="116">
        <v>0</v>
      </c>
      <c r="Z87" s="116">
        <v>19</v>
      </c>
      <c r="AA87" s="116">
        <v>4</v>
      </c>
      <c r="AB87" s="116">
        <v>0</v>
      </c>
      <c r="AC87" s="116">
        <v>0</v>
      </c>
      <c r="AD87" s="116">
        <v>0</v>
      </c>
      <c r="AE87" s="116">
        <v>0</v>
      </c>
      <c r="AF87" s="116">
        <v>0</v>
      </c>
      <c r="AG87" s="116">
        <v>0</v>
      </c>
      <c r="AH87" s="116">
        <v>0</v>
      </c>
      <c r="AI87" s="116">
        <v>1</v>
      </c>
      <c r="AJ87" s="117">
        <v>1</v>
      </c>
      <c r="AK87" s="117">
        <v>8</v>
      </c>
      <c r="AL87" s="117">
        <v>0</v>
      </c>
      <c r="AM87" s="117">
        <v>12</v>
      </c>
      <c r="AN87" s="117">
        <v>35</v>
      </c>
      <c r="AO87" s="117">
        <v>0</v>
      </c>
      <c r="AP87" s="117">
        <v>8</v>
      </c>
      <c r="AQ87" s="117">
        <v>48</v>
      </c>
    </row>
    <row r="88" spans="1:43" s="118" customFormat="1" ht="13.5" customHeight="1">
      <c r="A88" s="119">
        <v>89</v>
      </c>
      <c r="B88" s="76" t="s">
        <v>193</v>
      </c>
      <c r="C88" s="75" t="s">
        <v>882</v>
      </c>
      <c r="D88" s="77" t="s">
        <v>883</v>
      </c>
      <c r="E88" s="77" t="s">
        <v>909</v>
      </c>
      <c r="F88" s="120" t="s">
        <v>960</v>
      </c>
      <c r="G88" s="76" t="s">
        <v>194</v>
      </c>
      <c r="H88" s="121" t="s">
        <v>843</v>
      </c>
      <c r="I88" s="122"/>
      <c r="J88" s="123" t="s">
        <v>888</v>
      </c>
      <c r="K88" s="124">
        <v>2</v>
      </c>
      <c r="L88" s="117">
        <v>1</v>
      </c>
      <c r="M88" s="117">
        <v>1</v>
      </c>
      <c r="N88" s="116">
        <v>7</v>
      </c>
      <c r="O88" s="116">
        <v>6</v>
      </c>
      <c r="P88" s="116">
        <v>0</v>
      </c>
      <c r="Q88" s="116">
        <v>7</v>
      </c>
      <c r="R88" s="116">
        <v>0</v>
      </c>
      <c r="S88" s="116">
        <v>0</v>
      </c>
      <c r="T88" s="116">
        <v>0</v>
      </c>
      <c r="U88" s="116">
        <v>0</v>
      </c>
      <c r="V88" s="116">
        <v>0</v>
      </c>
      <c r="W88" s="116">
        <v>1</v>
      </c>
      <c r="X88" s="116">
        <v>1</v>
      </c>
      <c r="Y88" s="116">
        <v>0</v>
      </c>
      <c r="Z88" s="116">
        <v>3</v>
      </c>
      <c r="AA88" s="116">
        <v>3</v>
      </c>
      <c r="AB88" s="116">
        <v>0</v>
      </c>
      <c r="AC88" s="116">
        <v>0</v>
      </c>
      <c r="AD88" s="116">
        <v>0</v>
      </c>
      <c r="AE88" s="116">
        <v>0</v>
      </c>
      <c r="AF88" s="116">
        <v>9</v>
      </c>
      <c r="AG88" s="116">
        <v>1</v>
      </c>
      <c r="AH88" s="116">
        <v>0</v>
      </c>
      <c r="AI88" s="116">
        <v>1</v>
      </c>
      <c r="AJ88" s="117">
        <v>0</v>
      </c>
      <c r="AK88" s="117">
        <v>5</v>
      </c>
      <c r="AL88" s="117">
        <v>2</v>
      </c>
      <c r="AM88" s="117">
        <v>6</v>
      </c>
      <c r="AN88" s="117">
        <v>25</v>
      </c>
      <c r="AO88" s="117">
        <v>0</v>
      </c>
      <c r="AP88" s="117">
        <v>5</v>
      </c>
      <c r="AQ88" s="117">
        <v>33</v>
      </c>
    </row>
    <row r="89" spans="1:43" s="118" customFormat="1" ht="13.5" customHeight="1">
      <c r="A89" s="119">
        <v>90</v>
      </c>
      <c r="B89" s="76" t="s">
        <v>196</v>
      </c>
      <c r="C89" s="75" t="s">
        <v>882</v>
      </c>
      <c r="D89" s="77" t="s">
        <v>883</v>
      </c>
      <c r="E89" s="77" t="s">
        <v>909</v>
      </c>
      <c r="F89" s="120" t="s">
        <v>960</v>
      </c>
      <c r="G89" s="76" t="s">
        <v>197</v>
      </c>
      <c r="H89" s="121" t="s">
        <v>843</v>
      </c>
      <c r="I89" s="122"/>
      <c r="J89" s="123" t="s">
        <v>888</v>
      </c>
      <c r="K89" s="124">
        <v>2</v>
      </c>
      <c r="L89" s="117">
        <v>1</v>
      </c>
      <c r="M89" s="117">
        <v>1</v>
      </c>
      <c r="N89" s="116">
        <v>8</v>
      </c>
      <c r="O89" s="116">
        <v>4</v>
      </c>
      <c r="P89" s="116">
        <v>0</v>
      </c>
      <c r="Q89" s="116">
        <v>1</v>
      </c>
      <c r="R89" s="116">
        <v>0</v>
      </c>
      <c r="S89" s="116">
        <v>0</v>
      </c>
      <c r="T89" s="116">
        <v>0</v>
      </c>
      <c r="U89" s="116">
        <v>0</v>
      </c>
      <c r="V89" s="116">
        <v>0</v>
      </c>
      <c r="W89" s="116">
        <v>0</v>
      </c>
      <c r="X89" s="116">
        <v>0</v>
      </c>
      <c r="Y89" s="116">
        <v>0</v>
      </c>
      <c r="Z89" s="116">
        <v>8</v>
      </c>
      <c r="AA89" s="116">
        <v>1</v>
      </c>
      <c r="AB89" s="116">
        <v>0</v>
      </c>
      <c r="AC89" s="116">
        <v>0</v>
      </c>
      <c r="AD89" s="116">
        <v>2</v>
      </c>
      <c r="AE89" s="116">
        <v>0</v>
      </c>
      <c r="AF89" s="116">
        <v>0</v>
      </c>
      <c r="AG89" s="116">
        <v>0</v>
      </c>
      <c r="AH89" s="116">
        <v>0</v>
      </c>
      <c r="AI89" s="116">
        <v>1</v>
      </c>
      <c r="AJ89" s="117">
        <v>0</v>
      </c>
      <c r="AK89" s="117">
        <v>3</v>
      </c>
      <c r="AL89" s="117">
        <v>0</v>
      </c>
      <c r="AM89" s="117">
        <v>0</v>
      </c>
      <c r="AN89" s="117">
        <v>22</v>
      </c>
      <c r="AO89" s="117">
        <v>0</v>
      </c>
      <c r="AP89" s="117">
        <v>4</v>
      </c>
      <c r="AQ89" s="117">
        <v>22</v>
      </c>
    </row>
    <row r="90" spans="1:43" s="118" customFormat="1" ht="13.5" customHeight="1">
      <c r="A90" s="119">
        <v>91</v>
      </c>
      <c r="B90" s="76" t="s">
        <v>283</v>
      </c>
      <c r="C90" s="75" t="s">
        <v>882</v>
      </c>
      <c r="D90" s="77" t="s">
        <v>883</v>
      </c>
      <c r="E90" s="77" t="s">
        <v>923</v>
      </c>
      <c r="F90" s="120" t="s">
        <v>960</v>
      </c>
      <c r="G90" s="76" t="s">
        <v>284</v>
      </c>
      <c r="H90" s="121" t="s">
        <v>843</v>
      </c>
      <c r="I90" s="122"/>
      <c r="J90" s="123" t="s">
        <v>888</v>
      </c>
      <c r="K90" s="124">
        <v>2</v>
      </c>
      <c r="L90" s="117">
        <v>1</v>
      </c>
      <c r="M90" s="117">
        <v>1</v>
      </c>
      <c r="N90" s="116">
        <v>6</v>
      </c>
      <c r="O90" s="116">
        <v>3</v>
      </c>
      <c r="P90" s="116">
        <v>0</v>
      </c>
      <c r="Q90" s="116">
        <v>4</v>
      </c>
      <c r="R90" s="116">
        <v>0</v>
      </c>
      <c r="S90" s="116">
        <v>0</v>
      </c>
      <c r="T90" s="116">
        <v>0</v>
      </c>
      <c r="U90" s="116">
        <v>0</v>
      </c>
      <c r="V90" s="116">
        <v>0</v>
      </c>
      <c r="W90" s="116">
        <v>0</v>
      </c>
      <c r="X90" s="116">
        <v>0</v>
      </c>
      <c r="Y90" s="116">
        <v>0</v>
      </c>
      <c r="Z90" s="116">
        <v>0</v>
      </c>
      <c r="AA90" s="116">
        <v>0</v>
      </c>
      <c r="AB90" s="116">
        <v>0</v>
      </c>
      <c r="AC90" s="116">
        <v>9</v>
      </c>
      <c r="AD90" s="116">
        <v>2</v>
      </c>
      <c r="AE90" s="116">
        <v>0</v>
      </c>
      <c r="AF90" s="116">
        <v>0</v>
      </c>
      <c r="AG90" s="116">
        <v>0</v>
      </c>
      <c r="AH90" s="116">
        <v>0</v>
      </c>
      <c r="AI90" s="116">
        <v>1</v>
      </c>
      <c r="AJ90" s="117">
        <v>0</v>
      </c>
      <c r="AK90" s="117">
        <v>4</v>
      </c>
      <c r="AL90" s="117">
        <v>0</v>
      </c>
      <c r="AM90" s="117">
        <v>0</v>
      </c>
      <c r="AN90" s="117">
        <v>25</v>
      </c>
      <c r="AO90" s="117">
        <v>0</v>
      </c>
      <c r="AP90" s="117">
        <v>4</v>
      </c>
      <c r="AQ90" s="117">
        <v>25</v>
      </c>
    </row>
    <row r="91" spans="1:43" s="118" customFormat="1" ht="13.5" customHeight="1">
      <c r="A91" s="119">
        <v>92</v>
      </c>
      <c r="B91" s="76" t="s">
        <v>395</v>
      </c>
      <c r="C91" s="75" t="s">
        <v>882</v>
      </c>
      <c r="D91" s="77" t="s">
        <v>883</v>
      </c>
      <c r="E91" s="77" t="s">
        <v>923</v>
      </c>
      <c r="F91" s="120" t="s">
        <v>961</v>
      </c>
      <c r="G91" s="76" t="s">
        <v>396</v>
      </c>
      <c r="H91" s="121" t="s">
        <v>843</v>
      </c>
      <c r="I91" s="122" t="s">
        <v>842</v>
      </c>
      <c r="J91" s="123" t="s">
        <v>885</v>
      </c>
      <c r="K91" s="124">
        <v>2</v>
      </c>
      <c r="L91" s="117">
        <v>1</v>
      </c>
      <c r="M91" s="117">
        <v>0</v>
      </c>
      <c r="N91" s="116">
        <v>7</v>
      </c>
      <c r="O91" s="116">
        <v>3</v>
      </c>
      <c r="P91" s="116">
        <v>1</v>
      </c>
      <c r="Q91" s="116">
        <v>4</v>
      </c>
      <c r="R91" s="116">
        <v>0</v>
      </c>
      <c r="S91" s="116">
        <v>0</v>
      </c>
      <c r="T91" s="116">
        <v>1</v>
      </c>
      <c r="U91" s="116">
        <v>0</v>
      </c>
      <c r="V91" s="116">
        <v>0</v>
      </c>
      <c r="W91" s="116">
        <v>0</v>
      </c>
      <c r="X91" s="116">
        <v>0</v>
      </c>
      <c r="Y91" s="116">
        <v>0</v>
      </c>
      <c r="Z91" s="116">
        <v>0</v>
      </c>
      <c r="AA91" s="116">
        <v>0</v>
      </c>
      <c r="AB91" s="116">
        <v>0</v>
      </c>
      <c r="AC91" s="116">
        <v>8</v>
      </c>
      <c r="AD91" s="116">
        <v>2</v>
      </c>
      <c r="AE91" s="116">
        <v>4</v>
      </c>
      <c r="AF91" s="116">
        <v>0</v>
      </c>
      <c r="AG91" s="116">
        <v>0</v>
      </c>
      <c r="AH91" s="116">
        <v>0</v>
      </c>
      <c r="AI91" s="116">
        <v>1</v>
      </c>
      <c r="AJ91" s="117">
        <v>0</v>
      </c>
      <c r="AK91" s="117">
        <v>6</v>
      </c>
      <c r="AL91" s="117">
        <v>0</v>
      </c>
      <c r="AM91" s="117">
        <v>16</v>
      </c>
      <c r="AN91" s="117">
        <v>23</v>
      </c>
      <c r="AO91" s="117">
        <v>1</v>
      </c>
      <c r="AP91" s="117">
        <v>4</v>
      </c>
      <c r="AQ91" s="117">
        <v>40</v>
      </c>
    </row>
    <row r="92" spans="1:43" s="118" customFormat="1" ht="13.5" customHeight="1">
      <c r="A92" s="119">
        <v>93</v>
      </c>
      <c r="B92" s="76" t="s">
        <v>587</v>
      </c>
      <c r="C92" s="75" t="s">
        <v>882</v>
      </c>
      <c r="D92" s="77" t="s">
        <v>883</v>
      </c>
      <c r="E92" s="77" t="s">
        <v>923</v>
      </c>
      <c r="F92" s="120" t="s">
        <v>960</v>
      </c>
      <c r="G92" s="76" t="s">
        <v>588</v>
      </c>
      <c r="H92" s="121" t="s">
        <v>843</v>
      </c>
      <c r="I92" s="122"/>
      <c r="J92" s="123" t="s">
        <v>885</v>
      </c>
      <c r="K92" s="124">
        <v>2</v>
      </c>
      <c r="L92" s="117">
        <v>0</v>
      </c>
      <c r="M92" s="117">
        <v>0</v>
      </c>
      <c r="N92" s="116">
        <v>13</v>
      </c>
      <c r="O92" s="116">
        <v>3</v>
      </c>
      <c r="P92" s="116">
        <v>1</v>
      </c>
      <c r="Q92" s="116">
        <v>0</v>
      </c>
      <c r="R92" s="116">
        <v>0</v>
      </c>
      <c r="S92" s="116">
        <v>0</v>
      </c>
      <c r="T92" s="116">
        <v>0</v>
      </c>
      <c r="U92" s="116">
        <v>0</v>
      </c>
      <c r="V92" s="116">
        <v>0</v>
      </c>
      <c r="W92" s="116">
        <v>0</v>
      </c>
      <c r="X92" s="116">
        <v>0</v>
      </c>
      <c r="Y92" s="116">
        <v>0</v>
      </c>
      <c r="Z92" s="116">
        <v>9</v>
      </c>
      <c r="AA92" s="116">
        <v>1</v>
      </c>
      <c r="AB92" s="116">
        <v>4</v>
      </c>
      <c r="AC92" s="116">
        <v>0</v>
      </c>
      <c r="AD92" s="116">
        <v>0</v>
      </c>
      <c r="AE92" s="116">
        <v>0</v>
      </c>
      <c r="AF92" s="116">
        <v>1</v>
      </c>
      <c r="AG92" s="116">
        <v>1</v>
      </c>
      <c r="AH92" s="116">
        <v>1</v>
      </c>
      <c r="AI92" s="116">
        <v>1</v>
      </c>
      <c r="AJ92" s="117">
        <v>0</v>
      </c>
      <c r="AK92" s="117">
        <v>5</v>
      </c>
      <c r="AL92" s="117">
        <v>0</v>
      </c>
      <c r="AM92" s="117">
        <v>0</v>
      </c>
      <c r="AN92" s="117">
        <v>22</v>
      </c>
      <c r="AO92" s="117">
        <v>0</v>
      </c>
      <c r="AP92" s="117">
        <v>5</v>
      </c>
      <c r="AQ92" s="117">
        <v>22</v>
      </c>
    </row>
    <row r="93" spans="1:43" s="118" customFormat="1" ht="13.5" customHeight="1">
      <c r="A93" s="119">
        <v>94</v>
      </c>
      <c r="B93" s="76" t="s">
        <v>286</v>
      </c>
      <c r="C93" s="75" t="s">
        <v>882</v>
      </c>
      <c r="D93" s="77" t="s">
        <v>883</v>
      </c>
      <c r="E93" s="77" t="s">
        <v>923</v>
      </c>
      <c r="F93" s="120" t="s">
        <v>960</v>
      </c>
      <c r="G93" s="76" t="s">
        <v>287</v>
      </c>
      <c r="H93" s="121" t="s">
        <v>843</v>
      </c>
      <c r="I93" s="122"/>
      <c r="J93" s="123" t="s">
        <v>888</v>
      </c>
      <c r="K93" s="124">
        <v>2</v>
      </c>
      <c r="L93" s="117">
        <v>1</v>
      </c>
      <c r="M93" s="117">
        <v>1</v>
      </c>
      <c r="N93" s="116">
        <v>5</v>
      </c>
      <c r="O93" s="116">
        <v>3</v>
      </c>
      <c r="P93" s="116">
        <v>0</v>
      </c>
      <c r="Q93" s="116">
        <v>1</v>
      </c>
      <c r="R93" s="116">
        <v>2</v>
      </c>
      <c r="S93" s="116">
        <v>0</v>
      </c>
      <c r="T93" s="116">
        <v>0</v>
      </c>
      <c r="U93" s="116">
        <v>0</v>
      </c>
      <c r="V93" s="116">
        <v>0</v>
      </c>
      <c r="W93" s="116">
        <v>0</v>
      </c>
      <c r="X93" s="116">
        <v>0</v>
      </c>
      <c r="Y93" s="116">
        <v>0</v>
      </c>
      <c r="Z93" s="116">
        <v>0</v>
      </c>
      <c r="AA93" s="116">
        <v>0</v>
      </c>
      <c r="AB93" s="116">
        <v>0</v>
      </c>
      <c r="AC93" s="116">
        <v>5</v>
      </c>
      <c r="AD93" s="116">
        <v>4</v>
      </c>
      <c r="AE93" s="116">
        <v>0</v>
      </c>
      <c r="AF93" s="116">
        <v>0</v>
      </c>
      <c r="AG93" s="116">
        <v>0</v>
      </c>
      <c r="AH93" s="116">
        <v>0</v>
      </c>
      <c r="AI93" s="116">
        <v>1</v>
      </c>
      <c r="AJ93" s="117">
        <v>0</v>
      </c>
      <c r="AK93" s="117">
        <v>4</v>
      </c>
      <c r="AL93" s="117">
        <v>0</v>
      </c>
      <c r="AM93" s="117">
        <v>0</v>
      </c>
      <c r="AN93" s="117">
        <v>13</v>
      </c>
      <c r="AO93" s="117">
        <v>0</v>
      </c>
      <c r="AP93" s="117">
        <v>3</v>
      </c>
      <c r="AQ93" s="117">
        <v>14</v>
      </c>
    </row>
    <row r="94" spans="1:43" s="118" customFormat="1" ht="13.5" customHeight="1">
      <c r="A94" s="119">
        <v>95</v>
      </c>
      <c r="B94" s="76" t="s">
        <v>593</v>
      </c>
      <c r="C94" s="75" t="s">
        <v>882</v>
      </c>
      <c r="D94" s="77" t="s">
        <v>883</v>
      </c>
      <c r="E94" s="77" t="s">
        <v>923</v>
      </c>
      <c r="F94" s="120" t="s">
        <v>961</v>
      </c>
      <c r="G94" s="76" t="s">
        <v>594</v>
      </c>
      <c r="H94" s="121" t="s">
        <v>843</v>
      </c>
      <c r="I94" s="122"/>
      <c r="J94" s="123" t="s">
        <v>888</v>
      </c>
      <c r="K94" s="124">
        <v>2</v>
      </c>
      <c r="L94" s="117">
        <v>1</v>
      </c>
      <c r="M94" s="117">
        <v>1</v>
      </c>
      <c r="N94" s="116">
        <v>7</v>
      </c>
      <c r="O94" s="116">
        <v>1</v>
      </c>
      <c r="P94" s="116">
        <v>0</v>
      </c>
      <c r="Q94" s="116">
        <v>0</v>
      </c>
      <c r="R94" s="116">
        <v>1</v>
      </c>
      <c r="S94" s="116">
        <v>0</v>
      </c>
      <c r="T94" s="116">
        <v>0</v>
      </c>
      <c r="U94" s="116">
        <v>0</v>
      </c>
      <c r="V94" s="116">
        <v>0</v>
      </c>
      <c r="W94" s="116">
        <v>1</v>
      </c>
      <c r="X94" s="116">
        <v>0</v>
      </c>
      <c r="Y94" s="116">
        <v>0</v>
      </c>
      <c r="Z94" s="116">
        <v>0</v>
      </c>
      <c r="AA94" s="116">
        <v>0</v>
      </c>
      <c r="AB94" s="116">
        <v>0</v>
      </c>
      <c r="AC94" s="116">
        <v>5</v>
      </c>
      <c r="AD94" s="116">
        <v>1</v>
      </c>
      <c r="AE94" s="116">
        <v>0</v>
      </c>
      <c r="AF94" s="116">
        <v>0</v>
      </c>
      <c r="AG94" s="116">
        <v>0</v>
      </c>
      <c r="AH94" s="116">
        <v>0</v>
      </c>
      <c r="AI94" s="116">
        <v>1</v>
      </c>
      <c r="AJ94" s="117">
        <v>1</v>
      </c>
      <c r="AK94" s="117">
        <v>6</v>
      </c>
      <c r="AL94" s="117">
        <v>0</v>
      </c>
      <c r="AM94" s="117">
        <v>4</v>
      </c>
      <c r="AN94" s="117">
        <v>10</v>
      </c>
      <c r="AO94" s="117">
        <v>0</v>
      </c>
      <c r="AP94" s="117">
        <v>5</v>
      </c>
      <c r="AQ94" s="117">
        <v>17</v>
      </c>
    </row>
    <row r="95" spans="1:43" s="118" customFormat="1" ht="13.5" customHeight="1">
      <c r="A95" s="119">
        <v>96</v>
      </c>
      <c r="B95" s="76" t="s">
        <v>401</v>
      </c>
      <c r="C95" s="75" t="s">
        <v>882</v>
      </c>
      <c r="D95" s="77" t="s">
        <v>883</v>
      </c>
      <c r="E95" s="77" t="s">
        <v>923</v>
      </c>
      <c r="F95" s="120" t="s">
        <v>961</v>
      </c>
      <c r="G95" s="76" t="s">
        <v>402</v>
      </c>
      <c r="H95" s="121" t="s">
        <v>843</v>
      </c>
      <c r="I95" s="122"/>
      <c r="J95" s="123" t="s">
        <v>888</v>
      </c>
      <c r="K95" s="124">
        <v>2</v>
      </c>
      <c r="L95" s="117">
        <v>1</v>
      </c>
      <c r="M95" s="117">
        <v>1</v>
      </c>
      <c r="N95" s="116">
        <v>5</v>
      </c>
      <c r="O95" s="116">
        <v>1</v>
      </c>
      <c r="P95" s="116">
        <v>0</v>
      </c>
      <c r="Q95" s="116">
        <v>0</v>
      </c>
      <c r="R95" s="116">
        <v>1</v>
      </c>
      <c r="S95" s="116">
        <v>0</v>
      </c>
      <c r="T95" s="116">
        <v>0</v>
      </c>
      <c r="U95" s="116">
        <v>0</v>
      </c>
      <c r="V95" s="116">
        <v>0</v>
      </c>
      <c r="W95" s="116">
        <v>0</v>
      </c>
      <c r="X95" s="116">
        <v>0</v>
      </c>
      <c r="Y95" s="116">
        <v>0</v>
      </c>
      <c r="Z95" s="116">
        <v>0</v>
      </c>
      <c r="AA95" s="116">
        <v>0</v>
      </c>
      <c r="AB95" s="116">
        <v>0</v>
      </c>
      <c r="AC95" s="116">
        <v>4</v>
      </c>
      <c r="AD95" s="116">
        <v>1</v>
      </c>
      <c r="AE95" s="116">
        <v>0</v>
      </c>
      <c r="AF95" s="116">
        <v>0</v>
      </c>
      <c r="AG95" s="116">
        <v>0</v>
      </c>
      <c r="AH95" s="116">
        <v>0</v>
      </c>
      <c r="AI95" s="116">
        <v>1</v>
      </c>
      <c r="AJ95" s="117">
        <v>1</v>
      </c>
      <c r="AK95" s="117">
        <v>3</v>
      </c>
      <c r="AL95" s="117">
        <v>0</v>
      </c>
      <c r="AM95" s="117">
        <v>2</v>
      </c>
      <c r="AN95" s="117">
        <v>6</v>
      </c>
      <c r="AO95" s="117">
        <v>0</v>
      </c>
      <c r="AP95" s="117">
        <v>2</v>
      </c>
      <c r="AQ95" s="117">
        <v>10</v>
      </c>
    </row>
    <row r="96" spans="1:43" s="118" customFormat="1" ht="13.5" customHeight="1">
      <c r="A96" s="119">
        <v>97</v>
      </c>
      <c r="B96" s="76" t="s">
        <v>609</v>
      </c>
      <c r="C96" s="75" t="s">
        <v>882</v>
      </c>
      <c r="D96" s="77" t="s">
        <v>883</v>
      </c>
      <c r="E96" s="77" t="s">
        <v>923</v>
      </c>
      <c r="F96" s="120" t="s">
        <v>963</v>
      </c>
      <c r="G96" s="76" t="s">
        <v>610</v>
      </c>
      <c r="H96" s="121" t="s">
        <v>843</v>
      </c>
      <c r="I96" s="122"/>
      <c r="J96" s="123" t="s">
        <v>885</v>
      </c>
      <c r="K96" s="124">
        <v>2</v>
      </c>
      <c r="L96" s="117">
        <v>1</v>
      </c>
      <c r="M96" s="117">
        <v>2</v>
      </c>
      <c r="N96" s="116">
        <v>8</v>
      </c>
      <c r="O96" s="116">
        <v>1</v>
      </c>
      <c r="P96" s="116">
        <v>0</v>
      </c>
      <c r="Q96" s="116">
        <v>5</v>
      </c>
      <c r="R96" s="116">
        <v>3</v>
      </c>
      <c r="S96" s="116">
        <v>0</v>
      </c>
      <c r="T96" s="116">
        <v>2</v>
      </c>
      <c r="U96" s="116">
        <v>1</v>
      </c>
      <c r="V96" s="116">
        <v>0</v>
      </c>
      <c r="W96" s="116">
        <v>0</v>
      </c>
      <c r="X96" s="116">
        <v>0</v>
      </c>
      <c r="Y96" s="116">
        <v>0</v>
      </c>
      <c r="Z96" s="116">
        <v>0</v>
      </c>
      <c r="AA96" s="116">
        <v>0</v>
      </c>
      <c r="AB96" s="116">
        <v>0</v>
      </c>
      <c r="AC96" s="116">
        <v>0</v>
      </c>
      <c r="AD96" s="116">
        <v>0</v>
      </c>
      <c r="AE96" s="116">
        <v>0</v>
      </c>
      <c r="AF96" s="116">
        <v>10</v>
      </c>
      <c r="AG96" s="116">
        <v>2</v>
      </c>
      <c r="AH96" s="116">
        <v>0</v>
      </c>
      <c r="AI96" s="116">
        <v>1</v>
      </c>
      <c r="AJ96" s="117">
        <v>0</v>
      </c>
      <c r="AK96" s="117">
        <v>10</v>
      </c>
      <c r="AL96" s="117">
        <v>0</v>
      </c>
      <c r="AM96" s="117">
        <v>0</v>
      </c>
      <c r="AN96" s="117">
        <v>70</v>
      </c>
      <c r="AO96" s="117">
        <v>0</v>
      </c>
      <c r="AP96" s="117">
        <v>5</v>
      </c>
      <c r="AQ96" s="117">
        <v>75</v>
      </c>
    </row>
    <row r="97" spans="1:43" s="118" customFormat="1" ht="13.5" customHeight="1">
      <c r="A97" s="119">
        <v>98</v>
      </c>
      <c r="B97" s="76" t="s">
        <v>407</v>
      </c>
      <c r="C97" s="75" t="s">
        <v>882</v>
      </c>
      <c r="D97" s="77" t="s">
        <v>883</v>
      </c>
      <c r="E97" s="77" t="s">
        <v>923</v>
      </c>
      <c r="F97" s="120" t="s">
        <v>961</v>
      </c>
      <c r="G97" s="76" t="s">
        <v>408</v>
      </c>
      <c r="H97" s="121" t="s">
        <v>843</v>
      </c>
      <c r="I97" s="122" t="s">
        <v>842</v>
      </c>
      <c r="J97" s="123" t="s">
        <v>888</v>
      </c>
      <c r="K97" s="124">
        <v>2</v>
      </c>
      <c r="L97" s="117">
        <v>0</v>
      </c>
      <c r="M97" s="117">
        <v>1</v>
      </c>
      <c r="N97" s="116">
        <v>11</v>
      </c>
      <c r="O97" s="116">
        <v>2</v>
      </c>
      <c r="P97" s="116">
        <v>1</v>
      </c>
      <c r="Q97" s="116">
        <v>1</v>
      </c>
      <c r="R97" s="116">
        <v>2</v>
      </c>
      <c r="S97" s="116">
        <v>0</v>
      </c>
      <c r="T97" s="116">
        <v>1</v>
      </c>
      <c r="U97" s="116">
        <v>0</v>
      </c>
      <c r="V97" s="116">
        <v>0</v>
      </c>
      <c r="W97" s="116">
        <v>1</v>
      </c>
      <c r="X97" s="116">
        <v>0</v>
      </c>
      <c r="Y97" s="116">
        <v>0</v>
      </c>
      <c r="Z97" s="116">
        <v>0</v>
      </c>
      <c r="AA97" s="116">
        <v>0</v>
      </c>
      <c r="AB97" s="116">
        <v>0</v>
      </c>
      <c r="AC97" s="116">
        <v>8</v>
      </c>
      <c r="AD97" s="116">
        <v>3</v>
      </c>
      <c r="AE97" s="116">
        <v>4</v>
      </c>
      <c r="AF97" s="116">
        <v>0</v>
      </c>
      <c r="AG97" s="116">
        <v>0</v>
      </c>
      <c r="AH97" s="116">
        <v>0</v>
      </c>
      <c r="AI97" s="116">
        <v>1</v>
      </c>
      <c r="AJ97" s="117">
        <v>1</v>
      </c>
      <c r="AK97" s="117">
        <v>7</v>
      </c>
      <c r="AL97" s="117">
        <v>0</v>
      </c>
      <c r="AM97" s="117">
        <v>18</v>
      </c>
      <c r="AN97" s="117">
        <v>38</v>
      </c>
      <c r="AO97" s="117">
        <v>0</v>
      </c>
      <c r="AP97" s="117">
        <v>5</v>
      </c>
      <c r="AQ97" s="117">
        <v>59</v>
      </c>
    </row>
    <row r="98" spans="1:43" s="118" customFormat="1" ht="13.5" customHeight="1">
      <c r="A98" s="119">
        <v>99</v>
      </c>
      <c r="B98" s="76" t="s">
        <v>410</v>
      </c>
      <c r="C98" s="75" t="s">
        <v>882</v>
      </c>
      <c r="D98" s="77" t="s">
        <v>883</v>
      </c>
      <c r="E98" s="77" t="s">
        <v>923</v>
      </c>
      <c r="F98" s="120" t="s">
        <v>961</v>
      </c>
      <c r="G98" s="76" t="s">
        <v>411</v>
      </c>
      <c r="H98" s="121" t="s">
        <v>843</v>
      </c>
      <c r="I98" s="122"/>
      <c r="J98" s="123" t="s">
        <v>885</v>
      </c>
      <c r="K98" s="124">
        <v>2</v>
      </c>
      <c r="L98" s="117">
        <v>1</v>
      </c>
      <c r="M98" s="117">
        <v>1</v>
      </c>
      <c r="N98" s="116">
        <v>5</v>
      </c>
      <c r="O98" s="116">
        <v>3</v>
      </c>
      <c r="P98" s="116">
        <v>0</v>
      </c>
      <c r="Q98" s="116">
        <v>3</v>
      </c>
      <c r="R98" s="116">
        <v>0</v>
      </c>
      <c r="S98" s="116">
        <v>0</v>
      </c>
      <c r="T98" s="116">
        <v>0</v>
      </c>
      <c r="U98" s="116">
        <v>0</v>
      </c>
      <c r="V98" s="116">
        <v>0</v>
      </c>
      <c r="W98" s="116">
        <v>0</v>
      </c>
      <c r="X98" s="116">
        <v>0</v>
      </c>
      <c r="Y98" s="116">
        <v>0</v>
      </c>
      <c r="Z98" s="116">
        <v>7</v>
      </c>
      <c r="AA98" s="116">
        <v>2</v>
      </c>
      <c r="AB98" s="116">
        <v>0</v>
      </c>
      <c r="AC98" s="116">
        <v>0</v>
      </c>
      <c r="AD98" s="116">
        <v>0</v>
      </c>
      <c r="AE98" s="116">
        <v>0</v>
      </c>
      <c r="AF98" s="116">
        <v>0</v>
      </c>
      <c r="AG98" s="116">
        <v>0</v>
      </c>
      <c r="AH98" s="116">
        <v>0</v>
      </c>
      <c r="AI98" s="116">
        <v>1</v>
      </c>
      <c r="AJ98" s="117">
        <v>1</v>
      </c>
      <c r="AK98" s="117">
        <v>5</v>
      </c>
      <c r="AL98" s="117">
        <v>0</v>
      </c>
      <c r="AM98" s="117">
        <v>18</v>
      </c>
      <c r="AN98" s="117">
        <v>30</v>
      </c>
      <c r="AO98" s="117">
        <v>1</v>
      </c>
      <c r="AP98" s="117">
        <v>2</v>
      </c>
      <c r="AQ98" s="117">
        <v>51</v>
      </c>
    </row>
    <row r="99" spans="1:43" s="118" customFormat="1" ht="13.5" customHeight="1">
      <c r="A99" s="119">
        <v>100</v>
      </c>
      <c r="B99" s="76" t="s">
        <v>292</v>
      </c>
      <c r="C99" s="75" t="s">
        <v>882</v>
      </c>
      <c r="D99" s="77" t="s">
        <v>883</v>
      </c>
      <c r="E99" s="77" t="s">
        <v>923</v>
      </c>
      <c r="F99" s="120" t="s">
        <v>960</v>
      </c>
      <c r="G99" s="76" t="s">
        <v>293</v>
      </c>
      <c r="H99" s="121" t="s">
        <v>843</v>
      </c>
      <c r="I99" s="122" t="s">
        <v>842</v>
      </c>
      <c r="J99" s="123" t="s">
        <v>888</v>
      </c>
      <c r="K99" s="124">
        <v>2</v>
      </c>
      <c r="L99" s="117">
        <v>1</v>
      </c>
      <c r="M99" s="117">
        <v>1</v>
      </c>
      <c r="N99" s="116">
        <v>13</v>
      </c>
      <c r="O99" s="116">
        <v>3</v>
      </c>
      <c r="P99" s="116">
        <v>0</v>
      </c>
      <c r="Q99" s="116">
        <v>0</v>
      </c>
      <c r="R99" s="116">
        <v>0</v>
      </c>
      <c r="S99" s="116">
        <v>0</v>
      </c>
      <c r="T99" s="116">
        <v>0</v>
      </c>
      <c r="U99" s="116">
        <v>0</v>
      </c>
      <c r="V99" s="116">
        <v>0</v>
      </c>
      <c r="W99" s="116">
        <v>0</v>
      </c>
      <c r="X99" s="116">
        <v>0</v>
      </c>
      <c r="Y99" s="116">
        <v>0</v>
      </c>
      <c r="Z99" s="116">
        <v>12</v>
      </c>
      <c r="AA99" s="116">
        <v>2</v>
      </c>
      <c r="AB99" s="116">
        <v>0</v>
      </c>
      <c r="AC99" s="116">
        <v>0</v>
      </c>
      <c r="AD99" s="116">
        <v>0</v>
      </c>
      <c r="AE99" s="116">
        <v>0</v>
      </c>
      <c r="AF99" s="116">
        <v>0</v>
      </c>
      <c r="AG99" s="116">
        <v>0</v>
      </c>
      <c r="AH99" s="116">
        <v>0</v>
      </c>
      <c r="AI99" s="116">
        <v>1</v>
      </c>
      <c r="AJ99" s="117">
        <v>0</v>
      </c>
      <c r="AK99" s="117">
        <v>4</v>
      </c>
      <c r="AL99" s="117">
        <v>2</v>
      </c>
      <c r="AM99" s="117">
        <v>8</v>
      </c>
      <c r="AN99" s="117">
        <v>34</v>
      </c>
      <c r="AO99" s="117">
        <v>2</v>
      </c>
      <c r="AP99" s="117">
        <v>3</v>
      </c>
      <c r="AQ99" s="117">
        <v>42</v>
      </c>
    </row>
    <row r="100" spans="1:43" s="118" customFormat="1" ht="13.5" customHeight="1">
      <c r="A100" s="119">
        <v>101</v>
      </c>
      <c r="B100" s="76" t="s">
        <v>611</v>
      </c>
      <c r="C100" s="75" t="s">
        <v>882</v>
      </c>
      <c r="D100" s="77" t="s">
        <v>883</v>
      </c>
      <c r="E100" s="77" t="s">
        <v>923</v>
      </c>
      <c r="F100" s="120" t="s">
        <v>961</v>
      </c>
      <c r="G100" s="76" t="s">
        <v>612</v>
      </c>
      <c r="H100" s="121" t="s">
        <v>843</v>
      </c>
      <c r="I100" s="122" t="s">
        <v>842</v>
      </c>
      <c r="J100" s="123" t="s">
        <v>885</v>
      </c>
      <c r="K100" s="124">
        <v>2</v>
      </c>
      <c r="L100" s="117">
        <v>1</v>
      </c>
      <c r="M100" s="117">
        <v>1</v>
      </c>
      <c r="N100" s="116">
        <v>5</v>
      </c>
      <c r="O100" s="116">
        <v>3</v>
      </c>
      <c r="P100" s="116">
        <v>0</v>
      </c>
      <c r="Q100" s="116">
        <v>1</v>
      </c>
      <c r="R100" s="116">
        <v>2</v>
      </c>
      <c r="S100" s="116">
        <v>0</v>
      </c>
      <c r="T100" s="116">
        <v>0</v>
      </c>
      <c r="U100" s="116">
        <v>0</v>
      </c>
      <c r="V100" s="116">
        <v>0</v>
      </c>
      <c r="W100" s="116">
        <v>0</v>
      </c>
      <c r="X100" s="116">
        <v>0</v>
      </c>
      <c r="Y100" s="116">
        <v>0</v>
      </c>
      <c r="Z100" s="116">
        <v>6</v>
      </c>
      <c r="AA100" s="116">
        <v>4</v>
      </c>
      <c r="AB100" s="116">
        <v>0</v>
      </c>
      <c r="AC100" s="116">
        <v>0</v>
      </c>
      <c r="AD100" s="116">
        <v>0</v>
      </c>
      <c r="AE100" s="116">
        <v>0</v>
      </c>
      <c r="AF100" s="116">
        <v>0</v>
      </c>
      <c r="AG100" s="116">
        <v>0</v>
      </c>
      <c r="AH100" s="116">
        <v>0</v>
      </c>
      <c r="AI100" s="116">
        <v>1</v>
      </c>
      <c r="AJ100" s="117">
        <v>0</v>
      </c>
      <c r="AK100" s="117">
        <v>6</v>
      </c>
      <c r="AL100" s="117">
        <v>1</v>
      </c>
      <c r="AM100" s="117">
        <v>23</v>
      </c>
      <c r="AN100" s="117">
        <v>13</v>
      </c>
      <c r="AO100" s="117">
        <v>0</v>
      </c>
      <c r="AP100" s="117">
        <v>2</v>
      </c>
      <c r="AQ100" s="117">
        <v>40</v>
      </c>
    </row>
    <row r="101" spans="1:43" s="118" customFormat="1" ht="13.5" customHeight="1">
      <c r="A101" s="119">
        <v>102</v>
      </c>
      <c r="B101" s="76" t="s">
        <v>18</v>
      </c>
      <c r="C101" s="75" t="s">
        <v>882</v>
      </c>
      <c r="D101" s="77" t="s">
        <v>883</v>
      </c>
      <c r="E101" s="77" t="s">
        <v>923</v>
      </c>
      <c r="F101" s="120" t="s">
        <v>962</v>
      </c>
      <c r="G101" s="76" t="s">
        <v>19</v>
      </c>
      <c r="H101" s="121" t="s">
        <v>843</v>
      </c>
      <c r="I101" s="122" t="s">
        <v>842</v>
      </c>
      <c r="J101" s="123" t="s">
        <v>888</v>
      </c>
      <c r="K101" s="124">
        <v>2</v>
      </c>
      <c r="L101" s="117">
        <v>0</v>
      </c>
      <c r="M101" s="117">
        <v>0</v>
      </c>
      <c r="N101" s="116">
        <v>18</v>
      </c>
      <c r="O101" s="116">
        <v>3</v>
      </c>
      <c r="P101" s="116">
        <v>1</v>
      </c>
      <c r="Q101" s="116">
        <v>2</v>
      </c>
      <c r="R101" s="116">
        <v>0</v>
      </c>
      <c r="S101" s="116">
        <v>0</v>
      </c>
      <c r="T101" s="116">
        <v>1</v>
      </c>
      <c r="U101" s="116">
        <v>1</v>
      </c>
      <c r="V101" s="116">
        <v>1</v>
      </c>
      <c r="W101" s="116">
        <v>0</v>
      </c>
      <c r="X101" s="116">
        <v>0</v>
      </c>
      <c r="Y101" s="116">
        <v>0</v>
      </c>
      <c r="Z101" s="116">
        <v>14</v>
      </c>
      <c r="AA101" s="116">
        <v>2</v>
      </c>
      <c r="AB101" s="116">
        <v>6</v>
      </c>
      <c r="AC101" s="116">
        <v>0</v>
      </c>
      <c r="AD101" s="116">
        <v>0</v>
      </c>
      <c r="AE101" s="116">
        <v>0</v>
      </c>
      <c r="AF101" s="116">
        <v>0</v>
      </c>
      <c r="AG101" s="116">
        <v>0</v>
      </c>
      <c r="AH101" s="116">
        <v>0</v>
      </c>
      <c r="AI101" s="116">
        <v>1</v>
      </c>
      <c r="AJ101" s="117">
        <v>0</v>
      </c>
      <c r="AK101" s="117">
        <v>8</v>
      </c>
      <c r="AL101" s="117">
        <v>0</v>
      </c>
      <c r="AM101" s="117">
        <v>0</v>
      </c>
      <c r="AN101" s="117">
        <v>50</v>
      </c>
      <c r="AO101" s="117">
        <v>0</v>
      </c>
      <c r="AP101" s="117">
        <v>5</v>
      </c>
      <c r="AQ101" s="117">
        <v>53</v>
      </c>
    </row>
    <row r="102" spans="1:43" s="118" customFormat="1" ht="13.5" customHeight="1">
      <c r="A102" s="119">
        <v>103</v>
      </c>
      <c r="B102" s="76" t="s">
        <v>295</v>
      </c>
      <c r="C102" s="75" t="s">
        <v>882</v>
      </c>
      <c r="D102" s="77" t="s">
        <v>883</v>
      </c>
      <c r="E102" s="77" t="s">
        <v>923</v>
      </c>
      <c r="F102" s="120" t="s">
        <v>960</v>
      </c>
      <c r="G102" s="76" t="s">
        <v>296</v>
      </c>
      <c r="H102" s="121" t="s">
        <v>843</v>
      </c>
      <c r="I102" s="122" t="s">
        <v>842</v>
      </c>
      <c r="J102" s="123" t="s">
        <v>888</v>
      </c>
      <c r="K102" s="124">
        <v>2</v>
      </c>
      <c r="L102" s="117">
        <v>0</v>
      </c>
      <c r="M102" s="117">
        <v>0</v>
      </c>
      <c r="N102" s="116">
        <v>10</v>
      </c>
      <c r="O102" s="116">
        <v>3</v>
      </c>
      <c r="P102" s="116">
        <v>1</v>
      </c>
      <c r="Q102" s="116">
        <v>0</v>
      </c>
      <c r="R102" s="116">
        <v>1</v>
      </c>
      <c r="S102" s="116">
        <v>0</v>
      </c>
      <c r="T102" s="116">
        <v>0</v>
      </c>
      <c r="U102" s="116">
        <v>0</v>
      </c>
      <c r="V102" s="116">
        <v>0</v>
      </c>
      <c r="W102" s="116">
        <v>0</v>
      </c>
      <c r="X102" s="116">
        <v>0</v>
      </c>
      <c r="Y102" s="116">
        <v>0</v>
      </c>
      <c r="Z102" s="116">
        <v>6</v>
      </c>
      <c r="AA102" s="116">
        <v>3</v>
      </c>
      <c r="AB102" s="116">
        <v>6</v>
      </c>
      <c r="AC102" s="116">
        <v>0</v>
      </c>
      <c r="AD102" s="116">
        <v>0</v>
      </c>
      <c r="AE102" s="116">
        <v>0</v>
      </c>
      <c r="AF102" s="116">
        <v>0</v>
      </c>
      <c r="AG102" s="116">
        <v>0</v>
      </c>
      <c r="AH102" s="116">
        <v>0</v>
      </c>
      <c r="AI102" s="116">
        <v>1</v>
      </c>
      <c r="AJ102" s="117">
        <v>0</v>
      </c>
      <c r="AK102" s="117">
        <v>7</v>
      </c>
      <c r="AL102" s="117">
        <v>0</v>
      </c>
      <c r="AM102" s="117">
        <v>0</v>
      </c>
      <c r="AN102" s="117">
        <v>42</v>
      </c>
      <c r="AO102" s="117">
        <v>0</v>
      </c>
      <c r="AP102" s="117">
        <v>6</v>
      </c>
      <c r="AQ102" s="117">
        <v>44</v>
      </c>
    </row>
    <row r="103" spans="1:43" s="118" customFormat="1" ht="13.5" customHeight="1">
      <c r="A103" s="119">
        <v>104</v>
      </c>
      <c r="B103" s="76" t="s">
        <v>413</v>
      </c>
      <c r="C103" s="75" t="s">
        <v>882</v>
      </c>
      <c r="D103" s="77" t="s">
        <v>883</v>
      </c>
      <c r="E103" s="77" t="s">
        <v>923</v>
      </c>
      <c r="F103" s="120" t="s">
        <v>961</v>
      </c>
      <c r="G103" s="76" t="s">
        <v>414</v>
      </c>
      <c r="H103" s="121" t="s">
        <v>843</v>
      </c>
      <c r="I103" s="122" t="s">
        <v>842</v>
      </c>
      <c r="J103" s="123" t="s">
        <v>885</v>
      </c>
      <c r="K103" s="124">
        <v>2</v>
      </c>
      <c r="L103" s="117">
        <v>1</v>
      </c>
      <c r="M103" s="117">
        <v>2</v>
      </c>
      <c r="N103" s="116">
        <v>12</v>
      </c>
      <c r="O103" s="116">
        <v>1</v>
      </c>
      <c r="P103" s="116">
        <v>0</v>
      </c>
      <c r="Q103" s="116">
        <v>1</v>
      </c>
      <c r="R103" s="116">
        <v>3</v>
      </c>
      <c r="S103" s="116">
        <v>0</v>
      </c>
      <c r="T103" s="116">
        <v>0</v>
      </c>
      <c r="U103" s="116">
        <v>0</v>
      </c>
      <c r="V103" s="116">
        <v>0</v>
      </c>
      <c r="W103" s="116">
        <v>0</v>
      </c>
      <c r="X103" s="116">
        <v>0</v>
      </c>
      <c r="Y103" s="116">
        <v>0</v>
      </c>
      <c r="Z103" s="116">
        <v>0</v>
      </c>
      <c r="AA103" s="116">
        <v>0</v>
      </c>
      <c r="AB103" s="116">
        <v>0</v>
      </c>
      <c r="AC103" s="116">
        <v>13</v>
      </c>
      <c r="AD103" s="116">
        <v>3</v>
      </c>
      <c r="AE103" s="116">
        <v>0</v>
      </c>
      <c r="AF103" s="116">
        <v>0</v>
      </c>
      <c r="AG103" s="116">
        <v>0</v>
      </c>
      <c r="AH103" s="116">
        <v>0</v>
      </c>
      <c r="AI103" s="116">
        <v>1</v>
      </c>
      <c r="AJ103" s="117">
        <v>1</v>
      </c>
      <c r="AK103" s="117">
        <v>5</v>
      </c>
      <c r="AL103" s="117">
        <v>0</v>
      </c>
      <c r="AM103" s="117">
        <v>13</v>
      </c>
      <c r="AN103" s="117">
        <v>25</v>
      </c>
      <c r="AO103" s="117">
        <v>0</v>
      </c>
      <c r="AP103" s="117">
        <v>5</v>
      </c>
      <c r="AQ103" s="117">
        <v>39</v>
      </c>
    </row>
    <row r="104" spans="1:43" s="118" customFormat="1" ht="13.5" customHeight="1">
      <c r="A104" s="119">
        <v>105</v>
      </c>
      <c r="B104" s="76" t="s">
        <v>106</v>
      </c>
      <c r="C104" s="75" t="s">
        <v>882</v>
      </c>
      <c r="D104" s="77" t="s">
        <v>883</v>
      </c>
      <c r="E104" s="77" t="s">
        <v>923</v>
      </c>
      <c r="F104" s="120" t="s">
        <v>962</v>
      </c>
      <c r="G104" s="76" t="s">
        <v>107</v>
      </c>
      <c r="H104" s="121" t="s">
        <v>843</v>
      </c>
      <c r="I104" s="122" t="s">
        <v>842</v>
      </c>
      <c r="J104" s="123" t="s">
        <v>888</v>
      </c>
      <c r="K104" s="124">
        <v>2</v>
      </c>
      <c r="L104" s="117">
        <v>1</v>
      </c>
      <c r="M104" s="117">
        <v>1</v>
      </c>
      <c r="N104" s="116">
        <v>8</v>
      </c>
      <c r="O104" s="116">
        <v>4</v>
      </c>
      <c r="P104" s="116">
        <v>0</v>
      </c>
      <c r="Q104" s="116">
        <v>4</v>
      </c>
      <c r="R104" s="116">
        <v>0</v>
      </c>
      <c r="S104" s="116">
        <v>0</v>
      </c>
      <c r="T104" s="116">
        <v>2</v>
      </c>
      <c r="U104" s="116">
        <v>2</v>
      </c>
      <c r="V104" s="116">
        <v>0</v>
      </c>
      <c r="W104" s="116">
        <v>0</v>
      </c>
      <c r="X104" s="116">
        <v>0</v>
      </c>
      <c r="Y104" s="116">
        <v>0</v>
      </c>
      <c r="Z104" s="116">
        <v>9</v>
      </c>
      <c r="AA104" s="116">
        <v>1</v>
      </c>
      <c r="AB104" s="116">
        <v>0</v>
      </c>
      <c r="AC104" s="116">
        <v>0</v>
      </c>
      <c r="AD104" s="116">
        <v>0</v>
      </c>
      <c r="AE104" s="116">
        <v>0</v>
      </c>
      <c r="AF104" s="116">
        <v>0</v>
      </c>
      <c r="AG104" s="116">
        <v>0</v>
      </c>
      <c r="AH104" s="116">
        <v>0</v>
      </c>
      <c r="AI104" s="116">
        <v>1</v>
      </c>
      <c r="AJ104" s="117">
        <v>0</v>
      </c>
      <c r="AK104" s="117">
        <v>6</v>
      </c>
      <c r="AL104" s="117">
        <v>0</v>
      </c>
      <c r="AM104" s="117">
        <v>0</v>
      </c>
      <c r="AN104" s="117">
        <v>54</v>
      </c>
      <c r="AO104" s="117">
        <v>0</v>
      </c>
      <c r="AP104" s="117">
        <v>4</v>
      </c>
      <c r="AQ104" s="117">
        <v>56</v>
      </c>
    </row>
    <row r="105" spans="1:43" s="118" customFormat="1" ht="13.5" customHeight="1">
      <c r="A105" s="119">
        <v>106</v>
      </c>
      <c r="B105" s="76" t="s">
        <v>302</v>
      </c>
      <c r="C105" s="75" t="s">
        <v>882</v>
      </c>
      <c r="D105" s="77" t="s">
        <v>883</v>
      </c>
      <c r="E105" s="77" t="s">
        <v>923</v>
      </c>
      <c r="F105" s="120" t="s">
        <v>960</v>
      </c>
      <c r="G105" s="76" t="s">
        <v>303</v>
      </c>
      <c r="H105" s="121" t="s">
        <v>843</v>
      </c>
      <c r="I105" s="122" t="s">
        <v>842</v>
      </c>
      <c r="J105" s="123" t="s">
        <v>885</v>
      </c>
      <c r="K105" s="124">
        <v>2</v>
      </c>
      <c r="L105" s="117">
        <v>2</v>
      </c>
      <c r="M105" s="117">
        <v>1</v>
      </c>
      <c r="N105" s="116">
        <v>6</v>
      </c>
      <c r="O105" s="116">
        <v>1</v>
      </c>
      <c r="P105" s="116">
        <v>0</v>
      </c>
      <c r="Q105" s="116">
        <v>2</v>
      </c>
      <c r="R105" s="116">
        <v>2</v>
      </c>
      <c r="S105" s="116">
        <v>0</v>
      </c>
      <c r="T105" s="116">
        <v>0</v>
      </c>
      <c r="U105" s="116">
        <v>1</v>
      </c>
      <c r="V105" s="116">
        <v>0</v>
      </c>
      <c r="W105" s="116">
        <v>1</v>
      </c>
      <c r="X105" s="116">
        <v>0</v>
      </c>
      <c r="Y105" s="116">
        <v>0</v>
      </c>
      <c r="Z105" s="116">
        <v>6</v>
      </c>
      <c r="AA105" s="116">
        <v>1</v>
      </c>
      <c r="AB105" s="116">
        <v>0</v>
      </c>
      <c r="AC105" s="116">
        <v>0</v>
      </c>
      <c r="AD105" s="116">
        <v>0</v>
      </c>
      <c r="AE105" s="116">
        <v>0</v>
      </c>
      <c r="AF105" s="116">
        <v>0</v>
      </c>
      <c r="AG105" s="116">
        <v>0</v>
      </c>
      <c r="AH105" s="116">
        <v>0</v>
      </c>
      <c r="AI105" s="116">
        <v>1</v>
      </c>
      <c r="AJ105" s="117">
        <v>0</v>
      </c>
      <c r="AK105" s="117">
        <v>8</v>
      </c>
      <c r="AL105" s="117">
        <v>0</v>
      </c>
      <c r="AM105" s="117">
        <v>0</v>
      </c>
      <c r="AN105" s="117">
        <v>40</v>
      </c>
      <c r="AO105" s="117">
        <v>0</v>
      </c>
      <c r="AP105" s="117">
        <v>7</v>
      </c>
      <c r="AQ105" s="117">
        <v>41</v>
      </c>
    </row>
    <row r="106" spans="1:43" s="118" customFormat="1" ht="13.5" customHeight="1">
      <c r="A106" s="119">
        <v>107</v>
      </c>
      <c r="B106" s="76" t="s">
        <v>103</v>
      </c>
      <c r="C106" s="75" t="s">
        <v>882</v>
      </c>
      <c r="D106" s="77" t="s">
        <v>883</v>
      </c>
      <c r="E106" s="77" t="s">
        <v>923</v>
      </c>
      <c r="F106" s="120" t="s">
        <v>962</v>
      </c>
      <c r="G106" s="76" t="s">
        <v>104</v>
      </c>
      <c r="H106" s="121" t="s">
        <v>843</v>
      </c>
      <c r="I106" s="122" t="s">
        <v>842</v>
      </c>
      <c r="J106" s="123" t="s">
        <v>888</v>
      </c>
      <c r="K106" s="124">
        <v>2</v>
      </c>
      <c r="L106" s="117">
        <v>2</v>
      </c>
      <c r="M106" s="117">
        <v>1</v>
      </c>
      <c r="N106" s="116">
        <v>11</v>
      </c>
      <c r="O106" s="116">
        <v>3</v>
      </c>
      <c r="P106" s="116">
        <v>0</v>
      </c>
      <c r="Q106" s="116">
        <v>4</v>
      </c>
      <c r="R106" s="116">
        <v>2</v>
      </c>
      <c r="S106" s="116">
        <v>0</v>
      </c>
      <c r="T106" s="116">
        <v>3</v>
      </c>
      <c r="U106" s="116">
        <v>2</v>
      </c>
      <c r="V106" s="116">
        <v>0</v>
      </c>
      <c r="W106" s="116">
        <v>0</v>
      </c>
      <c r="X106" s="116">
        <v>0</v>
      </c>
      <c r="Y106" s="116">
        <v>0</v>
      </c>
      <c r="Z106" s="116">
        <v>12</v>
      </c>
      <c r="AA106" s="116">
        <v>2</v>
      </c>
      <c r="AB106" s="116">
        <v>0</v>
      </c>
      <c r="AC106" s="116">
        <v>0</v>
      </c>
      <c r="AD106" s="116">
        <v>0</v>
      </c>
      <c r="AE106" s="116">
        <v>0</v>
      </c>
      <c r="AF106" s="116">
        <v>0</v>
      </c>
      <c r="AG106" s="116">
        <v>0</v>
      </c>
      <c r="AH106" s="116">
        <v>0</v>
      </c>
      <c r="AI106" s="116">
        <v>1</v>
      </c>
      <c r="AJ106" s="117">
        <v>0</v>
      </c>
      <c r="AK106" s="117">
        <v>5</v>
      </c>
      <c r="AL106" s="117">
        <v>0</v>
      </c>
      <c r="AM106" s="117">
        <v>0</v>
      </c>
      <c r="AN106" s="117">
        <v>58</v>
      </c>
      <c r="AO106" s="117">
        <v>0</v>
      </c>
      <c r="AP106" s="117">
        <v>5</v>
      </c>
      <c r="AQ106" s="117">
        <v>60</v>
      </c>
    </row>
    <row r="107" spans="1:43" s="118" customFormat="1" ht="13.5" customHeight="1">
      <c r="A107" s="119">
        <v>108</v>
      </c>
      <c r="B107" s="76" t="s">
        <v>305</v>
      </c>
      <c r="C107" s="75" t="s">
        <v>882</v>
      </c>
      <c r="D107" s="77" t="s">
        <v>883</v>
      </c>
      <c r="E107" s="77" t="s">
        <v>923</v>
      </c>
      <c r="F107" s="120" t="s">
        <v>960</v>
      </c>
      <c r="G107" s="76" t="s">
        <v>306</v>
      </c>
      <c r="H107" s="121" t="s">
        <v>843</v>
      </c>
      <c r="I107" s="122" t="s">
        <v>842</v>
      </c>
      <c r="J107" s="123" t="s">
        <v>888</v>
      </c>
      <c r="K107" s="124">
        <v>2</v>
      </c>
      <c r="L107" s="117">
        <v>3</v>
      </c>
      <c r="M107" s="117">
        <v>1</v>
      </c>
      <c r="N107" s="116">
        <v>7</v>
      </c>
      <c r="O107" s="116">
        <v>1</v>
      </c>
      <c r="P107" s="116">
        <v>0</v>
      </c>
      <c r="Q107" s="116">
        <v>5</v>
      </c>
      <c r="R107" s="116">
        <v>2</v>
      </c>
      <c r="S107" s="116">
        <v>0</v>
      </c>
      <c r="T107" s="116">
        <v>2</v>
      </c>
      <c r="U107" s="116">
        <v>1</v>
      </c>
      <c r="V107" s="116">
        <v>0</v>
      </c>
      <c r="W107" s="116">
        <v>0</v>
      </c>
      <c r="X107" s="116">
        <v>0</v>
      </c>
      <c r="Y107" s="116">
        <v>0</v>
      </c>
      <c r="Z107" s="116">
        <v>9</v>
      </c>
      <c r="AA107" s="116">
        <v>1</v>
      </c>
      <c r="AB107" s="116">
        <v>0</v>
      </c>
      <c r="AC107" s="116">
        <v>0</v>
      </c>
      <c r="AD107" s="116">
        <v>0</v>
      </c>
      <c r="AE107" s="116">
        <v>0</v>
      </c>
      <c r="AF107" s="116">
        <v>0</v>
      </c>
      <c r="AG107" s="116">
        <v>0</v>
      </c>
      <c r="AH107" s="116">
        <v>0</v>
      </c>
      <c r="AI107" s="116">
        <v>1</v>
      </c>
      <c r="AJ107" s="117">
        <v>0</v>
      </c>
      <c r="AK107" s="117">
        <v>7</v>
      </c>
      <c r="AL107" s="117">
        <v>0</v>
      </c>
      <c r="AM107" s="117">
        <v>0</v>
      </c>
      <c r="AN107" s="117">
        <v>44</v>
      </c>
      <c r="AO107" s="117">
        <v>0</v>
      </c>
      <c r="AP107" s="117">
        <v>5</v>
      </c>
      <c r="AQ107" s="117">
        <v>46</v>
      </c>
    </row>
    <row r="108" spans="1:43" s="118" customFormat="1" ht="13.5" customHeight="1">
      <c r="A108" s="119">
        <v>109</v>
      </c>
      <c r="B108" s="76" t="s">
        <v>422</v>
      </c>
      <c r="C108" s="75" t="s">
        <v>882</v>
      </c>
      <c r="D108" s="77" t="s">
        <v>883</v>
      </c>
      <c r="E108" s="77" t="s">
        <v>923</v>
      </c>
      <c r="F108" s="120" t="s">
        <v>961</v>
      </c>
      <c r="G108" s="76" t="s">
        <v>423</v>
      </c>
      <c r="H108" s="121" t="s">
        <v>843</v>
      </c>
      <c r="I108" s="122" t="s">
        <v>842</v>
      </c>
      <c r="J108" s="123" t="s">
        <v>888</v>
      </c>
      <c r="K108" s="124">
        <v>2</v>
      </c>
      <c r="L108" s="117">
        <v>1</v>
      </c>
      <c r="M108" s="117">
        <v>1</v>
      </c>
      <c r="N108" s="116">
        <v>10</v>
      </c>
      <c r="O108" s="116">
        <v>3</v>
      </c>
      <c r="P108" s="116">
        <v>0</v>
      </c>
      <c r="Q108" s="116">
        <v>2</v>
      </c>
      <c r="R108" s="116">
        <v>2</v>
      </c>
      <c r="S108" s="116">
        <v>0</v>
      </c>
      <c r="T108" s="116">
        <v>0</v>
      </c>
      <c r="U108" s="116">
        <v>0</v>
      </c>
      <c r="V108" s="116">
        <v>0</v>
      </c>
      <c r="W108" s="116">
        <v>1</v>
      </c>
      <c r="X108" s="116">
        <v>0</v>
      </c>
      <c r="Y108" s="116">
        <v>0</v>
      </c>
      <c r="Z108" s="116">
        <v>0</v>
      </c>
      <c r="AA108" s="116">
        <v>0</v>
      </c>
      <c r="AB108" s="116">
        <v>0</v>
      </c>
      <c r="AC108" s="116">
        <v>10</v>
      </c>
      <c r="AD108" s="116">
        <v>5</v>
      </c>
      <c r="AE108" s="116">
        <v>0</v>
      </c>
      <c r="AF108" s="116">
        <v>0</v>
      </c>
      <c r="AG108" s="116">
        <v>0</v>
      </c>
      <c r="AH108" s="116">
        <v>0</v>
      </c>
      <c r="AI108" s="116">
        <v>1</v>
      </c>
      <c r="AJ108" s="117">
        <v>3</v>
      </c>
      <c r="AK108" s="117">
        <v>3</v>
      </c>
      <c r="AL108" s="117">
        <v>0</v>
      </c>
      <c r="AM108" s="117">
        <v>3</v>
      </c>
      <c r="AN108" s="117">
        <v>36</v>
      </c>
      <c r="AO108" s="117">
        <v>0</v>
      </c>
      <c r="AP108" s="117">
        <v>5</v>
      </c>
      <c r="AQ108" s="117">
        <v>41</v>
      </c>
    </row>
    <row r="109" spans="1:43" s="118" customFormat="1" ht="13.5" customHeight="1">
      <c r="A109" s="119">
        <v>110</v>
      </c>
      <c r="B109" s="76" t="s">
        <v>619</v>
      </c>
      <c r="C109" s="75" t="s">
        <v>882</v>
      </c>
      <c r="D109" s="77" t="s">
        <v>883</v>
      </c>
      <c r="E109" s="77" t="s">
        <v>923</v>
      </c>
      <c r="F109" s="120" t="s">
        <v>961</v>
      </c>
      <c r="G109" s="76" t="s">
        <v>620</v>
      </c>
      <c r="H109" s="121" t="s">
        <v>843</v>
      </c>
      <c r="I109" s="122" t="s">
        <v>842</v>
      </c>
      <c r="J109" s="123" t="s">
        <v>888</v>
      </c>
      <c r="K109" s="124">
        <v>2</v>
      </c>
      <c r="L109" s="117">
        <v>1</v>
      </c>
      <c r="M109" s="117">
        <v>1</v>
      </c>
      <c r="N109" s="116">
        <v>7</v>
      </c>
      <c r="O109" s="116">
        <v>1</v>
      </c>
      <c r="P109" s="116">
        <v>0</v>
      </c>
      <c r="Q109" s="116">
        <v>2</v>
      </c>
      <c r="R109" s="116">
        <v>3</v>
      </c>
      <c r="S109" s="116">
        <v>0</v>
      </c>
      <c r="T109" s="116">
        <v>0</v>
      </c>
      <c r="U109" s="116">
        <v>0</v>
      </c>
      <c r="V109" s="116">
        <v>0</v>
      </c>
      <c r="W109" s="116">
        <v>0</v>
      </c>
      <c r="X109" s="116">
        <v>0</v>
      </c>
      <c r="Y109" s="116">
        <v>0</v>
      </c>
      <c r="Z109" s="116">
        <v>0</v>
      </c>
      <c r="AA109" s="116">
        <v>0</v>
      </c>
      <c r="AB109" s="116">
        <v>0</v>
      </c>
      <c r="AC109" s="116">
        <v>8</v>
      </c>
      <c r="AD109" s="116">
        <v>3</v>
      </c>
      <c r="AE109" s="116">
        <v>0</v>
      </c>
      <c r="AF109" s="116">
        <v>0</v>
      </c>
      <c r="AG109" s="116">
        <v>0</v>
      </c>
      <c r="AH109" s="116">
        <v>0</v>
      </c>
      <c r="AI109" s="116">
        <v>1</v>
      </c>
      <c r="AJ109" s="117">
        <v>2</v>
      </c>
      <c r="AK109" s="117">
        <v>3</v>
      </c>
      <c r="AL109" s="117">
        <v>0</v>
      </c>
      <c r="AM109" s="117">
        <v>4</v>
      </c>
      <c r="AN109" s="117">
        <v>37</v>
      </c>
      <c r="AO109" s="117">
        <v>0</v>
      </c>
      <c r="AP109" s="117">
        <v>4</v>
      </c>
      <c r="AQ109" s="117">
        <v>42</v>
      </c>
    </row>
    <row r="110" spans="1:43" s="118" customFormat="1" ht="13.5" customHeight="1">
      <c r="A110" s="119">
        <v>111</v>
      </c>
      <c r="B110" s="76" t="s">
        <v>308</v>
      </c>
      <c r="C110" s="75" t="s">
        <v>882</v>
      </c>
      <c r="D110" s="77" t="s">
        <v>883</v>
      </c>
      <c r="E110" s="77" t="s">
        <v>923</v>
      </c>
      <c r="F110" s="120" t="s">
        <v>960</v>
      </c>
      <c r="G110" s="76" t="s">
        <v>309</v>
      </c>
      <c r="H110" s="121" t="s">
        <v>843</v>
      </c>
      <c r="I110" s="122"/>
      <c r="J110" s="123" t="s">
        <v>888</v>
      </c>
      <c r="K110" s="124">
        <v>2</v>
      </c>
      <c r="L110" s="117">
        <v>1</v>
      </c>
      <c r="M110" s="117">
        <v>1</v>
      </c>
      <c r="N110" s="116">
        <v>11</v>
      </c>
      <c r="O110" s="116">
        <v>2</v>
      </c>
      <c r="P110" s="116">
        <v>0</v>
      </c>
      <c r="Q110" s="116">
        <v>1</v>
      </c>
      <c r="R110" s="116">
        <v>0</v>
      </c>
      <c r="S110" s="116">
        <v>0</v>
      </c>
      <c r="T110" s="116">
        <v>0</v>
      </c>
      <c r="U110" s="116">
        <v>0</v>
      </c>
      <c r="V110" s="116">
        <v>0</v>
      </c>
      <c r="W110" s="116">
        <v>0</v>
      </c>
      <c r="X110" s="116">
        <v>0</v>
      </c>
      <c r="Y110" s="116">
        <v>0</v>
      </c>
      <c r="Z110" s="116">
        <v>11</v>
      </c>
      <c r="AA110" s="116">
        <v>1</v>
      </c>
      <c r="AB110" s="116">
        <v>0</v>
      </c>
      <c r="AC110" s="116">
        <v>0</v>
      </c>
      <c r="AD110" s="116">
        <v>0</v>
      </c>
      <c r="AE110" s="116">
        <v>0</v>
      </c>
      <c r="AF110" s="116">
        <v>0</v>
      </c>
      <c r="AG110" s="116">
        <v>0</v>
      </c>
      <c r="AH110" s="116">
        <v>0</v>
      </c>
      <c r="AI110" s="116">
        <v>1</v>
      </c>
      <c r="AJ110" s="117">
        <v>0</v>
      </c>
      <c r="AK110" s="117">
        <v>7</v>
      </c>
      <c r="AL110" s="117">
        <v>0</v>
      </c>
      <c r="AM110" s="117">
        <v>0</v>
      </c>
      <c r="AN110" s="117">
        <v>35</v>
      </c>
      <c r="AO110" s="117">
        <v>0</v>
      </c>
      <c r="AP110" s="117">
        <v>6</v>
      </c>
      <c r="AQ110" s="117">
        <v>36</v>
      </c>
    </row>
    <row r="111" spans="1:43" s="118" customFormat="1" ht="13.5" customHeight="1">
      <c r="A111" s="119">
        <v>112</v>
      </c>
      <c r="B111" s="76" t="s">
        <v>311</v>
      </c>
      <c r="C111" s="75" t="s">
        <v>882</v>
      </c>
      <c r="D111" s="77" t="s">
        <v>883</v>
      </c>
      <c r="E111" s="77" t="s">
        <v>923</v>
      </c>
      <c r="F111" s="120" t="s">
        <v>960</v>
      </c>
      <c r="G111" s="76" t="s">
        <v>312</v>
      </c>
      <c r="H111" s="121" t="s">
        <v>843</v>
      </c>
      <c r="I111" s="122" t="s">
        <v>842</v>
      </c>
      <c r="J111" s="123" t="s">
        <v>888</v>
      </c>
      <c r="K111" s="124">
        <v>2</v>
      </c>
      <c r="L111" s="117">
        <v>1</v>
      </c>
      <c r="M111" s="117">
        <v>1</v>
      </c>
      <c r="N111" s="116">
        <v>5</v>
      </c>
      <c r="O111" s="116">
        <v>1</v>
      </c>
      <c r="P111" s="116">
        <v>0</v>
      </c>
      <c r="Q111" s="116">
        <v>9</v>
      </c>
      <c r="R111" s="116">
        <v>3</v>
      </c>
      <c r="S111" s="116">
        <v>0</v>
      </c>
      <c r="T111" s="116">
        <v>0</v>
      </c>
      <c r="U111" s="116">
        <v>0</v>
      </c>
      <c r="V111" s="116">
        <v>0</v>
      </c>
      <c r="W111" s="116">
        <v>0</v>
      </c>
      <c r="X111" s="116">
        <v>0</v>
      </c>
      <c r="Y111" s="116">
        <v>0</v>
      </c>
      <c r="Z111" s="116">
        <v>13</v>
      </c>
      <c r="AA111" s="116">
        <v>3</v>
      </c>
      <c r="AB111" s="116">
        <v>0</v>
      </c>
      <c r="AC111" s="116">
        <v>0</v>
      </c>
      <c r="AD111" s="116">
        <v>0</v>
      </c>
      <c r="AE111" s="116">
        <v>0</v>
      </c>
      <c r="AF111" s="116">
        <v>0</v>
      </c>
      <c r="AG111" s="116">
        <v>0</v>
      </c>
      <c r="AH111" s="116">
        <v>0</v>
      </c>
      <c r="AI111" s="116">
        <v>1</v>
      </c>
      <c r="AJ111" s="117">
        <v>0</v>
      </c>
      <c r="AK111" s="117">
        <v>4</v>
      </c>
      <c r="AL111" s="117">
        <v>0</v>
      </c>
      <c r="AM111" s="117">
        <v>0</v>
      </c>
      <c r="AN111" s="117">
        <v>36</v>
      </c>
      <c r="AO111" s="117">
        <v>0</v>
      </c>
      <c r="AP111" s="117">
        <v>4</v>
      </c>
      <c r="AQ111" s="117">
        <v>36</v>
      </c>
    </row>
    <row r="112" spans="1:43" s="118" customFormat="1" ht="13.5" customHeight="1">
      <c r="A112" s="119">
        <v>113</v>
      </c>
      <c r="B112" s="76" t="s">
        <v>425</v>
      </c>
      <c r="C112" s="75" t="s">
        <v>882</v>
      </c>
      <c r="D112" s="77" t="s">
        <v>883</v>
      </c>
      <c r="E112" s="77" t="s">
        <v>923</v>
      </c>
      <c r="F112" s="120" t="s">
        <v>961</v>
      </c>
      <c r="G112" s="76" t="s">
        <v>426</v>
      </c>
      <c r="H112" s="121" t="s">
        <v>843</v>
      </c>
      <c r="I112" s="122" t="s">
        <v>842</v>
      </c>
      <c r="J112" s="123" t="s">
        <v>885</v>
      </c>
      <c r="K112" s="124">
        <v>2</v>
      </c>
      <c r="L112" s="117">
        <v>1</v>
      </c>
      <c r="M112" s="117">
        <v>1</v>
      </c>
      <c r="N112" s="116">
        <v>10</v>
      </c>
      <c r="O112" s="116">
        <v>3</v>
      </c>
      <c r="P112" s="116">
        <v>0</v>
      </c>
      <c r="Q112" s="116">
        <v>3</v>
      </c>
      <c r="R112" s="116">
        <v>2</v>
      </c>
      <c r="S112" s="116">
        <v>0</v>
      </c>
      <c r="T112" s="116">
        <v>0</v>
      </c>
      <c r="U112" s="116">
        <v>0</v>
      </c>
      <c r="V112" s="116">
        <v>0</v>
      </c>
      <c r="W112" s="116">
        <v>0</v>
      </c>
      <c r="X112" s="116">
        <v>0</v>
      </c>
      <c r="Y112" s="116">
        <v>0</v>
      </c>
      <c r="Z112" s="116">
        <v>0</v>
      </c>
      <c r="AA112" s="116">
        <v>0</v>
      </c>
      <c r="AB112" s="116">
        <v>0</v>
      </c>
      <c r="AC112" s="116">
        <v>12</v>
      </c>
      <c r="AD112" s="116">
        <v>4</v>
      </c>
      <c r="AE112" s="116">
        <v>0</v>
      </c>
      <c r="AF112" s="116">
        <v>0</v>
      </c>
      <c r="AG112" s="116">
        <v>0</v>
      </c>
      <c r="AH112" s="116">
        <v>0</v>
      </c>
      <c r="AI112" s="116">
        <v>1</v>
      </c>
      <c r="AJ112" s="117">
        <v>2</v>
      </c>
      <c r="AK112" s="117">
        <v>10</v>
      </c>
      <c r="AL112" s="117">
        <v>1</v>
      </c>
      <c r="AM112" s="117">
        <v>9</v>
      </c>
      <c r="AN112" s="117">
        <v>59</v>
      </c>
      <c r="AO112" s="117">
        <v>0</v>
      </c>
      <c r="AP112" s="117">
        <v>9</v>
      </c>
      <c r="AQ112" s="117">
        <v>73</v>
      </c>
    </row>
    <row r="113" spans="1:43" s="118" customFormat="1" ht="13.5" customHeight="1">
      <c r="A113" s="119">
        <v>114</v>
      </c>
      <c r="B113" s="76" t="s">
        <v>314</v>
      </c>
      <c r="C113" s="75" t="s">
        <v>882</v>
      </c>
      <c r="D113" s="77" t="s">
        <v>883</v>
      </c>
      <c r="E113" s="77" t="s">
        <v>923</v>
      </c>
      <c r="F113" s="120" t="s">
        <v>960</v>
      </c>
      <c r="G113" s="76" t="s">
        <v>315</v>
      </c>
      <c r="H113" s="121" t="s">
        <v>843</v>
      </c>
      <c r="I113" s="122" t="s">
        <v>842</v>
      </c>
      <c r="J113" s="123" t="s">
        <v>888</v>
      </c>
      <c r="K113" s="124">
        <v>2</v>
      </c>
      <c r="L113" s="117">
        <v>1</v>
      </c>
      <c r="M113" s="117">
        <v>1</v>
      </c>
      <c r="N113" s="116">
        <v>23</v>
      </c>
      <c r="O113" s="116">
        <v>3</v>
      </c>
      <c r="P113" s="116">
        <v>0</v>
      </c>
      <c r="Q113" s="116">
        <v>1</v>
      </c>
      <c r="R113" s="116">
        <v>3</v>
      </c>
      <c r="S113" s="116">
        <v>0</v>
      </c>
      <c r="T113" s="116">
        <v>5</v>
      </c>
      <c r="U113" s="116">
        <v>1</v>
      </c>
      <c r="V113" s="116">
        <v>0</v>
      </c>
      <c r="W113" s="116">
        <v>0</v>
      </c>
      <c r="X113" s="116">
        <v>0</v>
      </c>
      <c r="Y113" s="116">
        <v>0</v>
      </c>
      <c r="Z113" s="116">
        <v>18</v>
      </c>
      <c r="AA113" s="116">
        <v>4</v>
      </c>
      <c r="AB113" s="116">
        <v>0</v>
      </c>
      <c r="AC113" s="116">
        <v>0</v>
      </c>
      <c r="AD113" s="116">
        <v>0</v>
      </c>
      <c r="AE113" s="116">
        <v>0</v>
      </c>
      <c r="AF113" s="116">
        <v>0</v>
      </c>
      <c r="AG113" s="116">
        <v>0</v>
      </c>
      <c r="AH113" s="116">
        <v>0</v>
      </c>
      <c r="AI113" s="116">
        <v>1</v>
      </c>
      <c r="AJ113" s="117">
        <v>0</v>
      </c>
      <c r="AK113" s="117">
        <v>5</v>
      </c>
      <c r="AL113" s="117">
        <v>0</v>
      </c>
      <c r="AM113" s="117">
        <v>0</v>
      </c>
      <c r="AN113" s="117">
        <v>39</v>
      </c>
      <c r="AO113" s="117">
        <v>0</v>
      </c>
      <c r="AP113" s="117">
        <v>5</v>
      </c>
      <c r="AQ113" s="117">
        <v>43</v>
      </c>
    </row>
    <row r="114" spans="1:43" s="118" customFormat="1" ht="13.5" customHeight="1">
      <c r="A114" s="119">
        <v>115</v>
      </c>
      <c r="B114" s="76" t="s">
        <v>431</v>
      </c>
      <c r="C114" s="75" t="s">
        <v>882</v>
      </c>
      <c r="D114" s="77" t="s">
        <v>883</v>
      </c>
      <c r="E114" s="77" t="s">
        <v>923</v>
      </c>
      <c r="F114" s="120" t="s">
        <v>961</v>
      </c>
      <c r="G114" s="76" t="s">
        <v>432</v>
      </c>
      <c r="H114" s="121" t="s">
        <v>843</v>
      </c>
      <c r="I114" s="122" t="s">
        <v>842</v>
      </c>
      <c r="J114" s="123" t="s">
        <v>888</v>
      </c>
      <c r="K114" s="124">
        <v>2</v>
      </c>
      <c r="L114" s="117">
        <v>1</v>
      </c>
      <c r="M114" s="117">
        <v>1</v>
      </c>
      <c r="N114" s="116">
        <v>5</v>
      </c>
      <c r="O114" s="116">
        <v>1</v>
      </c>
      <c r="P114" s="116">
        <v>0</v>
      </c>
      <c r="Q114" s="116">
        <v>11</v>
      </c>
      <c r="R114" s="116">
        <v>7</v>
      </c>
      <c r="S114" s="116">
        <v>0</v>
      </c>
      <c r="T114" s="116">
        <v>0</v>
      </c>
      <c r="U114" s="116">
        <v>0</v>
      </c>
      <c r="V114" s="116">
        <v>0</v>
      </c>
      <c r="W114" s="116">
        <v>0</v>
      </c>
      <c r="X114" s="116">
        <v>0</v>
      </c>
      <c r="Y114" s="116">
        <v>0</v>
      </c>
      <c r="Z114" s="116">
        <v>0</v>
      </c>
      <c r="AA114" s="116">
        <v>0</v>
      </c>
      <c r="AB114" s="116">
        <v>0</v>
      </c>
      <c r="AC114" s="116">
        <v>15</v>
      </c>
      <c r="AD114" s="116">
        <v>7</v>
      </c>
      <c r="AE114" s="116">
        <v>0</v>
      </c>
      <c r="AF114" s="116">
        <v>0</v>
      </c>
      <c r="AG114" s="116">
        <v>0</v>
      </c>
      <c r="AH114" s="116">
        <v>0</v>
      </c>
      <c r="AI114" s="116">
        <v>1</v>
      </c>
      <c r="AJ114" s="117">
        <v>3</v>
      </c>
      <c r="AK114" s="117">
        <v>9</v>
      </c>
      <c r="AL114" s="117">
        <v>0</v>
      </c>
      <c r="AM114" s="117">
        <v>16</v>
      </c>
      <c r="AN114" s="117">
        <v>53</v>
      </c>
      <c r="AO114" s="117">
        <v>0</v>
      </c>
      <c r="AP114" s="117">
        <v>11</v>
      </c>
      <c r="AQ114" s="117">
        <v>70</v>
      </c>
    </row>
    <row r="115" spans="1:43" s="118" customFormat="1" ht="13.5" customHeight="1">
      <c r="A115" s="119">
        <v>116</v>
      </c>
      <c r="B115" s="76" t="s">
        <v>625</v>
      </c>
      <c r="C115" s="75" t="s">
        <v>882</v>
      </c>
      <c r="D115" s="77" t="s">
        <v>883</v>
      </c>
      <c r="E115" s="77" t="s">
        <v>923</v>
      </c>
      <c r="F115" s="120" t="s">
        <v>962</v>
      </c>
      <c r="G115" s="76" t="s">
        <v>626</v>
      </c>
      <c r="H115" s="121" t="s">
        <v>843</v>
      </c>
      <c r="I115" s="122" t="s">
        <v>842</v>
      </c>
      <c r="J115" s="123" t="s">
        <v>888</v>
      </c>
      <c r="K115" s="124">
        <v>2</v>
      </c>
      <c r="L115" s="117">
        <v>2</v>
      </c>
      <c r="M115" s="117">
        <v>1</v>
      </c>
      <c r="N115" s="116">
        <v>21</v>
      </c>
      <c r="O115" s="116">
        <v>16</v>
      </c>
      <c r="P115" s="116">
        <v>0</v>
      </c>
      <c r="Q115" s="116">
        <v>2</v>
      </c>
      <c r="R115" s="116">
        <v>0</v>
      </c>
      <c r="S115" s="116">
        <v>0</v>
      </c>
      <c r="T115" s="116">
        <v>0</v>
      </c>
      <c r="U115" s="116">
        <v>0</v>
      </c>
      <c r="V115" s="116">
        <v>0</v>
      </c>
      <c r="W115" s="116">
        <v>14</v>
      </c>
      <c r="X115" s="116">
        <v>12</v>
      </c>
      <c r="Y115" s="116">
        <v>0</v>
      </c>
      <c r="Z115" s="116">
        <v>4</v>
      </c>
      <c r="AA115" s="116">
        <v>3</v>
      </c>
      <c r="AB115" s="116">
        <v>0</v>
      </c>
      <c r="AC115" s="116">
        <v>0</v>
      </c>
      <c r="AD115" s="116">
        <v>0</v>
      </c>
      <c r="AE115" s="116">
        <v>0</v>
      </c>
      <c r="AF115" s="116">
        <v>4</v>
      </c>
      <c r="AG115" s="116">
        <v>0</v>
      </c>
      <c r="AH115" s="116">
        <v>0</v>
      </c>
      <c r="AI115" s="116">
        <v>1</v>
      </c>
      <c r="AJ115" s="117">
        <v>0</v>
      </c>
      <c r="AK115" s="117">
        <v>14</v>
      </c>
      <c r="AL115" s="117">
        <v>0</v>
      </c>
      <c r="AM115" s="117">
        <v>0</v>
      </c>
      <c r="AN115" s="117">
        <v>58</v>
      </c>
      <c r="AO115" s="117">
        <v>0</v>
      </c>
      <c r="AP115" s="117">
        <v>14</v>
      </c>
      <c r="AQ115" s="117">
        <v>57</v>
      </c>
    </row>
    <row r="116" spans="1:43" s="118" customFormat="1" ht="13.5" customHeight="1">
      <c r="A116" s="119">
        <v>117</v>
      </c>
      <c r="B116" s="76" t="s">
        <v>317</v>
      </c>
      <c r="C116" s="75" t="s">
        <v>882</v>
      </c>
      <c r="D116" s="77" t="s">
        <v>883</v>
      </c>
      <c r="E116" s="77" t="s">
        <v>923</v>
      </c>
      <c r="F116" s="120" t="s">
        <v>960</v>
      </c>
      <c r="G116" s="76" t="s">
        <v>318</v>
      </c>
      <c r="H116" s="121" t="s">
        <v>843</v>
      </c>
      <c r="I116" s="122"/>
      <c r="J116" s="123" t="s">
        <v>888</v>
      </c>
      <c r="K116" s="124">
        <v>2</v>
      </c>
      <c r="L116" s="117">
        <v>1</v>
      </c>
      <c r="M116" s="117">
        <v>1</v>
      </c>
      <c r="N116" s="116">
        <v>9</v>
      </c>
      <c r="O116" s="116">
        <v>2</v>
      </c>
      <c r="P116" s="116">
        <v>0</v>
      </c>
      <c r="Q116" s="116">
        <v>0</v>
      </c>
      <c r="R116" s="116">
        <v>3</v>
      </c>
      <c r="S116" s="116">
        <v>0</v>
      </c>
      <c r="T116" s="116">
        <v>0</v>
      </c>
      <c r="U116" s="116">
        <v>0</v>
      </c>
      <c r="V116" s="116">
        <v>0</v>
      </c>
      <c r="W116" s="116">
        <v>0</v>
      </c>
      <c r="X116" s="116">
        <v>0</v>
      </c>
      <c r="Y116" s="116">
        <v>0</v>
      </c>
      <c r="Z116" s="116">
        <v>8</v>
      </c>
      <c r="AA116" s="116">
        <v>4</v>
      </c>
      <c r="AB116" s="116">
        <v>0</v>
      </c>
      <c r="AC116" s="116">
        <v>0</v>
      </c>
      <c r="AD116" s="116">
        <v>0</v>
      </c>
      <c r="AE116" s="116">
        <v>0</v>
      </c>
      <c r="AF116" s="116">
        <v>0</v>
      </c>
      <c r="AG116" s="116">
        <v>0</v>
      </c>
      <c r="AH116" s="116">
        <v>0</v>
      </c>
      <c r="AI116" s="116">
        <v>1</v>
      </c>
      <c r="AJ116" s="117">
        <v>0</v>
      </c>
      <c r="AK116" s="117">
        <v>6</v>
      </c>
      <c r="AL116" s="117">
        <v>0</v>
      </c>
      <c r="AM116" s="117">
        <v>0</v>
      </c>
      <c r="AN116" s="117">
        <v>25</v>
      </c>
      <c r="AO116" s="117">
        <v>0</v>
      </c>
      <c r="AP116" s="117">
        <v>6</v>
      </c>
      <c r="AQ116" s="117">
        <v>25</v>
      </c>
    </row>
    <row r="117" spans="1:43" s="118" customFormat="1" ht="13.5" customHeight="1">
      <c r="A117" s="119">
        <v>118</v>
      </c>
      <c r="B117" s="76" t="s">
        <v>320</v>
      </c>
      <c r="C117" s="75" t="s">
        <v>882</v>
      </c>
      <c r="D117" s="77" t="s">
        <v>883</v>
      </c>
      <c r="E117" s="77" t="s">
        <v>923</v>
      </c>
      <c r="F117" s="120" t="s">
        <v>960</v>
      </c>
      <c r="G117" s="76" t="s">
        <v>321</v>
      </c>
      <c r="H117" s="121" t="s">
        <v>843</v>
      </c>
      <c r="I117" s="122"/>
      <c r="J117" s="123" t="s">
        <v>888</v>
      </c>
      <c r="K117" s="124">
        <v>2</v>
      </c>
      <c r="L117" s="117">
        <v>1</v>
      </c>
      <c r="M117" s="117">
        <v>3</v>
      </c>
      <c r="N117" s="116">
        <v>5</v>
      </c>
      <c r="O117" s="116">
        <v>1</v>
      </c>
      <c r="P117" s="116">
        <v>0</v>
      </c>
      <c r="Q117" s="116">
        <v>4</v>
      </c>
      <c r="R117" s="116">
        <v>2</v>
      </c>
      <c r="S117" s="116">
        <v>0</v>
      </c>
      <c r="T117" s="116">
        <v>1</v>
      </c>
      <c r="U117" s="116">
        <v>0</v>
      </c>
      <c r="V117" s="116">
        <v>0</v>
      </c>
      <c r="W117" s="116">
        <v>0</v>
      </c>
      <c r="X117" s="116">
        <v>0</v>
      </c>
      <c r="Y117" s="116">
        <v>0</v>
      </c>
      <c r="Z117" s="116">
        <v>7</v>
      </c>
      <c r="AA117" s="116">
        <v>2</v>
      </c>
      <c r="AB117" s="116">
        <v>0</v>
      </c>
      <c r="AC117" s="116">
        <v>0</v>
      </c>
      <c r="AD117" s="116">
        <v>0</v>
      </c>
      <c r="AE117" s="116">
        <v>0</v>
      </c>
      <c r="AF117" s="116">
        <v>0</v>
      </c>
      <c r="AG117" s="116">
        <v>0</v>
      </c>
      <c r="AH117" s="116">
        <v>0</v>
      </c>
      <c r="AI117" s="116">
        <v>1</v>
      </c>
      <c r="AJ117" s="117">
        <v>0</v>
      </c>
      <c r="AK117" s="117">
        <v>5</v>
      </c>
      <c r="AL117" s="117">
        <v>0</v>
      </c>
      <c r="AM117" s="117">
        <v>7</v>
      </c>
      <c r="AN117" s="117">
        <v>24</v>
      </c>
      <c r="AO117" s="117">
        <v>0</v>
      </c>
      <c r="AP117" s="117">
        <v>4</v>
      </c>
      <c r="AQ117" s="117">
        <v>32</v>
      </c>
    </row>
    <row r="118" spans="1:43" s="118" customFormat="1" ht="13.5" customHeight="1">
      <c r="A118" s="119">
        <v>119</v>
      </c>
      <c r="B118" s="76" t="s">
        <v>639</v>
      </c>
      <c r="C118" s="75" t="s">
        <v>882</v>
      </c>
      <c r="D118" s="77" t="s">
        <v>883</v>
      </c>
      <c r="E118" s="77" t="s">
        <v>923</v>
      </c>
      <c r="F118" s="120" t="s">
        <v>961</v>
      </c>
      <c r="G118" s="76" t="s">
        <v>640</v>
      </c>
      <c r="H118" s="121" t="s">
        <v>843</v>
      </c>
      <c r="I118" s="122" t="s">
        <v>842</v>
      </c>
      <c r="J118" s="123" t="s">
        <v>888</v>
      </c>
      <c r="K118" s="124">
        <v>2</v>
      </c>
      <c r="L118" s="117">
        <v>1</v>
      </c>
      <c r="M118" s="117">
        <v>1</v>
      </c>
      <c r="N118" s="116">
        <v>6</v>
      </c>
      <c r="O118" s="116">
        <v>1</v>
      </c>
      <c r="P118" s="116">
        <v>0</v>
      </c>
      <c r="Q118" s="116">
        <v>9</v>
      </c>
      <c r="R118" s="116">
        <v>2</v>
      </c>
      <c r="S118" s="116">
        <v>0</v>
      </c>
      <c r="T118" s="116">
        <v>1</v>
      </c>
      <c r="U118" s="116">
        <v>0</v>
      </c>
      <c r="V118" s="116">
        <v>0</v>
      </c>
      <c r="W118" s="116">
        <v>0</v>
      </c>
      <c r="X118" s="116">
        <v>0</v>
      </c>
      <c r="Y118" s="116">
        <v>0</v>
      </c>
      <c r="Z118" s="116">
        <v>14</v>
      </c>
      <c r="AA118" s="116">
        <v>2</v>
      </c>
      <c r="AB118" s="116">
        <v>0</v>
      </c>
      <c r="AC118" s="116">
        <v>0</v>
      </c>
      <c r="AD118" s="116">
        <v>0</v>
      </c>
      <c r="AE118" s="116">
        <v>0</v>
      </c>
      <c r="AF118" s="116">
        <v>0</v>
      </c>
      <c r="AG118" s="116">
        <v>0</v>
      </c>
      <c r="AH118" s="116">
        <v>0</v>
      </c>
      <c r="AI118" s="116">
        <v>1</v>
      </c>
      <c r="AJ118" s="117">
        <v>0</v>
      </c>
      <c r="AK118" s="117">
        <v>10</v>
      </c>
      <c r="AL118" s="117">
        <v>0</v>
      </c>
      <c r="AM118" s="117">
        <v>23</v>
      </c>
      <c r="AN118" s="117">
        <v>27</v>
      </c>
      <c r="AO118" s="117">
        <v>0</v>
      </c>
      <c r="AP118" s="117">
        <v>7</v>
      </c>
      <c r="AQ118" s="117">
        <v>54</v>
      </c>
    </row>
    <row r="119" spans="1:43" s="118" customFormat="1" ht="13.5" customHeight="1">
      <c r="A119" s="119">
        <v>120</v>
      </c>
      <c r="B119" s="76" t="s">
        <v>557</v>
      </c>
      <c r="C119" s="75" t="s">
        <v>882</v>
      </c>
      <c r="D119" s="77" t="s">
        <v>883</v>
      </c>
      <c r="E119" s="77" t="s">
        <v>923</v>
      </c>
      <c r="F119" s="120" t="s">
        <v>961</v>
      </c>
      <c r="G119" s="76" t="s">
        <v>558</v>
      </c>
      <c r="H119" s="121" t="s">
        <v>843</v>
      </c>
      <c r="I119" s="122" t="s">
        <v>844</v>
      </c>
      <c r="J119" s="123" t="s">
        <v>885</v>
      </c>
      <c r="K119" s="124">
        <v>2</v>
      </c>
      <c r="L119" s="117">
        <v>3</v>
      </c>
      <c r="M119" s="117">
        <v>1</v>
      </c>
      <c r="N119" s="116">
        <v>8</v>
      </c>
      <c r="O119" s="116">
        <v>1</v>
      </c>
      <c r="P119" s="116">
        <v>0</v>
      </c>
      <c r="Q119" s="116">
        <v>14</v>
      </c>
      <c r="R119" s="116">
        <v>2</v>
      </c>
      <c r="S119" s="116">
        <v>0</v>
      </c>
      <c r="T119" s="116">
        <v>6</v>
      </c>
      <c r="U119" s="116">
        <v>1</v>
      </c>
      <c r="V119" s="116">
        <v>0</v>
      </c>
      <c r="W119" s="116">
        <v>0</v>
      </c>
      <c r="X119" s="116">
        <v>0</v>
      </c>
      <c r="Y119" s="116">
        <v>0</v>
      </c>
      <c r="Z119" s="116">
        <v>17</v>
      </c>
      <c r="AA119" s="116">
        <v>2</v>
      </c>
      <c r="AB119" s="116">
        <v>0</v>
      </c>
      <c r="AC119" s="116">
        <v>0</v>
      </c>
      <c r="AD119" s="116">
        <v>0</v>
      </c>
      <c r="AE119" s="116">
        <v>0</v>
      </c>
      <c r="AF119" s="116">
        <v>0</v>
      </c>
      <c r="AG119" s="116">
        <v>0</v>
      </c>
      <c r="AH119" s="116">
        <v>0</v>
      </c>
      <c r="AI119" s="116">
        <v>1</v>
      </c>
      <c r="AJ119" s="117">
        <v>2</v>
      </c>
      <c r="AK119" s="117">
        <v>9</v>
      </c>
      <c r="AL119" s="117">
        <v>0</v>
      </c>
      <c r="AM119" s="117">
        <v>4</v>
      </c>
      <c r="AN119" s="117">
        <v>61</v>
      </c>
      <c r="AO119" s="117">
        <v>0</v>
      </c>
      <c r="AP119" s="117">
        <v>7</v>
      </c>
      <c r="AQ119" s="117">
        <v>70</v>
      </c>
    </row>
    <row r="120" spans="1:43" s="118" customFormat="1" ht="13.5" customHeight="1">
      <c r="A120" s="119">
        <v>121</v>
      </c>
      <c r="B120" s="76" t="s">
        <v>548</v>
      </c>
      <c r="C120" s="75" t="s">
        <v>882</v>
      </c>
      <c r="D120" s="77" t="s">
        <v>883</v>
      </c>
      <c r="E120" s="77" t="s">
        <v>923</v>
      </c>
      <c r="F120" s="120" t="s">
        <v>960</v>
      </c>
      <c r="G120" s="76" t="s">
        <v>549</v>
      </c>
      <c r="H120" s="121" t="s">
        <v>843</v>
      </c>
      <c r="I120" s="122" t="s">
        <v>842</v>
      </c>
      <c r="J120" s="123" t="s">
        <v>888</v>
      </c>
      <c r="K120" s="124">
        <v>2</v>
      </c>
      <c r="L120" s="117">
        <v>1</v>
      </c>
      <c r="M120" s="117">
        <v>1</v>
      </c>
      <c r="N120" s="116">
        <v>12</v>
      </c>
      <c r="O120" s="116">
        <v>3</v>
      </c>
      <c r="P120" s="116">
        <v>0</v>
      </c>
      <c r="Q120" s="116">
        <v>4</v>
      </c>
      <c r="R120" s="116">
        <v>0</v>
      </c>
      <c r="S120" s="116">
        <v>0</v>
      </c>
      <c r="T120" s="116">
        <v>0</v>
      </c>
      <c r="U120" s="116">
        <v>1</v>
      </c>
      <c r="V120" s="116">
        <v>0</v>
      </c>
      <c r="W120" s="116">
        <v>0</v>
      </c>
      <c r="X120" s="116">
        <v>0</v>
      </c>
      <c r="Y120" s="116">
        <v>0</v>
      </c>
      <c r="Z120" s="116">
        <v>0</v>
      </c>
      <c r="AA120" s="116">
        <v>0</v>
      </c>
      <c r="AB120" s="116">
        <v>0</v>
      </c>
      <c r="AC120" s="116">
        <v>15</v>
      </c>
      <c r="AD120" s="116">
        <v>1</v>
      </c>
      <c r="AE120" s="116">
        <v>0</v>
      </c>
      <c r="AF120" s="116">
        <v>0</v>
      </c>
      <c r="AG120" s="116">
        <v>0</v>
      </c>
      <c r="AH120" s="116">
        <v>0</v>
      </c>
      <c r="AI120" s="116">
        <v>1</v>
      </c>
      <c r="AJ120" s="117">
        <v>0</v>
      </c>
      <c r="AK120" s="117">
        <v>9</v>
      </c>
      <c r="AL120" s="117">
        <v>0</v>
      </c>
      <c r="AM120" s="117">
        <v>0</v>
      </c>
      <c r="AN120" s="117">
        <v>46</v>
      </c>
      <c r="AO120" s="117">
        <v>0</v>
      </c>
      <c r="AP120" s="117">
        <v>6</v>
      </c>
      <c r="AQ120" s="117">
        <v>49</v>
      </c>
    </row>
    <row r="121" spans="1:43" s="118" customFormat="1" ht="13.5" customHeight="1">
      <c r="A121" s="119">
        <v>122</v>
      </c>
      <c r="B121" s="76" t="s">
        <v>542</v>
      </c>
      <c r="C121" s="75" t="s">
        <v>882</v>
      </c>
      <c r="D121" s="77" t="s">
        <v>883</v>
      </c>
      <c r="E121" s="77" t="s">
        <v>923</v>
      </c>
      <c r="F121" s="120" t="s">
        <v>961</v>
      </c>
      <c r="G121" s="76" t="s">
        <v>543</v>
      </c>
      <c r="H121" s="121" t="s">
        <v>843</v>
      </c>
      <c r="I121" s="122" t="s">
        <v>844</v>
      </c>
      <c r="J121" s="123" t="s">
        <v>885</v>
      </c>
      <c r="K121" s="124">
        <v>2</v>
      </c>
      <c r="L121" s="117">
        <v>1</v>
      </c>
      <c r="M121" s="117">
        <v>0</v>
      </c>
      <c r="N121" s="116">
        <v>10</v>
      </c>
      <c r="O121" s="116">
        <v>3</v>
      </c>
      <c r="P121" s="116">
        <v>1</v>
      </c>
      <c r="Q121" s="116">
        <v>1</v>
      </c>
      <c r="R121" s="116">
        <v>0</v>
      </c>
      <c r="S121" s="116">
        <v>0</v>
      </c>
      <c r="T121" s="116">
        <v>4</v>
      </c>
      <c r="U121" s="116">
        <v>2</v>
      </c>
      <c r="V121" s="116">
        <v>0</v>
      </c>
      <c r="W121" s="116">
        <v>0</v>
      </c>
      <c r="X121" s="116">
        <v>0</v>
      </c>
      <c r="Y121" s="116">
        <v>0</v>
      </c>
      <c r="Z121" s="116">
        <v>0</v>
      </c>
      <c r="AA121" s="116">
        <v>0</v>
      </c>
      <c r="AB121" s="116">
        <v>0</v>
      </c>
      <c r="AC121" s="116">
        <v>0</v>
      </c>
      <c r="AD121" s="116">
        <v>0</v>
      </c>
      <c r="AE121" s="116">
        <v>0</v>
      </c>
      <c r="AF121" s="116">
        <v>5</v>
      </c>
      <c r="AG121" s="116">
        <v>1</v>
      </c>
      <c r="AH121" s="116">
        <v>3</v>
      </c>
      <c r="AI121" s="116">
        <v>1</v>
      </c>
      <c r="AJ121" s="117">
        <v>2</v>
      </c>
      <c r="AK121" s="117">
        <v>10</v>
      </c>
      <c r="AL121" s="117">
        <v>0</v>
      </c>
      <c r="AM121" s="117">
        <v>1</v>
      </c>
      <c r="AN121" s="117">
        <v>59</v>
      </c>
      <c r="AO121" s="117">
        <v>0</v>
      </c>
      <c r="AP121" s="117">
        <v>9</v>
      </c>
      <c r="AQ121" s="117">
        <v>63</v>
      </c>
    </row>
    <row r="122" spans="1:43" s="118" customFormat="1" ht="13.5" customHeight="1">
      <c r="A122" s="119">
        <v>123</v>
      </c>
      <c r="B122" s="76" t="s">
        <v>21</v>
      </c>
      <c r="C122" s="75" t="s">
        <v>882</v>
      </c>
      <c r="D122" s="77" t="s">
        <v>883</v>
      </c>
      <c r="E122" s="77" t="s">
        <v>923</v>
      </c>
      <c r="F122" s="120" t="s">
        <v>962</v>
      </c>
      <c r="G122" s="76" t="s">
        <v>22</v>
      </c>
      <c r="H122" s="121" t="s">
        <v>843</v>
      </c>
      <c r="I122" s="122" t="s">
        <v>842</v>
      </c>
      <c r="J122" s="123" t="s">
        <v>888</v>
      </c>
      <c r="K122" s="124">
        <v>2</v>
      </c>
      <c r="L122" s="117">
        <v>1</v>
      </c>
      <c r="M122" s="117">
        <v>1</v>
      </c>
      <c r="N122" s="116">
        <v>14</v>
      </c>
      <c r="O122" s="116">
        <v>7</v>
      </c>
      <c r="P122" s="116">
        <v>0</v>
      </c>
      <c r="Q122" s="116">
        <v>22</v>
      </c>
      <c r="R122" s="116">
        <v>0</v>
      </c>
      <c r="S122" s="116">
        <v>0</v>
      </c>
      <c r="T122" s="116">
        <v>0</v>
      </c>
      <c r="U122" s="116">
        <v>0</v>
      </c>
      <c r="V122" s="116">
        <v>0</v>
      </c>
      <c r="W122" s="116">
        <v>0</v>
      </c>
      <c r="X122" s="116">
        <v>0</v>
      </c>
      <c r="Y122" s="116">
        <v>0</v>
      </c>
      <c r="Z122" s="116">
        <v>0</v>
      </c>
      <c r="AA122" s="116">
        <v>0</v>
      </c>
      <c r="AB122" s="116">
        <v>0</v>
      </c>
      <c r="AC122" s="116">
        <v>0</v>
      </c>
      <c r="AD122" s="116">
        <v>0</v>
      </c>
      <c r="AE122" s="116">
        <v>0</v>
      </c>
      <c r="AF122" s="116">
        <v>35</v>
      </c>
      <c r="AG122" s="116">
        <v>7</v>
      </c>
      <c r="AH122" s="116">
        <v>0</v>
      </c>
      <c r="AI122" s="116">
        <v>1</v>
      </c>
      <c r="AJ122" s="117">
        <v>0</v>
      </c>
      <c r="AK122" s="117">
        <v>8</v>
      </c>
      <c r="AL122" s="117">
        <v>0</v>
      </c>
      <c r="AM122" s="117">
        <v>0</v>
      </c>
      <c r="AN122" s="117">
        <v>56</v>
      </c>
      <c r="AO122" s="117">
        <v>0</v>
      </c>
      <c r="AP122" s="117">
        <v>5</v>
      </c>
      <c r="AQ122" s="117">
        <v>59</v>
      </c>
    </row>
    <row r="123" spans="1:43" s="118" customFormat="1" ht="13.5" customHeight="1">
      <c r="A123" s="119">
        <v>124</v>
      </c>
      <c r="B123" s="76" t="s">
        <v>329</v>
      </c>
      <c r="C123" s="75" t="s">
        <v>882</v>
      </c>
      <c r="D123" s="77" t="s">
        <v>883</v>
      </c>
      <c r="E123" s="77" t="s">
        <v>923</v>
      </c>
      <c r="F123" s="120" t="s">
        <v>960</v>
      </c>
      <c r="G123" s="76" t="s">
        <v>330</v>
      </c>
      <c r="H123" s="121" t="s">
        <v>843</v>
      </c>
      <c r="I123" s="122" t="s">
        <v>842</v>
      </c>
      <c r="J123" s="123" t="s">
        <v>888</v>
      </c>
      <c r="K123" s="124">
        <v>2</v>
      </c>
      <c r="L123" s="117">
        <v>1</v>
      </c>
      <c r="M123" s="117">
        <v>1</v>
      </c>
      <c r="N123" s="116">
        <v>5</v>
      </c>
      <c r="O123" s="116">
        <v>2</v>
      </c>
      <c r="P123" s="116">
        <v>0</v>
      </c>
      <c r="Q123" s="116">
        <v>6</v>
      </c>
      <c r="R123" s="116">
        <v>0</v>
      </c>
      <c r="S123" s="116">
        <v>0</v>
      </c>
      <c r="T123" s="116">
        <v>0</v>
      </c>
      <c r="U123" s="116">
        <v>0</v>
      </c>
      <c r="V123" s="116">
        <v>0</v>
      </c>
      <c r="W123" s="116">
        <v>0</v>
      </c>
      <c r="X123" s="116">
        <v>0</v>
      </c>
      <c r="Y123" s="116">
        <v>0</v>
      </c>
      <c r="Z123" s="116">
        <v>10</v>
      </c>
      <c r="AA123" s="116">
        <v>1</v>
      </c>
      <c r="AB123" s="116">
        <v>0</v>
      </c>
      <c r="AC123" s="116">
        <v>0</v>
      </c>
      <c r="AD123" s="116">
        <v>0</v>
      </c>
      <c r="AE123" s="116">
        <v>0</v>
      </c>
      <c r="AF123" s="116">
        <v>0</v>
      </c>
      <c r="AG123" s="116">
        <v>0</v>
      </c>
      <c r="AH123" s="116">
        <v>0</v>
      </c>
      <c r="AI123" s="116">
        <v>1</v>
      </c>
      <c r="AJ123" s="117">
        <v>0</v>
      </c>
      <c r="AK123" s="117">
        <v>6</v>
      </c>
      <c r="AL123" s="117">
        <v>0</v>
      </c>
      <c r="AM123" s="117">
        <v>0</v>
      </c>
      <c r="AN123" s="117">
        <v>47</v>
      </c>
      <c r="AO123" s="117">
        <v>0</v>
      </c>
      <c r="AP123" s="117">
        <v>3</v>
      </c>
      <c r="AQ123" s="117">
        <v>47</v>
      </c>
    </row>
    <row r="124" spans="1:43" s="118" customFormat="1" ht="13.5" customHeight="1">
      <c r="A124" s="119">
        <v>125</v>
      </c>
      <c r="B124" s="76" t="s">
        <v>440</v>
      </c>
      <c r="C124" s="75" t="s">
        <v>882</v>
      </c>
      <c r="D124" s="77" t="s">
        <v>883</v>
      </c>
      <c r="E124" s="77" t="s">
        <v>923</v>
      </c>
      <c r="F124" s="120" t="s">
        <v>961</v>
      </c>
      <c r="G124" s="76" t="s">
        <v>441</v>
      </c>
      <c r="H124" s="121" t="s">
        <v>843</v>
      </c>
      <c r="I124" s="122" t="s">
        <v>842</v>
      </c>
      <c r="J124" s="123" t="s">
        <v>888</v>
      </c>
      <c r="K124" s="124">
        <v>2</v>
      </c>
      <c r="L124" s="117">
        <v>0</v>
      </c>
      <c r="M124" s="117">
        <v>0</v>
      </c>
      <c r="N124" s="116">
        <v>8</v>
      </c>
      <c r="O124" s="116">
        <v>3</v>
      </c>
      <c r="P124" s="116">
        <v>1</v>
      </c>
      <c r="Q124" s="116">
        <v>1</v>
      </c>
      <c r="R124" s="116">
        <v>0</v>
      </c>
      <c r="S124" s="116">
        <v>0</v>
      </c>
      <c r="T124" s="116">
        <v>0</v>
      </c>
      <c r="U124" s="116">
        <v>0</v>
      </c>
      <c r="V124" s="116">
        <v>0</v>
      </c>
      <c r="W124" s="116">
        <v>0</v>
      </c>
      <c r="X124" s="116">
        <v>0</v>
      </c>
      <c r="Y124" s="116">
        <v>0</v>
      </c>
      <c r="Z124" s="116">
        <v>8</v>
      </c>
      <c r="AA124" s="116">
        <v>2</v>
      </c>
      <c r="AB124" s="116">
        <v>3</v>
      </c>
      <c r="AC124" s="116">
        <v>0</v>
      </c>
      <c r="AD124" s="116">
        <v>0</v>
      </c>
      <c r="AE124" s="116">
        <v>0</v>
      </c>
      <c r="AF124" s="116">
        <v>0</v>
      </c>
      <c r="AG124" s="116">
        <v>0</v>
      </c>
      <c r="AH124" s="116">
        <v>0</v>
      </c>
      <c r="AI124" s="116">
        <v>1</v>
      </c>
      <c r="AJ124" s="117">
        <v>1</v>
      </c>
      <c r="AK124" s="117">
        <v>12</v>
      </c>
      <c r="AL124" s="117">
        <v>0</v>
      </c>
      <c r="AM124" s="117">
        <v>13</v>
      </c>
      <c r="AN124" s="117">
        <v>43</v>
      </c>
      <c r="AO124" s="117">
        <v>2</v>
      </c>
      <c r="AP124" s="117">
        <v>4</v>
      </c>
      <c r="AQ124" s="117">
        <v>61</v>
      </c>
    </row>
    <row r="125" spans="1:43" s="118" customFormat="1" ht="13.5" customHeight="1">
      <c r="A125" s="119">
        <v>126</v>
      </c>
      <c r="B125" s="76" t="s">
        <v>90</v>
      </c>
      <c r="C125" s="75" t="s">
        <v>882</v>
      </c>
      <c r="D125" s="77" t="s">
        <v>883</v>
      </c>
      <c r="E125" s="77" t="s">
        <v>923</v>
      </c>
      <c r="F125" s="120" t="s">
        <v>962</v>
      </c>
      <c r="G125" s="76" t="s">
        <v>91</v>
      </c>
      <c r="H125" s="121" t="s">
        <v>843</v>
      </c>
      <c r="I125" s="122" t="s">
        <v>842</v>
      </c>
      <c r="J125" s="123" t="s">
        <v>888</v>
      </c>
      <c r="K125" s="124">
        <v>2</v>
      </c>
      <c r="L125" s="117">
        <v>0</v>
      </c>
      <c r="M125" s="117">
        <v>0</v>
      </c>
      <c r="N125" s="116">
        <v>14</v>
      </c>
      <c r="O125" s="116">
        <v>5</v>
      </c>
      <c r="P125" s="116">
        <v>1</v>
      </c>
      <c r="Q125" s="116">
        <v>0</v>
      </c>
      <c r="R125" s="116">
        <v>0</v>
      </c>
      <c r="S125" s="116">
        <v>0</v>
      </c>
      <c r="T125" s="116">
        <v>4</v>
      </c>
      <c r="U125" s="116">
        <v>2</v>
      </c>
      <c r="V125" s="116">
        <v>0</v>
      </c>
      <c r="W125" s="116">
        <v>0</v>
      </c>
      <c r="X125" s="116">
        <v>0</v>
      </c>
      <c r="Y125" s="116">
        <v>0</v>
      </c>
      <c r="Z125" s="116">
        <v>8</v>
      </c>
      <c r="AA125" s="116">
        <v>2</v>
      </c>
      <c r="AB125" s="116">
        <v>4</v>
      </c>
      <c r="AC125" s="116">
        <v>0</v>
      </c>
      <c r="AD125" s="116">
        <v>0</v>
      </c>
      <c r="AE125" s="116">
        <v>0</v>
      </c>
      <c r="AF125" s="116">
        <v>0</v>
      </c>
      <c r="AG125" s="116">
        <v>0</v>
      </c>
      <c r="AH125" s="116">
        <v>0</v>
      </c>
      <c r="AI125" s="116">
        <v>1</v>
      </c>
      <c r="AJ125" s="117">
        <v>0</v>
      </c>
      <c r="AK125" s="117">
        <v>11</v>
      </c>
      <c r="AL125" s="117">
        <v>0</v>
      </c>
      <c r="AM125" s="117">
        <v>0</v>
      </c>
      <c r="AN125" s="117">
        <v>54</v>
      </c>
      <c r="AO125" s="117">
        <v>0</v>
      </c>
      <c r="AP125" s="117">
        <v>8</v>
      </c>
      <c r="AQ125" s="117">
        <v>57</v>
      </c>
    </row>
    <row r="126" spans="1:43" s="118" customFormat="1" ht="13.5" customHeight="1">
      <c r="A126" s="119">
        <v>127</v>
      </c>
      <c r="B126" s="76" t="s">
        <v>332</v>
      </c>
      <c r="C126" s="75" t="s">
        <v>882</v>
      </c>
      <c r="D126" s="77" t="s">
        <v>883</v>
      </c>
      <c r="E126" s="77" t="s">
        <v>923</v>
      </c>
      <c r="F126" s="120" t="s">
        <v>960</v>
      </c>
      <c r="G126" s="76" t="s">
        <v>333</v>
      </c>
      <c r="H126" s="121" t="s">
        <v>843</v>
      </c>
      <c r="I126" s="122" t="s">
        <v>842</v>
      </c>
      <c r="J126" s="123" t="s">
        <v>888</v>
      </c>
      <c r="K126" s="124">
        <v>2</v>
      </c>
      <c r="L126" s="117">
        <v>2</v>
      </c>
      <c r="M126" s="117">
        <v>0</v>
      </c>
      <c r="N126" s="116">
        <v>14</v>
      </c>
      <c r="O126" s="116">
        <v>3</v>
      </c>
      <c r="P126" s="116">
        <v>1</v>
      </c>
      <c r="Q126" s="116">
        <v>2</v>
      </c>
      <c r="R126" s="116">
        <v>0</v>
      </c>
      <c r="S126" s="116">
        <v>0</v>
      </c>
      <c r="T126" s="116">
        <v>0</v>
      </c>
      <c r="U126" s="116">
        <v>0</v>
      </c>
      <c r="V126" s="116">
        <v>0</v>
      </c>
      <c r="W126" s="116">
        <v>0</v>
      </c>
      <c r="X126" s="116">
        <v>0</v>
      </c>
      <c r="Y126" s="116">
        <v>0</v>
      </c>
      <c r="Z126" s="116">
        <v>13</v>
      </c>
      <c r="AA126" s="116">
        <v>2</v>
      </c>
      <c r="AB126" s="116">
        <v>5</v>
      </c>
      <c r="AC126" s="116">
        <v>0</v>
      </c>
      <c r="AD126" s="116">
        <v>0</v>
      </c>
      <c r="AE126" s="116">
        <v>0</v>
      </c>
      <c r="AF126" s="116">
        <v>0</v>
      </c>
      <c r="AG126" s="116">
        <v>0</v>
      </c>
      <c r="AH126" s="116">
        <v>0</v>
      </c>
      <c r="AI126" s="116">
        <v>1</v>
      </c>
      <c r="AJ126" s="117">
        <v>0</v>
      </c>
      <c r="AK126" s="117">
        <v>6</v>
      </c>
      <c r="AL126" s="117">
        <v>0</v>
      </c>
      <c r="AM126" s="117">
        <v>0</v>
      </c>
      <c r="AN126" s="117">
        <v>41</v>
      </c>
      <c r="AO126" s="117">
        <v>0</v>
      </c>
      <c r="AP126" s="117">
        <v>4</v>
      </c>
      <c r="AQ126" s="117">
        <v>43</v>
      </c>
    </row>
    <row r="127" spans="1:43" s="118" customFormat="1" ht="13.5" customHeight="1">
      <c r="A127" s="119">
        <v>128</v>
      </c>
      <c r="B127" s="76" t="s">
        <v>443</v>
      </c>
      <c r="C127" s="75" t="s">
        <v>882</v>
      </c>
      <c r="D127" s="77" t="s">
        <v>883</v>
      </c>
      <c r="E127" s="77" t="s">
        <v>923</v>
      </c>
      <c r="F127" s="120" t="s">
        <v>961</v>
      </c>
      <c r="G127" s="76" t="s">
        <v>444</v>
      </c>
      <c r="H127" s="121" t="s">
        <v>843</v>
      </c>
      <c r="I127" s="122" t="s">
        <v>842</v>
      </c>
      <c r="J127" s="123" t="s">
        <v>888</v>
      </c>
      <c r="K127" s="124">
        <v>2</v>
      </c>
      <c r="L127" s="117">
        <v>1</v>
      </c>
      <c r="M127" s="117">
        <v>1</v>
      </c>
      <c r="N127" s="116">
        <v>4</v>
      </c>
      <c r="O127" s="116">
        <v>1</v>
      </c>
      <c r="P127" s="116">
        <v>0</v>
      </c>
      <c r="Q127" s="116">
        <v>3</v>
      </c>
      <c r="R127" s="116">
        <v>4</v>
      </c>
      <c r="S127" s="116">
        <v>0</v>
      </c>
      <c r="T127" s="116">
        <v>1</v>
      </c>
      <c r="U127" s="116">
        <v>0</v>
      </c>
      <c r="V127" s="116">
        <v>0</v>
      </c>
      <c r="W127" s="116">
        <v>0</v>
      </c>
      <c r="X127" s="116">
        <v>0</v>
      </c>
      <c r="Y127" s="116">
        <v>0</v>
      </c>
      <c r="Z127" s="116">
        <v>2</v>
      </c>
      <c r="AA127" s="116">
        <v>2</v>
      </c>
      <c r="AB127" s="116">
        <v>0</v>
      </c>
      <c r="AC127" s="116">
        <v>0</v>
      </c>
      <c r="AD127" s="116">
        <v>0</v>
      </c>
      <c r="AE127" s="116">
        <v>0</v>
      </c>
      <c r="AF127" s="116">
        <v>4</v>
      </c>
      <c r="AG127" s="116">
        <v>2</v>
      </c>
      <c r="AH127" s="116">
        <v>0</v>
      </c>
      <c r="AI127" s="116">
        <v>1</v>
      </c>
      <c r="AJ127" s="117">
        <v>1</v>
      </c>
      <c r="AK127" s="117">
        <v>6</v>
      </c>
      <c r="AL127" s="117">
        <v>0</v>
      </c>
      <c r="AM127" s="117">
        <v>21</v>
      </c>
      <c r="AN127" s="117">
        <v>27</v>
      </c>
      <c r="AO127" s="117">
        <v>0</v>
      </c>
      <c r="AP127" s="117">
        <v>4</v>
      </c>
      <c r="AQ127" s="117">
        <v>51</v>
      </c>
    </row>
    <row r="128" spans="1:43" s="118" customFormat="1" ht="13.5" customHeight="1">
      <c r="A128" s="119">
        <v>129</v>
      </c>
      <c r="B128" s="76" t="s">
        <v>653</v>
      </c>
      <c r="C128" s="75" t="s">
        <v>882</v>
      </c>
      <c r="D128" s="77" t="s">
        <v>883</v>
      </c>
      <c r="E128" s="77" t="s">
        <v>923</v>
      </c>
      <c r="F128" s="120" t="s">
        <v>961</v>
      </c>
      <c r="G128" s="76" t="s">
        <v>654</v>
      </c>
      <c r="H128" s="121" t="s">
        <v>843</v>
      </c>
      <c r="I128" s="122"/>
      <c r="J128" s="123" t="s">
        <v>888</v>
      </c>
      <c r="K128" s="124">
        <v>2</v>
      </c>
      <c r="L128" s="117">
        <v>0</v>
      </c>
      <c r="M128" s="117">
        <v>0</v>
      </c>
      <c r="N128" s="116">
        <v>7</v>
      </c>
      <c r="O128" s="116">
        <v>1</v>
      </c>
      <c r="P128" s="116">
        <v>1</v>
      </c>
      <c r="Q128" s="116">
        <v>0</v>
      </c>
      <c r="R128" s="116">
        <v>0</v>
      </c>
      <c r="S128" s="116">
        <v>0</v>
      </c>
      <c r="T128" s="116">
        <v>0</v>
      </c>
      <c r="U128" s="116">
        <v>0</v>
      </c>
      <c r="V128" s="116">
        <v>0</v>
      </c>
      <c r="W128" s="116">
        <v>0</v>
      </c>
      <c r="X128" s="116">
        <v>0</v>
      </c>
      <c r="Y128" s="116">
        <v>0</v>
      </c>
      <c r="Z128" s="116">
        <v>5</v>
      </c>
      <c r="AA128" s="116">
        <v>1</v>
      </c>
      <c r="AB128" s="116">
        <v>3</v>
      </c>
      <c r="AC128" s="116">
        <v>0</v>
      </c>
      <c r="AD128" s="116">
        <v>0</v>
      </c>
      <c r="AE128" s="116">
        <v>0</v>
      </c>
      <c r="AF128" s="116">
        <v>0</v>
      </c>
      <c r="AG128" s="116">
        <v>0</v>
      </c>
      <c r="AH128" s="116">
        <v>0</v>
      </c>
      <c r="AI128" s="116">
        <v>1</v>
      </c>
      <c r="AJ128" s="117">
        <v>0</v>
      </c>
      <c r="AK128" s="117">
        <v>4</v>
      </c>
      <c r="AL128" s="117">
        <v>0</v>
      </c>
      <c r="AM128" s="117">
        <v>15</v>
      </c>
      <c r="AN128" s="117">
        <v>16</v>
      </c>
      <c r="AO128" s="117">
        <v>0</v>
      </c>
      <c r="AP128" s="117">
        <v>2</v>
      </c>
      <c r="AQ128" s="117">
        <v>32</v>
      </c>
    </row>
    <row r="129" spans="1:43" s="118" customFormat="1" ht="13.5" customHeight="1">
      <c r="A129" s="119">
        <v>130</v>
      </c>
      <c r="B129" s="76" t="s">
        <v>24</v>
      </c>
      <c r="C129" s="75" t="s">
        <v>882</v>
      </c>
      <c r="D129" s="77" t="s">
        <v>883</v>
      </c>
      <c r="E129" s="77" t="s">
        <v>923</v>
      </c>
      <c r="F129" s="120" t="s">
        <v>962</v>
      </c>
      <c r="G129" s="76" t="s">
        <v>25</v>
      </c>
      <c r="H129" s="121" t="s">
        <v>843</v>
      </c>
      <c r="I129" s="122" t="s">
        <v>842</v>
      </c>
      <c r="J129" s="123" t="s">
        <v>888</v>
      </c>
      <c r="K129" s="124">
        <v>2</v>
      </c>
      <c r="L129" s="117">
        <v>1</v>
      </c>
      <c r="M129" s="117">
        <v>1</v>
      </c>
      <c r="N129" s="116">
        <v>10</v>
      </c>
      <c r="O129" s="116">
        <v>4</v>
      </c>
      <c r="P129" s="116">
        <v>0</v>
      </c>
      <c r="Q129" s="116">
        <v>6</v>
      </c>
      <c r="R129" s="116">
        <v>1</v>
      </c>
      <c r="S129" s="116">
        <v>0</v>
      </c>
      <c r="T129" s="116">
        <v>0</v>
      </c>
      <c r="U129" s="116">
        <v>0</v>
      </c>
      <c r="V129" s="116">
        <v>0</v>
      </c>
      <c r="W129" s="116">
        <v>0</v>
      </c>
      <c r="X129" s="116">
        <v>0</v>
      </c>
      <c r="Y129" s="116">
        <v>0</v>
      </c>
      <c r="Z129" s="116">
        <v>8</v>
      </c>
      <c r="AA129" s="116">
        <v>2</v>
      </c>
      <c r="AB129" s="116">
        <v>0</v>
      </c>
      <c r="AC129" s="116">
        <v>0</v>
      </c>
      <c r="AD129" s="116">
        <v>0</v>
      </c>
      <c r="AE129" s="116">
        <v>0</v>
      </c>
      <c r="AF129" s="116">
        <v>8</v>
      </c>
      <c r="AG129" s="116">
        <v>2</v>
      </c>
      <c r="AH129" s="116">
        <v>0</v>
      </c>
      <c r="AI129" s="116">
        <v>1</v>
      </c>
      <c r="AJ129" s="117">
        <v>0</v>
      </c>
      <c r="AK129" s="117">
        <v>6</v>
      </c>
      <c r="AL129" s="117">
        <v>0</v>
      </c>
      <c r="AM129" s="117">
        <v>0</v>
      </c>
      <c r="AN129" s="117">
        <v>50</v>
      </c>
      <c r="AO129" s="117">
        <v>0</v>
      </c>
      <c r="AP129" s="117">
        <v>4</v>
      </c>
      <c r="AQ129" s="117">
        <v>52</v>
      </c>
    </row>
    <row r="130" spans="1:43" s="118" customFormat="1" ht="13.5" customHeight="1">
      <c r="A130" s="119">
        <v>131</v>
      </c>
      <c r="B130" s="76" t="s">
        <v>335</v>
      </c>
      <c r="C130" s="75" t="s">
        <v>882</v>
      </c>
      <c r="D130" s="77" t="s">
        <v>883</v>
      </c>
      <c r="E130" s="77" t="s">
        <v>923</v>
      </c>
      <c r="F130" s="120" t="s">
        <v>960</v>
      </c>
      <c r="G130" s="76" t="s">
        <v>336</v>
      </c>
      <c r="H130" s="121" t="s">
        <v>843</v>
      </c>
      <c r="I130" s="122"/>
      <c r="J130" s="123" t="s">
        <v>888</v>
      </c>
      <c r="K130" s="124">
        <v>2</v>
      </c>
      <c r="L130" s="117">
        <v>0</v>
      </c>
      <c r="M130" s="117">
        <v>0</v>
      </c>
      <c r="N130" s="116">
        <v>11</v>
      </c>
      <c r="O130" s="116">
        <v>3</v>
      </c>
      <c r="P130" s="116">
        <v>1</v>
      </c>
      <c r="Q130" s="116">
        <v>2</v>
      </c>
      <c r="R130" s="116">
        <v>0</v>
      </c>
      <c r="S130" s="116">
        <v>0</v>
      </c>
      <c r="T130" s="116">
        <v>0</v>
      </c>
      <c r="U130" s="116">
        <v>0</v>
      </c>
      <c r="V130" s="116">
        <v>0</v>
      </c>
      <c r="W130" s="116">
        <v>0</v>
      </c>
      <c r="X130" s="116">
        <v>0</v>
      </c>
      <c r="Y130" s="116">
        <v>0</v>
      </c>
      <c r="Z130" s="116">
        <v>0</v>
      </c>
      <c r="AA130" s="116">
        <v>0</v>
      </c>
      <c r="AB130" s="116">
        <v>0</v>
      </c>
      <c r="AC130" s="116">
        <v>9</v>
      </c>
      <c r="AD130" s="116">
        <v>2</v>
      </c>
      <c r="AE130" s="116">
        <v>5</v>
      </c>
      <c r="AF130" s="116">
        <v>0</v>
      </c>
      <c r="AG130" s="116">
        <v>0</v>
      </c>
      <c r="AH130" s="116">
        <v>0</v>
      </c>
      <c r="AI130" s="116">
        <v>1</v>
      </c>
      <c r="AJ130" s="117">
        <v>0</v>
      </c>
      <c r="AK130" s="117">
        <v>7</v>
      </c>
      <c r="AL130" s="117">
        <v>0</v>
      </c>
      <c r="AM130" s="117">
        <v>0</v>
      </c>
      <c r="AN130" s="117">
        <v>39</v>
      </c>
      <c r="AO130" s="117">
        <v>0</v>
      </c>
      <c r="AP130" s="117">
        <v>6</v>
      </c>
      <c r="AQ130" s="117">
        <v>40</v>
      </c>
    </row>
    <row r="131" spans="1:43" s="118" customFormat="1" ht="13.5" customHeight="1">
      <c r="A131" s="119">
        <v>132</v>
      </c>
      <c r="B131" s="76" t="s">
        <v>655</v>
      </c>
      <c r="C131" s="75" t="s">
        <v>882</v>
      </c>
      <c r="D131" s="77" t="s">
        <v>883</v>
      </c>
      <c r="E131" s="77" t="s">
        <v>923</v>
      </c>
      <c r="F131" s="120" t="s">
        <v>961</v>
      </c>
      <c r="G131" s="76" t="s">
        <v>656</v>
      </c>
      <c r="H131" s="121" t="s">
        <v>843</v>
      </c>
      <c r="I131" s="122"/>
      <c r="J131" s="123" t="s">
        <v>888</v>
      </c>
      <c r="K131" s="124">
        <v>2</v>
      </c>
      <c r="L131" s="117">
        <v>2</v>
      </c>
      <c r="M131" s="117">
        <v>1</v>
      </c>
      <c r="N131" s="116">
        <v>9</v>
      </c>
      <c r="O131" s="116">
        <v>2</v>
      </c>
      <c r="P131" s="116">
        <v>0</v>
      </c>
      <c r="Q131" s="116">
        <v>5</v>
      </c>
      <c r="R131" s="116">
        <v>2</v>
      </c>
      <c r="S131" s="116">
        <v>0</v>
      </c>
      <c r="T131" s="116">
        <v>0</v>
      </c>
      <c r="U131" s="116">
        <v>0</v>
      </c>
      <c r="V131" s="116">
        <v>0</v>
      </c>
      <c r="W131" s="116">
        <v>0</v>
      </c>
      <c r="X131" s="116">
        <v>0</v>
      </c>
      <c r="Y131" s="116">
        <v>0</v>
      </c>
      <c r="Z131" s="116">
        <v>13</v>
      </c>
      <c r="AA131" s="116">
        <v>3</v>
      </c>
      <c r="AB131" s="116">
        <v>0</v>
      </c>
      <c r="AC131" s="116">
        <v>0</v>
      </c>
      <c r="AD131" s="116">
        <v>0</v>
      </c>
      <c r="AE131" s="116">
        <v>0</v>
      </c>
      <c r="AF131" s="116">
        <v>0</v>
      </c>
      <c r="AG131" s="116">
        <v>0</v>
      </c>
      <c r="AH131" s="116">
        <v>0</v>
      </c>
      <c r="AI131" s="116">
        <v>1</v>
      </c>
      <c r="AJ131" s="117">
        <v>1</v>
      </c>
      <c r="AK131" s="117">
        <v>6</v>
      </c>
      <c r="AL131" s="117">
        <v>0</v>
      </c>
      <c r="AM131" s="117">
        <v>8</v>
      </c>
      <c r="AN131" s="117">
        <v>29</v>
      </c>
      <c r="AO131" s="117">
        <v>0</v>
      </c>
      <c r="AP131" s="117">
        <v>5</v>
      </c>
      <c r="AQ131" s="117">
        <v>38</v>
      </c>
    </row>
    <row r="132" spans="1:43" s="118" customFormat="1" ht="13.5" customHeight="1">
      <c r="A132" s="119">
        <v>133</v>
      </c>
      <c r="B132" s="76" t="s">
        <v>338</v>
      </c>
      <c r="C132" s="75" t="s">
        <v>882</v>
      </c>
      <c r="D132" s="77" t="s">
        <v>883</v>
      </c>
      <c r="E132" s="77" t="s">
        <v>923</v>
      </c>
      <c r="F132" s="120" t="s">
        <v>960</v>
      </c>
      <c r="G132" s="76" t="s">
        <v>339</v>
      </c>
      <c r="H132" s="121" t="s">
        <v>843</v>
      </c>
      <c r="I132" s="122" t="s">
        <v>842</v>
      </c>
      <c r="J132" s="123" t="s">
        <v>888</v>
      </c>
      <c r="K132" s="124">
        <v>2</v>
      </c>
      <c r="L132" s="117">
        <v>0</v>
      </c>
      <c r="M132" s="117">
        <v>0</v>
      </c>
      <c r="N132" s="116">
        <v>13</v>
      </c>
      <c r="O132" s="116">
        <v>5</v>
      </c>
      <c r="P132" s="116">
        <v>1</v>
      </c>
      <c r="Q132" s="116">
        <v>1</v>
      </c>
      <c r="R132" s="116">
        <v>1</v>
      </c>
      <c r="S132" s="116">
        <v>0</v>
      </c>
      <c r="T132" s="116">
        <v>2</v>
      </c>
      <c r="U132" s="116">
        <v>1</v>
      </c>
      <c r="V132" s="116">
        <v>0</v>
      </c>
      <c r="W132" s="116">
        <v>0</v>
      </c>
      <c r="X132" s="116">
        <v>0</v>
      </c>
      <c r="Y132" s="116">
        <v>0</v>
      </c>
      <c r="Z132" s="116">
        <v>10</v>
      </c>
      <c r="AA132" s="116">
        <v>4</v>
      </c>
      <c r="AB132" s="116">
        <v>4</v>
      </c>
      <c r="AC132" s="116">
        <v>0</v>
      </c>
      <c r="AD132" s="116">
        <v>0</v>
      </c>
      <c r="AE132" s="116">
        <v>0</v>
      </c>
      <c r="AF132" s="116">
        <v>0</v>
      </c>
      <c r="AG132" s="116">
        <v>0</v>
      </c>
      <c r="AH132" s="116">
        <v>0</v>
      </c>
      <c r="AI132" s="116">
        <v>1</v>
      </c>
      <c r="AJ132" s="117">
        <v>0</v>
      </c>
      <c r="AK132" s="117">
        <v>9</v>
      </c>
      <c r="AL132" s="117">
        <v>0</v>
      </c>
      <c r="AM132" s="117">
        <v>8</v>
      </c>
      <c r="AN132" s="117">
        <v>58</v>
      </c>
      <c r="AO132" s="117">
        <v>0</v>
      </c>
      <c r="AP132" s="117">
        <v>5</v>
      </c>
      <c r="AQ132" s="117">
        <v>71</v>
      </c>
    </row>
    <row r="133" spans="1:43" s="118" customFormat="1" ht="13.5" customHeight="1">
      <c r="A133" s="119">
        <v>134</v>
      </c>
      <c r="B133" s="76" t="s">
        <v>446</v>
      </c>
      <c r="C133" s="75" t="s">
        <v>882</v>
      </c>
      <c r="D133" s="77" t="s">
        <v>883</v>
      </c>
      <c r="E133" s="77" t="s">
        <v>923</v>
      </c>
      <c r="F133" s="120" t="s">
        <v>961</v>
      </c>
      <c r="G133" s="76" t="s">
        <v>447</v>
      </c>
      <c r="H133" s="121" t="s">
        <v>843</v>
      </c>
      <c r="I133" s="122" t="s">
        <v>842</v>
      </c>
      <c r="J133" s="123" t="s">
        <v>888</v>
      </c>
      <c r="K133" s="124">
        <v>2</v>
      </c>
      <c r="L133" s="117">
        <v>2</v>
      </c>
      <c r="M133" s="117">
        <v>1</v>
      </c>
      <c r="N133" s="116">
        <v>6</v>
      </c>
      <c r="O133" s="116">
        <v>2</v>
      </c>
      <c r="P133" s="116">
        <v>0</v>
      </c>
      <c r="Q133" s="116">
        <v>3</v>
      </c>
      <c r="R133" s="116">
        <v>1</v>
      </c>
      <c r="S133" s="116">
        <v>0</v>
      </c>
      <c r="T133" s="116">
        <v>0</v>
      </c>
      <c r="U133" s="116">
        <v>0</v>
      </c>
      <c r="V133" s="116">
        <v>0</v>
      </c>
      <c r="W133" s="116">
        <v>0</v>
      </c>
      <c r="X133" s="116">
        <v>0</v>
      </c>
      <c r="Y133" s="116">
        <v>0</v>
      </c>
      <c r="Z133" s="116">
        <v>8</v>
      </c>
      <c r="AA133" s="116">
        <v>2</v>
      </c>
      <c r="AB133" s="116">
        <v>0</v>
      </c>
      <c r="AC133" s="116">
        <v>0</v>
      </c>
      <c r="AD133" s="116">
        <v>0</v>
      </c>
      <c r="AE133" s="116">
        <v>0</v>
      </c>
      <c r="AF133" s="116">
        <v>0</v>
      </c>
      <c r="AG133" s="116">
        <v>0</v>
      </c>
      <c r="AH133" s="116">
        <v>0</v>
      </c>
      <c r="AI133" s="116">
        <v>1</v>
      </c>
      <c r="AJ133" s="117">
        <v>0</v>
      </c>
      <c r="AK133" s="117">
        <v>9</v>
      </c>
      <c r="AL133" s="117">
        <v>0</v>
      </c>
      <c r="AM133" s="117">
        <v>23</v>
      </c>
      <c r="AN133" s="117">
        <v>21</v>
      </c>
      <c r="AO133" s="117">
        <v>0</v>
      </c>
      <c r="AP133" s="117">
        <v>3</v>
      </c>
      <c r="AQ133" s="117">
        <v>48</v>
      </c>
    </row>
    <row r="134" spans="1:43" s="118" customFormat="1" ht="13.5" customHeight="1">
      <c r="A134" s="119">
        <v>135</v>
      </c>
      <c r="B134" s="76" t="s">
        <v>455</v>
      </c>
      <c r="C134" s="75" t="s">
        <v>882</v>
      </c>
      <c r="D134" s="77" t="s">
        <v>883</v>
      </c>
      <c r="E134" s="77" t="s">
        <v>923</v>
      </c>
      <c r="F134" s="120" t="s">
        <v>961</v>
      </c>
      <c r="G134" s="76" t="s">
        <v>456</v>
      </c>
      <c r="H134" s="121" t="s">
        <v>843</v>
      </c>
      <c r="I134" s="122" t="s">
        <v>842</v>
      </c>
      <c r="J134" s="123" t="s">
        <v>888</v>
      </c>
      <c r="K134" s="124">
        <v>2</v>
      </c>
      <c r="L134" s="117">
        <v>1</v>
      </c>
      <c r="M134" s="117">
        <v>1</v>
      </c>
      <c r="N134" s="116">
        <v>11</v>
      </c>
      <c r="O134" s="116">
        <v>2</v>
      </c>
      <c r="P134" s="116">
        <v>0</v>
      </c>
      <c r="Q134" s="116">
        <v>2</v>
      </c>
      <c r="R134" s="116">
        <v>4</v>
      </c>
      <c r="S134" s="116">
        <v>0</v>
      </c>
      <c r="T134" s="116">
        <v>0</v>
      </c>
      <c r="U134" s="116">
        <v>0</v>
      </c>
      <c r="V134" s="116">
        <v>0</v>
      </c>
      <c r="W134" s="116">
        <v>1</v>
      </c>
      <c r="X134" s="116">
        <v>1</v>
      </c>
      <c r="Y134" s="116">
        <v>0</v>
      </c>
      <c r="Z134" s="116">
        <v>11</v>
      </c>
      <c r="AA134" s="116">
        <v>4</v>
      </c>
      <c r="AB134" s="116">
        <v>0</v>
      </c>
      <c r="AC134" s="116">
        <v>0</v>
      </c>
      <c r="AD134" s="116">
        <v>0</v>
      </c>
      <c r="AE134" s="116">
        <v>0</v>
      </c>
      <c r="AF134" s="116">
        <v>0</v>
      </c>
      <c r="AG134" s="116">
        <v>0</v>
      </c>
      <c r="AH134" s="116">
        <v>0</v>
      </c>
      <c r="AI134" s="116">
        <v>1</v>
      </c>
      <c r="AJ134" s="117">
        <v>1</v>
      </c>
      <c r="AK134" s="117">
        <v>8</v>
      </c>
      <c r="AL134" s="117">
        <v>0</v>
      </c>
      <c r="AM134" s="117">
        <v>18</v>
      </c>
      <c r="AN134" s="117">
        <v>28</v>
      </c>
      <c r="AO134" s="117">
        <v>1</v>
      </c>
      <c r="AP134" s="117">
        <v>7</v>
      </c>
      <c r="AQ134" s="117">
        <v>48</v>
      </c>
    </row>
    <row r="135" spans="1:43" s="118" customFormat="1" ht="13.5" customHeight="1">
      <c r="A135" s="119">
        <v>136</v>
      </c>
      <c r="B135" s="76" t="s">
        <v>344</v>
      </c>
      <c r="C135" s="75" t="s">
        <v>882</v>
      </c>
      <c r="D135" s="77" t="s">
        <v>883</v>
      </c>
      <c r="E135" s="77" t="s">
        <v>923</v>
      </c>
      <c r="F135" s="120" t="s">
        <v>960</v>
      </c>
      <c r="G135" s="76" t="s">
        <v>345</v>
      </c>
      <c r="H135" s="121" t="s">
        <v>843</v>
      </c>
      <c r="I135" s="122" t="s">
        <v>842</v>
      </c>
      <c r="J135" s="123" t="s">
        <v>888</v>
      </c>
      <c r="K135" s="124">
        <v>2</v>
      </c>
      <c r="L135" s="117">
        <v>0</v>
      </c>
      <c r="M135" s="117">
        <v>0</v>
      </c>
      <c r="N135" s="116">
        <v>10</v>
      </c>
      <c r="O135" s="116">
        <v>2</v>
      </c>
      <c r="P135" s="116">
        <v>1</v>
      </c>
      <c r="Q135" s="116">
        <v>1</v>
      </c>
      <c r="R135" s="116">
        <v>0</v>
      </c>
      <c r="S135" s="116">
        <v>0</v>
      </c>
      <c r="T135" s="116">
        <v>1</v>
      </c>
      <c r="U135" s="116">
        <v>1</v>
      </c>
      <c r="V135" s="116">
        <v>1</v>
      </c>
      <c r="W135" s="116">
        <v>1</v>
      </c>
      <c r="X135" s="116">
        <v>0</v>
      </c>
      <c r="Y135" s="116">
        <v>0</v>
      </c>
      <c r="Z135" s="116">
        <v>7</v>
      </c>
      <c r="AA135" s="116">
        <v>1</v>
      </c>
      <c r="AB135" s="116">
        <v>3</v>
      </c>
      <c r="AC135" s="116">
        <v>0</v>
      </c>
      <c r="AD135" s="116">
        <v>0</v>
      </c>
      <c r="AE135" s="116">
        <v>0</v>
      </c>
      <c r="AF135" s="116">
        <v>0</v>
      </c>
      <c r="AG135" s="116">
        <v>0</v>
      </c>
      <c r="AH135" s="116">
        <v>0</v>
      </c>
      <c r="AI135" s="116">
        <v>1</v>
      </c>
      <c r="AJ135" s="117">
        <v>0</v>
      </c>
      <c r="AK135" s="117">
        <v>8</v>
      </c>
      <c r="AL135" s="117">
        <v>0</v>
      </c>
      <c r="AM135" s="117">
        <v>1</v>
      </c>
      <c r="AN135" s="117">
        <v>46</v>
      </c>
      <c r="AO135" s="117">
        <v>1</v>
      </c>
      <c r="AP135" s="117">
        <v>7</v>
      </c>
      <c r="AQ135" s="117">
        <v>55</v>
      </c>
    </row>
    <row r="136" spans="1:43" s="118" customFormat="1" ht="13.5" customHeight="1">
      <c r="A136" s="119">
        <v>137</v>
      </c>
      <c r="B136" s="76" t="s">
        <v>347</v>
      </c>
      <c r="C136" s="75" t="s">
        <v>882</v>
      </c>
      <c r="D136" s="77" t="s">
        <v>883</v>
      </c>
      <c r="E136" s="77" t="s">
        <v>923</v>
      </c>
      <c r="F136" s="120" t="s">
        <v>960</v>
      </c>
      <c r="G136" s="76" t="s">
        <v>348</v>
      </c>
      <c r="H136" s="121" t="s">
        <v>843</v>
      </c>
      <c r="I136" s="122"/>
      <c r="J136" s="123" t="s">
        <v>888</v>
      </c>
      <c r="K136" s="124">
        <v>2</v>
      </c>
      <c r="L136" s="117">
        <v>1</v>
      </c>
      <c r="M136" s="117">
        <v>1</v>
      </c>
      <c r="N136" s="116">
        <v>8</v>
      </c>
      <c r="O136" s="116">
        <v>1</v>
      </c>
      <c r="P136" s="116">
        <v>0</v>
      </c>
      <c r="Q136" s="116">
        <v>2</v>
      </c>
      <c r="R136" s="116">
        <v>2</v>
      </c>
      <c r="S136" s="116">
        <v>0</v>
      </c>
      <c r="T136" s="116">
        <v>0</v>
      </c>
      <c r="U136" s="116">
        <v>1</v>
      </c>
      <c r="V136" s="116">
        <v>0</v>
      </c>
      <c r="W136" s="116">
        <v>0</v>
      </c>
      <c r="X136" s="116">
        <v>0</v>
      </c>
      <c r="Y136" s="116">
        <v>0</v>
      </c>
      <c r="Z136" s="116">
        <v>9</v>
      </c>
      <c r="AA136" s="116">
        <v>1</v>
      </c>
      <c r="AB136" s="116">
        <v>0</v>
      </c>
      <c r="AC136" s="116">
        <v>0</v>
      </c>
      <c r="AD136" s="116">
        <v>0</v>
      </c>
      <c r="AE136" s="116">
        <v>0</v>
      </c>
      <c r="AF136" s="116">
        <v>0</v>
      </c>
      <c r="AG136" s="116">
        <v>0</v>
      </c>
      <c r="AH136" s="116">
        <v>0</v>
      </c>
      <c r="AI136" s="116">
        <v>1</v>
      </c>
      <c r="AJ136" s="117">
        <v>0</v>
      </c>
      <c r="AK136" s="117">
        <v>9</v>
      </c>
      <c r="AL136" s="117">
        <v>0</v>
      </c>
      <c r="AM136" s="117">
        <v>0</v>
      </c>
      <c r="AN136" s="117">
        <v>36</v>
      </c>
      <c r="AO136" s="117">
        <v>0</v>
      </c>
      <c r="AP136" s="117">
        <v>9</v>
      </c>
      <c r="AQ136" s="117">
        <v>36</v>
      </c>
    </row>
    <row r="137" spans="1:43" s="118" customFormat="1" ht="13.5" customHeight="1">
      <c r="A137" s="119">
        <v>138</v>
      </c>
      <c r="B137" s="76" t="s">
        <v>677</v>
      </c>
      <c r="C137" s="75" t="s">
        <v>882</v>
      </c>
      <c r="D137" s="77" t="s">
        <v>883</v>
      </c>
      <c r="E137" s="77" t="s">
        <v>923</v>
      </c>
      <c r="F137" s="120" t="s">
        <v>961</v>
      </c>
      <c r="G137" s="76" t="s">
        <v>678</v>
      </c>
      <c r="H137" s="121" t="s">
        <v>843</v>
      </c>
      <c r="I137" s="122"/>
      <c r="J137" s="123" t="s">
        <v>888</v>
      </c>
      <c r="K137" s="124">
        <v>2</v>
      </c>
      <c r="L137" s="117">
        <v>1</v>
      </c>
      <c r="M137" s="117">
        <v>1</v>
      </c>
      <c r="N137" s="116">
        <v>9</v>
      </c>
      <c r="O137" s="116">
        <v>1</v>
      </c>
      <c r="P137" s="116">
        <v>0</v>
      </c>
      <c r="Q137" s="116">
        <v>4</v>
      </c>
      <c r="R137" s="116">
        <v>2</v>
      </c>
      <c r="S137" s="116">
        <v>0</v>
      </c>
      <c r="T137" s="116">
        <v>0</v>
      </c>
      <c r="U137" s="116">
        <v>0</v>
      </c>
      <c r="V137" s="116">
        <v>0</v>
      </c>
      <c r="W137" s="116">
        <v>0</v>
      </c>
      <c r="X137" s="116">
        <v>0</v>
      </c>
      <c r="Y137" s="116">
        <v>0</v>
      </c>
      <c r="Z137" s="116">
        <v>0</v>
      </c>
      <c r="AA137" s="116">
        <v>0</v>
      </c>
      <c r="AB137" s="116">
        <v>0</v>
      </c>
      <c r="AC137" s="116">
        <v>0</v>
      </c>
      <c r="AD137" s="116">
        <v>0</v>
      </c>
      <c r="AE137" s="116">
        <v>0</v>
      </c>
      <c r="AF137" s="116">
        <v>12</v>
      </c>
      <c r="AG137" s="116">
        <v>2</v>
      </c>
      <c r="AH137" s="116">
        <v>0</v>
      </c>
      <c r="AI137" s="116">
        <v>1</v>
      </c>
      <c r="AJ137" s="117">
        <v>1</v>
      </c>
      <c r="AK137" s="117">
        <v>7</v>
      </c>
      <c r="AL137" s="117">
        <v>0</v>
      </c>
      <c r="AM137" s="117">
        <v>10</v>
      </c>
      <c r="AN137" s="117">
        <v>27</v>
      </c>
      <c r="AO137" s="117">
        <v>0</v>
      </c>
      <c r="AP137" s="117">
        <v>5</v>
      </c>
      <c r="AQ137" s="117">
        <v>40</v>
      </c>
    </row>
    <row r="138" spans="1:43" s="118" customFormat="1" ht="13.5" customHeight="1">
      <c r="A138" s="119">
        <v>139</v>
      </c>
      <c r="B138" s="76" t="s">
        <v>124</v>
      </c>
      <c r="C138" s="75" t="s">
        <v>882</v>
      </c>
      <c r="D138" s="77" t="s">
        <v>883</v>
      </c>
      <c r="E138" s="77" t="s">
        <v>923</v>
      </c>
      <c r="F138" s="120" t="s">
        <v>962</v>
      </c>
      <c r="G138" s="76" t="s">
        <v>125</v>
      </c>
      <c r="H138" s="121" t="s">
        <v>843</v>
      </c>
      <c r="I138" s="122" t="s">
        <v>842</v>
      </c>
      <c r="J138" s="123" t="s">
        <v>885</v>
      </c>
      <c r="K138" s="124">
        <v>2</v>
      </c>
      <c r="L138" s="117">
        <v>0</v>
      </c>
      <c r="M138" s="117">
        <v>0</v>
      </c>
      <c r="N138" s="116">
        <v>11</v>
      </c>
      <c r="O138" s="116">
        <v>11</v>
      </c>
      <c r="P138" s="116">
        <v>1</v>
      </c>
      <c r="Q138" s="116">
        <v>0</v>
      </c>
      <c r="R138" s="116">
        <v>0</v>
      </c>
      <c r="S138" s="116">
        <v>0</v>
      </c>
      <c r="T138" s="116">
        <v>6</v>
      </c>
      <c r="U138" s="116">
        <v>4</v>
      </c>
      <c r="V138" s="116">
        <v>0</v>
      </c>
      <c r="W138" s="116">
        <v>0</v>
      </c>
      <c r="X138" s="116">
        <v>0</v>
      </c>
      <c r="Y138" s="116">
        <v>0</v>
      </c>
      <c r="Z138" s="116">
        <v>0</v>
      </c>
      <c r="AA138" s="116">
        <v>0</v>
      </c>
      <c r="AB138" s="116">
        <v>0</v>
      </c>
      <c r="AC138" s="116">
        <v>0</v>
      </c>
      <c r="AD138" s="116">
        <v>0</v>
      </c>
      <c r="AE138" s="116">
        <v>0</v>
      </c>
      <c r="AF138" s="116">
        <v>4</v>
      </c>
      <c r="AG138" s="116">
        <v>6</v>
      </c>
      <c r="AH138" s="116">
        <v>2</v>
      </c>
      <c r="AI138" s="116">
        <v>1</v>
      </c>
      <c r="AJ138" s="117">
        <v>0</v>
      </c>
      <c r="AK138" s="117">
        <v>8</v>
      </c>
      <c r="AL138" s="117">
        <v>0</v>
      </c>
      <c r="AM138" s="117">
        <v>0</v>
      </c>
      <c r="AN138" s="117">
        <v>48</v>
      </c>
      <c r="AO138" s="117">
        <v>0</v>
      </c>
      <c r="AP138" s="117">
        <v>8</v>
      </c>
      <c r="AQ138" s="117">
        <v>48</v>
      </c>
    </row>
    <row r="139" spans="1:43" s="118" customFormat="1" ht="13.5" customHeight="1">
      <c r="A139" s="119">
        <v>140</v>
      </c>
      <c r="B139" s="76" t="s">
        <v>681</v>
      </c>
      <c r="C139" s="75" t="s">
        <v>882</v>
      </c>
      <c r="D139" s="77" t="s">
        <v>883</v>
      </c>
      <c r="E139" s="77" t="s">
        <v>923</v>
      </c>
      <c r="F139" s="120" t="s">
        <v>961</v>
      </c>
      <c r="G139" s="76" t="s">
        <v>682</v>
      </c>
      <c r="H139" s="121" t="s">
        <v>843</v>
      </c>
      <c r="I139" s="122" t="s">
        <v>842</v>
      </c>
      <c r="J139" s="123" t="s">
        <v>888</v>
      </c>
      <c r="K139" s="124">
        <v>2</v>
      </c>
      <c r="L139" s="117">
        <v>2</v>
      </c>
      <c r="M139" s="117">
        <v>1</v>
      </c>
      <c r="N139" s="116">
        <v>6</v>
      </c>
      <c r="O139" s="116">
        <v>1</v>
      </c>
      <c r="P139" s="116">
        <v>0</v>
      </c>
      <c r="Q139" s="116">
        <v>2</v>
      </c>
      <c r="R139" s="116">
        <v>2</v>
      </c>
      <c r="S139" s="116">
        <v>0</v>
      </c>
      <c r="T139" s="116">
        <v>2</v>
      </c>
      <c r="U139" s="116">
        <v>0</v>
      </c>
      <c r="V139" s="116">
        <v>0</v>
      </c>
      <c r="W139" s="116">
        <v>0</v>
      </c>
      <c r="X139" s="116">
        <v>0</v>
      </c>
      <c r="Y139" s="116">
        <v>0</v>
      </c>
      <c r="Z139" s="116">
        <v>0</v>
      </c>
      <c r="AA139" s="116">
        <v>0</v>
      </c>
      <c r="AB139" s="116">
        <v>0</v>
      </c>
      <c r="AC139" s="116">
        <v>0</v>
      </c>
      <c r="AD139" s="116">
        <v>0</v>
      </c>
      <c r="AE139" s="116">
        <v>0</v>
      </c>
      <c r="AF139" s="116">
        <v>5</v>
      </c>
      <c r="AG139" s="116">
        <v>2</v>
      </c>
      <c r="AH139" s="116">
        <v>0</v>
      </c>
      <c r="AI139" s="116">
        <v>1</v>
      </c>
      <c r="AJ139" s="117">
        <v>0</v>
      </c>
      <c r="AK139" s="117">
        <v>9</v>
      </c>
      <c r="AL139" s="117">
        <v>0</v>
      </c>
      <c r="AM139" s="117">
        <v>20</v>
      </c>
      <c r="AN139" s="117">
        <v>29</v>
      </c>
      <c r="AO139" s="117">
        <v>0</v>
      </c>
      <c r="AP139" s="117">
        <v>7</v>
      </c>
      <c r="AQ139" s="117">
        <v>52</v>
      </c>
    </row>
    <row r="140" spans="1:43" s="118" customFormat="1" ht="13.5" customHeight="1">
      <c r="A140" s="119">
        <v>141</v>
      </c>
      <c r="B140" s="76" t="s">
        <v>350</v>
      </c>
      <c r="C140" s="75" t="s">
        <v>882</v>
      </c>
      <c r="D140" s="77" t="s">
        <v>883</v>
      </c>
      <c r="E140" s="77" t="s">
        <v>923</v>
      </c>
      <c r="F140" s="120" t="s">
        <v>960</v>
      </c>
      <c r="G140" s="76" t="s">
        <v>351</v>
      </c>
      <c r="H140" s="121" t="s">
        <v>843</v>
      </c>
      <c r="I140" s="122"/>
      <c r="J140" s="123" t="s">
        <v>888</v>
      </c>
      <c r="K140" s="124">
        <v>2</v>
      </c>
      <c r="L140" s="117">
        <v>2</v>
      </c>
      <c r="M140" s="117">
        <v>1</v>
      </c>
      <c r="N140" s="116">
        <v>6</v>
      </c>
      <c r="O140" s="116">
        <v>2</v>
      </c>
      <c r="P140" s="116">
        <v>0</v>
      </c>
      <c r="Q140" s="116">
        <v>2</v>
      </c>
      <c r="R140" s="116">
        <v>4</v>
      </c>
      <c r="S140" s="116">
        <v>0</v>
      </c>
      <c r="T140" s="116">
        <v>0</v>
      </c>
      <c r="U140" s="116">
        <v>0</v>
      </c>
      <c r="V140" s="116">
        <v>0</v>
      </c>
      <c r="W140" s="116">
        <v>0</v>
      </c>
      <c r="X140" s="116">
        <v>0</v>
      </c>
      <c r="Y140" s="116">
        <v>0</v>
      </c>
      <c r="Z140" s="116">
        <v>0</v>
      </c>
      <c r="AA140" s="116">
        <v>0</v>
      </c>
      <c r="AB140" s="116">
        <v>0</v>
      </c>
      <c r="AC140" s="116">
        <v>7</v>
      </c>
      <c r="AD140" s="116">
        <v>5</v>
      </c>
      <c r="AE140" s="116">
        <v>0</v>
      </c>
      <c r="AF140" s="116">
        <v>0</v>
      </c>
      <c r="AG140" s="116">
        <v>0</v>
      </c>
      <c r="AH140" s="116">
        <v>0</v>
      </c>
      <c r="AI140" s="116">
        <v>1</v>
      </c>
      <c r="AJ140" s="117">
        <v>0</v>
      </c>
      <c r="AK140" s="117">
        <v>5</v>
      </c>
      <c r="AL140" s="117">
        <v>0</v>
      </c>
      <c r="AM140" s="117">
        <v>0</v>
      </c>
      <c r="AN140" s="117">
        <v>32</v>
      </c>
      <c r="AO140" s="117">
        <v>0</v>
      </c>
      <c r="AP140" s="117">
        <v>4</v>
      </c>
      <c r="AQ140" s="117">
        <v>33</v>
      </c>
    </row>
    <row r="141" spans="1:43" s="118" customFormat="1" ht="13.5" customHeight="1">
      <c r="A141" s="119">
        <v>142</v>
      </c>
      <c r="B141" s="76" t="s">
        <v>458</v>
      </c>
      <c r="C141" s="75" t="s">
        <v>882</v>
      </c>
      <c r="D141" s="77" t="s">
        <v>883</v>
      </c>
      <c r="E141" s="77" t="s">
        <v>923</v>
      </c>
      <c r="F141" s="120" t="s">
        <v>961</v>
      </c>
      <c r="G141" s="76" t="s">
        <v>459</v>
      </c>
      <c r="H141" s="121" t="s">
        <v>843</v>
      </c>
      <c r="I141" s="122" t="s">
        <v>842</v>
      </c>
      <c r="J141" s="123" t="s">
        <v>888</v>
      </c>
      <c r="K141" s="124">
        <v>2</v>
      </c>
      <c r="L141" s="117">
        <v>1</v>
      </c>
      <c r="M141" s="117">
        <v>3</v>
      </c>
      <c r="N141" s="116">
        <v>6</v>
      </c>
      <c r="O141" s="116">
        <v>1</v>
      </c>
      <c r="P141" s="116">
        <v>0</v>
      </c>
      <c r="Q141" s="116">
        <v>8</v>
      </c>
      <c r="R141" s="116">
        <v>3</v>
      </c>
      <c r="S141" s="116">
        <v>0</v>
      </c>
      <c r="T141" s="116">
        <v>0</v>
      </c>
      <c r="U141" s="116">
        <v>0</v>
      </c>
      <c r="V141" s="116">
        <v>0</v>
      </c>
      <c r="W141" s="116">
        <v>0</v>
      </c>
      <c r="X141" s="116">
        <v>0</v>
      </c>
      <c r="Y141" s="116">
        <v>0</v>
      </c>
      <c r="Z141" s="116">
        <v>12</v>
      </c>
      <c r="AA141" s="116">
        <v>3</v>
      </c>
      <c r="AB141" s="116">
        <v>0</v>
      </c>
      <c r="AC141" s="116">
        <v>0</v>
      </c>
      <c r="AD141" s="116">
        <v>0</v>
      </c>
      <c r="AE141" s="116">
        <v>0</v>
      </c>
      <c r="AF141" s="116">
        <v>0</v>
      </c>
      <c r="AG141" s="116">
        <v>0</v>
      </c>
      <c r="AH141" s="116">
        <v>0</v>
      </c>
      <c r="AI141" s="116">
        <v>1</v>
      </c>
      <c r="AJ141" s="117">
        <v>1</v>
      </c>
      <c r="AK141" s="117">
        <v>11</v>
      </c>
      <c r="AL141" s="117">
        <v>0</v>
      </c>
      <c r="AM141" s="117">
        <v>16</v>
      </c>
      <c r="AN141" s="117">
        <v>34</v>
      </c>
      <c r="AO141" s="117">
        <v>2</v>
      </c>
      <c r="AP141" s="117">
        <v>4</v>
      </c>
      <c r="AQ141" s="117">
        <v>54</v>
      </c>
    </row>
    <row r="142" spans="1:43" s="118" customFormat="1" ht="13.5" customHeight="1">
      <c r="A142" s="119">
        <v>143</v>
      </c>
      <c r="B142" s="76" t="s">
        <v>353</v>
      </c>
      <c r="C142" s="75" t="s">
        <v>882</v>
      </c>
      <c r="D142" s="77" t="s">
        <v>883</v>
      </c>
      <c r="E142" s="77" t="s">
        <v>923</v>
      </c>
      <c r="F142" s="120" t="s">
        <v>960</v>
      </c>
      <c r="G142" s="76" t="s">
        <v>354</v>
      </c>
      <c r="H142" s="121" t="s">
        <v>843</v>
      </c>
      <c r="I142" s="122" t="s">
        <v>842</v>
      </c>
      <c r="J142" s="123" t="s">
        <v>888</v>
      </c>
      <c r="K142" s="124">
        <v>2</v>
      </c>
      <c r="L142" s="117">
        <v>1</v>
      </c>
      <c r="M142" s="117">
        <v>1</v>
      </c>
      <c r="N142" s="116">
        <v>7</v>
      </c>
      <c r="O142" s="116">
        <v>1</v>
      </c>
      <c r="P142" s="116">
        <v>0</v>
      </c>
      <c r="Q142" s="116">
        <v>4</v>
      </c>
      <c r="R142" s="116">
        <v>3</v>
      </c>
      <c r="S142" s="116">
        <v>0</v>
      </c>
      <c r="T142" s="116">
        <v>0</v>
      </c>
      <c r="U142" s="116">
        <v>0</v>
      </c>
      <c r="V142" s="116">
        <v>0</v>
      </c>
      <c r="W142" s="116">
        <v>0</v>
      </c>
      <c r="X142" s="116">
        <v>0</v>
      </c>
      <c r="Y142" s="116">
        <v>0</v>
      </c>
      <c r="Z142" s="116">
        <v>10</v>
      </c>
      <c r="AA142" s="116">
        <v>3</v>
      </c>
      <c r="AB142" s="116">
        <v>0</v>
      </c>
      <c r="AC142" s="116">
        <v>0</v>
      </c>
      <c r="AD142" s="116">
        <v>0</v>
      </c>
      <c r="AE142" s="116">
        <v>0</v>
      </c>
      <c r="AF142" s="116">
        <v>0</v>
      </c>
      <c r="AG142" s="116">
        <v>0</v>
      </c>
      <c r="AH142" s="116">
        <v>0</v>
      </c>
      <c r="AI142" s="116">
        <v>1</v>
      </c>
      <c r="AJ142" s="117">
        <v>0</v>
      </c>
      <c r="AK142" s="117">
        <v>7</v>
      </c>
      <c r="AL142" s="117">
        <v>0</v>
      </c>
      <c r="AM142" s="117">
        <v>0</v>
      </c>
      <c r="AN142" s="117">
        <v>40</v>
      </c>
      <c r="AO142" s="117">
        <v>0</v>
      </c>
      <c r="AP142" s="117">
        <v>5</v>
      </c>
      <c r="AQ142" s="117">
        <v>42</v>
      </c>
    </row>
    <row r="143" spans="1:43" s="118" customFormat="1" ht="13.5" customHeight="1">
      <c r="A143" s="119">
        <v>144</v>
      </c>
      <c r="B143" s="76" t="s">
        <v>687</v>
      </c>
      <c r="C143" s="75" t="s">
        <v>882</v>
      </c>
      <c r="D143" s="77" t="s">
        <v>883</v>
      </c>
      <c r="E143" s="77" t="s">
        <v>923</v>
      </c>
      <c r="F143" s="120" t="s">
        <v>962</v>
      </c>
      <c r="G143" s="76" t="s">
        <v>688</v>
      </c>
      <c r="H143" s="121" t="s">
        <v>843</v>
      </c>
      <c r="I143" s="122"/>
      <c r="J143" s="123" t="s">
        <v>885</v>
      </c>
      <c r="K143" s="124">
        <v>2</v>
      </c>
      <c r="L143" s="117">
        <v>1</v>
      </c>
      <c r="M143" s="117">
        <v>1</v>
      </c>
      <c r="N143" s="116">
        <v>17</v>
      </c>
      <c r="O143" s="116">
        <v>22</v>
      </c>
      <c r="P143" s="116">
        <v>0</v>
      </c>
      <c r="Q143" s="116">
        <v>1</v>
      </c>
      <c r="R143" s="116">
        <v>2</v>
      </c>
      <c r="S143" s="116">
        <v>0</v>
      </c>
      <c r="T143" s="116">
        <v>0</v>
      </c>
      <c r="U143" s="116">
        <v>4</v>
      </c>
      <c r="V143" s="116">
        <v>0</v>
      </c>
      <c r="W143" s="116">
        <v>0</v>
      </c>
      <c r="X143" s="116">
        <v>0</v>
      </c>
      <c r="Y143" s="116">
        <v>0</v>
      </c>
      <c r="Z143" s="116">
        <v>0</v>
      </c>
      <c r="AA143" s="116">
        <v>0</v>
      </c>
      <c r="AB143" s="116">
        <v>0</v>
      </c>
      <c r="AC143" s="116">
        <v>17</v>
      </c>
      <c r="AD143" s="116">
        <v>19</v>
      </c>
      <c r="AE143" s="116">
        <v>0</v>
      </c>
      <c r="AF143" s="116">
        <v>0</v>
      </c>
      <c r="AG143" s="116">
        <v>0</v>
      </c>
      <c r="AH143" s="116">
        <v>0</v>
      </c>
      <c r="AI143" s="116">
        <v>1</v>
      </c>
      <c r="AJ143" s="117">
        <v>0</v>
      </c>
      <c r="AK143" s="117">
        <v>5</v>
      </c>
      <c r="AL143" s="117">
        <v>0</v>
      </c>
      <c r="AM143" s="117">
        <v>0</v>
      </c>
      <c r="AN143" s="117">
        <v>46</v>
      </c>
      <c r="AO143" s="117">
        <v>0</v>
      </c>
      <c r="AP143" s="117">
        <v>5</v>
      </c>
      <c r="AQ143" s="117">
        <v>48</v>
      </c>
    </row>
    <row r="144" spans="1:43" s="118" customFormat="1" ht="13.5" customHeight="1">
      <c r="A144" s="119">
        <v>145</v>
      </c>
      <c r="B144" s="76" t="s">
        <v>356</v>
      </c>
      <c r="C144" s="75" t="s">
        <v>882</v>
      </c>
      <c r="D144" s="77" t="s">
        <v>883</v>
      </c>
      <c r="E144" s="77" t="s">
        <v>923</v>
      </c>
      <c r="F144" s="120" t="s">
        <v>960</v>
      </c>
      <c r="G144" s="76" t="s">
        <v>357</v>
      </c>
      <c r="H144" s="121" t="s">
        <v>843</v>
      </c>
      <c r="I144" s="122"/>
      <c r="J144" s="123" t="s">
        <v>888</v>
      </c>
      <c r="K144" s="124">
        <v>2</v>
      </c>
      <c r="L144" s="117">
        <v>2</v>
      </c>
      <c r="M144" s="117">
        <v>1</v>
      </c>
      <c r="N144" s="116">
        <v>5</v>
      </c>
      <c r="O144" s="116">
        <v>7</v>
      </c>
      <c r="P144" s="116">
        <v>0</v>
      </c>
      <c r="Q144" s="116">
        <v>2</v>
      </c>
      <c r="R144" s="116">
        <v>0</v>
      </c>
      <c r="S144" s="116">
        <v>0</v>
      </c>
      <c r="T144" s="116">
        <v>0</v>
      </c>
      <c r="U144" s="116">
        <v>0</v>
      </c>
      <c r="V144" s="116">
        <v>0</v>
      </c>
      <c r="W144" s="116">
        <v>2</v>
      </c>
      <c r="X144" s="116">
        <v>2</v>
      </c>
      <c r="Y144" s="116">
        <v>0</v>
      </c>
      <c r="Z144" s="116">
        <v>4</v>
      </c>
      <c r="AA144" s="116">
        <v>4</v>
      </c>
      <c r="AB144" s="116">
        <v>0</v>
      </c>
      <c r="AC144" s="116">
        <v>0</v>
      </c>
      <c r="AD144" s="116">
        <v>0</v>
      </c>
      <c r="AE144" s="116">
        <v>0</v>
      </c>
      <c r="AF144" s="116">
        <v>0</v>
      </c>
      <c r="AG144" s="116">
        <v>0</v>
      </c>
      <c r="AH144" s="116">
        <v>0</v>
      </c>
      <c r="AI144" s="116">
        <v>1</v>
      </c>
      <c r="AJ144" s="117">
        <v>0</v>
      </c>
      <c r="AK144" s="117">
        <v>3</v>
      </c>
      <c r="AL144" s="117">
        <v>0</v>
      </c>
      <c r="AM144" s="117">
        <v>0</v>
      </c>
      <c r="AN144" s="117">
        <v>21</v>
      </c>
      <c r="AO144" s="117">
        <v>0</v>
      </c>
      <c r="AP144" s="117">
        <v>3</v>
      </c>
      <c r="AQ144" s="117">
        <v>21</v>
      </c>
    </row>
    <row r="145" spans="1:43" s="118" customFormat="1" ht="13.5" customHeight="1">
      <c r="A145" s="119">
        <v>146</v>
      </c>
      <c r="B145" s="76" t="s">
        <v>461</v>
      </c>
      <c r="C145" s="75" t="s">
        <v>882</v>
      </c>
      <c r="D145" s="77" t="s">
        <v>883</v>
      </c>
      <c r="E145" s="77" t="s">
        <v>923</v>
      </c>
      <c r="F145" s="120" t="s">
        <v>961</v>
      </c>
      <c r="G145" s="76" t="s">
        <v>462</v>
      </c>
      <c r="H145" s="121" t="s">
        <v>843</v>
      </c>
      <c r="I145" s="122" t="s">
        <v>842</v>
      </c>
      <c r="J145" s="123" t="s">
        <v>885</v>
      </c>
      <c r="K145" s="124">
        <v>2</v>
      </c>
      <c r="L145" s="117">
        <v>2</v>
      </c>
      <c r="M145" s="117">
        <v>2</v>
      </c>
      <c r="N145" s="116">
        <v>7</v>
      </c>
      <c r="O145" s="116">
        <v>2</v>
      </c>
      <c r="P145" s="116">
        <v>0</v>
      </c>
      <c r="Q145" s="116">
        <v>5</v>
      </c>
      <c r="R145" s="116">
        <v>2</v>
      </c>
      <c r="S145" s="116">
        <v>0</v>
      </c>
      <c r="T145" s="116">
        <v>1</v>
      </c>
      <c r="U145" s="116">
        <v>1</v>
      </c>
      <c r="V145" s="116">
        <v>0</v>
      </c>
      <c r="W145" s="116">
        <v>0</v>
      </c>
      <c r="X145" s="116">
        <v>0</v>
      </c>
      <c r="Y145" s="116">
        <v>0</v>
      </c>
      <c r="Z145" s="116">
        <v>0</v>
      </c>
      <c r="AA145" s="116">
        <v>0</v>
      </c>
      <c r="AB145" s="116">
        <v>0</v>
      </c>
      <c r="AC145" s="116">
        <v>0</v>
      </c>
      <c r="AD145" s="116">
        <v>0</v>
      </c>
      <c r="AE145" s="116">
        <v>0</v>
      </c>
      <c r="AF145" s="116">
        <v>10</v>
      </c>
      <c r="AG145" s="116">
        <v>2</v>
      </c>
      <c r="AH145" s="116">
        <v>0</v>
      </c>
      <c r="AI145" s="116">
        <v>1</v>
      </c>
      <c r="AJ145" s="117">
        <v>0</v>
      </c>
      <c r="AK145" s="117">
        <v>4</v>
      </c>
      <c r="AL145" s="117">
        <v>0</v>
      </c>
      <c r="AM145" s="117">
        <v>0</v>
      </c>
      <c r="AN145" s="117">
        <v>22</v>
      </c>
      <c r="AO145" s="117">
        <v>0</v>
      </c>
      <c r="AP145" s="117">
        <v>4</v>
      </c>
      <c r="AQ145" s="117">
        <v>22</v>
      </c>
    </row>
    <row r="146" spans="1:43" s="118" customFormat="1" ht="13.5" customHeight="1">
      <c r="A146" s="119">
        <v>147</v>
      </c>
      <c r="B146" s="76" t="s">
        <v>691</v>
      </c>
      <c r="C146" s="75" t="s">
        <v>882</v>
      </c>
      <c r="D146" s="77" t="s">
        <v>883</v>
      </c>
      <c r="E146" s="77" t="s">
        <v>923</v>
      </c>
      <c r="F146" s="120" t="s">
        <v>960</v>
      </c>
      <c r="G146" s="76" t="s">
        <v>692</v>
      </c>
      <c r="H146" s="121" t="s">
        <v>843</v>
      </c>
      <c r="I146" s="122" t="s">
        <v>842</v>
      </c>
      <c r="J146" s="123" t="s">
        <v>888</v>
      </c>
      <c r="K146" s="124">
        <v>2</v>
      </c>
      <c r="L146" s="117">
        <v>3</v>
      </c>
      <c r="M146" s="117">
        <v>1</v>
      </c>
      <c r="N146" s="116">
        <v>16</v>
      </c>
      <c r="O146" s="116">
        <v>6</v>
      </c>
      <c r="P146" s="116">
        <v>0</v>
      </c>
      <c r="Q146" s="116">
        <v>6</v>
      </c>
      <c r="R146" s="116">
        <v>0</v>
      </c>
      <c r="S146" s="116">
        <v>0</v>
      </c>
      <c r="T146" s="116">
        <v>1</v>
      </c>
      <c r="U146" s="116">
        <v>0</v>
      </c>
      <c r="V146" s="116">
        <v>0</v>
      </c>
      <c r="W146" s="116">
        <v>0</v>
      </c>
      <c r="X146" s="116">
        <v>0</v>
      </c>
      <c r="Y146" s="116">
        <v>0</v>
      </c>
      <c r="Z146" s="116">
        <v>20</v>
      </c>
      <c r="AA146" s="116">
        <v>5</v>
      </c>
      <c r="AB146" s="116">
        <v>0</v>
      </c>
      <c r="AC146" s="116">
        <v>0</v>
      </c>
      <c r="AD146" s="116">
        <v>0</v>
      </c>
      <c r="AE146" s="116">
        <v>0</v>
      </c>
      <c r="AF146" s="116">
        <v>0</v>
      </c>
      <c r="AG146" s="116">
        <v>0</v>
      </c>
      <c r="AH146" s="116">
        <v>0</v>
      </c>
      <c r="AI146" s="116">
        <v>1</v>
      </c>
      <c r="AJ146" s="117">
        <v>0</v>
      </c>
      <c r="AK146" s="117">
        <v>12</v>
      </c>
      <c r="AL146" s="117">
        <v>0</v>
      </c>
      <c r="AM146" s="117">
        <v>0</v>
      </c>
      <c r="AN146" s="117">
        <v>66</v>
      </c>
      <c r="AO146" s="117">
        <v>0</v>
      </c>
      <c r="AP146" s="117">
        <v>4</v>
      </c>
      <c r="AQ146" s="117">
        <v>70</v>
      </c>
    </row>
    <row r="147" spans="1:43" s="118" customFormat="1" ht="13.5" customHeight="1">
      <c r="A147" s="119">
        <v>148</v>
      </c>
      <c r="B147" s="76" t="s">
        <v>464</v>
      </c>
      <c r="C147" s="75" t="s">
        <v>882</v>
      </c>
      <c r="D147" s="77" t="s">
        <v>883</v>
      </c>
      <c r="E147" s="77" t="s">
        <v>923</v>
      </c>
      <c r="F147" s="120" t="s">
        <v>961</v>
      </c>
      <c r="G147" s="76" t="s">
        <v>465</v>
      </c>
      <c r="H147" s="121" t="s">
        <v>843</v>
      </c>
      <c r="I147" s="122" t="s">
        <v>842</v>
      </c>
      <c r="J147" s="123" t="s">
        <v>888</v>
      </c>
      <c r="K147" s="124">
        <v>2</v>
      </c>
      <c r="L147" s="117">
        <v>1</v>
      </c>
      <c r="M147" s="117">
        <v>1</v>
      </c>
      <c r="N147" s="116">
        <v>7</v>
      </c>
      <c r="O147" s="116">
        <v>1</v>
      </c>
      <c r="P147" s="116">
        <v>0</v>
      </c>
      <c r="Q147" s="116">
        <v>3</v>
      </c>
      <c r="R147" s="116">
        <v>4</v>
      </c>
      <c r="S147" s="116">
        <v>0</v>
      </c>
      <c r="T147" s="116">
        <v>0</v>
      </c>
      <c r="U147" s="116">
        <v>0</v>
      </c>
      <c r="V147" s="116">
        <v>0</v>
      </c>
      <c r="W147" s="116">
        <v>0</v>
      </c>
      <c r="X147" s="116">
        <v>0</v>
      </c>
      <c r="Y147" s="116">
        <v>0</v>
      </c>
      <c r="Z147" s="116">
        <v>9</v>
      </c>
      <c r="AA147" s="116">
        <v>4</v>
      </c>
      <c r="AB147" s="116">
        <v>0</v>
      </c>
      <c r="AC147" s="116">
        <v>0</v>
      </c>
      <c r="AD147" s="116">
        <v>0</v>
      </c>
      <c r="AE147" s="116">
        <v>0</v>
      </c>
      <c r="AF147" s="116">
        <v>0</v>
      </c>
      <c r="AG147" s="116">
        <v>0</v>
      </c>
      <c r="AH147" s="116">
        <v>0</v>
      </c>
      <c r="AI147" s="116">
        <v>1</v>
      </c>
      <c r="AJ147" s="117">
        <v>3</v>
      </c>
      <c r="AK147" s="117">
        <v>4</v>
      </c>
      <c r="AL147" s="117">
        <v>0</v>
      </c>
      <c r="AM147" s="117">
        <v>3</v>
      </c>
      <c r="AN147" s="117">
        <v>41</v>
      </c>
      <c r="AO147" s="117">
        <v>1</v>
      </c>
      <c r="AP147" s="117">
        <v>3</v>
      </c>
      <c r="AQ147" s="117">
        <v>45</v>
      </c>
    </row>
    <row r="148" spans="1:43" s="118" customFormat="1" ht="13.5" customHeight="1">
      <c r="A148" s="119">
        <v>149</v>
      </c>
      <c r="B148" s="76" t="s">
        <v>695</v>
      </c>
      <c r="C148" s="75" t="s">
        <v>882</v>
      </c>
      <c r="D148" s="77" t="s">
        <v>883</v>
      </c>
      <c r="E148" s="77" t="s">
        <v>923</v>
      </c>
      <c r="F148" s="120" t="s">
        <v>961</v>
      </c>
      <c r="G148" s="76" t="s">
        <v>696</v>
      </c>
      <c r="H148" s="121" t="s">
        <v>843</v>
      </c>
      <c r="I148" s="122" t="s">
        <v>842</v>
      </c>
      <c r="J148" s="123" t="s">
        <v>888</v>
      </c>
      <c r="K148" s="124">
        <v>2</v>
      </c>
      <c r="L148" s="117">
        <v>3</v>
      </c>
      <c r="M148" s="117">
        <v>1</v>
      </c>
      <c r="N148" s="116">
        <v>12</v>
      </c>
      <c r="O148" s="116">
        <v>5</v>
      </c>
      <c r="P148" s="116">
        <v>0</v>
      </c>
      <c r="Q148" s="116">
        <v>3</v>
      </c>
      <c r="R148" s="116">
        <v>3</v>
      </c>
      <c r="S148" s="116">
        <v>0</v>
      </c>
      <c r="T148" s="116">
        <v>0</v>
      </c>
      <c r="U148" s="116">
        <v>0</v>
      </c>
      <c r="V148" s="116">
        <v>0</v>
      </c>
      <c r="W148" s="116">
        <v>2</v>
      </c>
      <c r="X148" s="116">
        <v>2</v>
      </c>
      <c r="Y148" s="116">
        <v>0</v>
      </c>
      <c r="Z148" s="116">
        <v>12</v>
      </c>
      <c r="AA148" s="116">
        <v>5</v>
      </c>
      <c r="AB148" s="116">
        <v>0</v>
      </c>
      <c r="AC148" s="116">
        <v>0</v>
      </c>
      <c r="AD148" s="116">
        <v>0</v>
      </c>
      <c r="AE148" s="116">
        <v>0</v>
      </c>
      <c r="AF148" s="116">
        <v>0</v>
      </c>
      <c r="AG148" s="116">
        <v>0</v>
      </c>
      <c r="AH148" s="116">
        <v>0</v>
      </c>
      <c r="AI148" s="116">
        <v>1</v>
      </c>
      <c r="AJ148" s="117">
        <v>0</v>
      </c>
      <c r="AK148" s="117">
        <v>6</v>
      </c>
      <c r="AL148" s="117">
        <v>0</v>
      </c>
      <c r="AM148" s="117">
        <v>25</v>
      </c>
      <c r="AN148" s="117">
        <v>20</v>
      </c>
      <c r="AO148" s="117">
        <v>0</v>
      </c>
      <c r="AP148" s="117">
        <v>2</v>
      </c>
      <c r="AQ148" s="117">
        <v>47</v>
      </c>
    </row>
    <row r="149" spans="1:43" s="118" customFormat="1" ht="13.5" customHeight="1">
      <c r="A149" s="119">
        <v>150</v>
      </c>
      <c r="B149" s="76" t="s">
        <v>473</v>
      </c>
      <c r="C149" s="75" t="s">
        <v>882</v>
      </c>
      <c r="D149" s="77" t="s">
        <v>883</v>
      </c>
      <c r="E149" s="77" t="s">
        <v>923</v>
      </c>
      <c r="F149" s="120" t="s">
        <v>961</v>
      </c>
      <c r="G149" s="76" t="s">
        <v>474</v>
      </c>
      <c r="H149" s="121" t="s">
        <v>843</v>
      </c>
      <c r="I149" s="122" t="s">
        <v>842</v>
      </c>
      <c r="J149" s="123" t="s">
        <v>885</v>
      </c>
      <c r="K149" s="124">
        <v>2</v>
      </c>
      <c r="L149" s="117">
        <v>1</v>
      </c>
      <c r="M149" s="117">
        <v>1</v>
      </c>
      <c r="N149" s="116">
        <v>9</v>
      </c>
      <c r="O149" s="116">
        <v>6</v>
      </c>
      <c r="P149" s="116">
        <v>0</v>
      </c>
      <c r="Q149" s="116">
        <v>1</v>
      </c>
      <c r="R149" s="116">
        <v>1</v>
      </c>
      <c r="S149" s="116">
        <v>0</v>
      </c>
      <c r="T149" s="116">
        <v>0</v>
      </c>
      <c r="U149" s="116">
        <v>0</v>
      </c>
      <c r="V149" s="116">
        <v>0</v>
      </c>
      <c r="W149" s="116">
        <v>1</v>
      </c>
      <c r="X149" s="116">
        <v>1</v>
      </c>
      <c r="Y149" s="116">
        <v>0</v>
      </c>
      <c r="Z149" s="116">
        <v>5</v>
      </c>
      <c r="AA149" s="116">
        <v>0</v>
      </c>
      <c r="AB149" s="116">
        <v>0</v>
      </c>
      <c r="AC149" s="116">
        <v>0</v>
      </c>
      <c r="AD149" s="116">
        <v>0</v>
      </c>
      <c r="AE149" s="116">
        <v>0</v>
      </c>
      <c r="AF149" s="116">
        <v>3</v>
      </c>
      <c r="AG149" s="116">
        <v>5</v>
      </c>
      <c r="AH149" s="116">
        <v>0</v>
      </c>
      <c r="AI149" s="116">
        <v>1</v>
      </c>
      <c r="AJ149" s="117">
        <v>0</v>
      </c>
      <c r="AK149" s="117">
        <v>7</v>
      </c>
      <c r="AL149" s="117">
        <v>0</v>
      </c>
      <c r="AM149" s="117">
        <v>24</v>
      </c>
      <c r="AN149" s="117">
        <v>21</v>
      </c>
      <c r="AO149" s="117">
        <v>0</v>
      </c>
      <c r="AP149" s="117">
        <v>3</v>
      </c>
      <c r="AQ149" s="117">
        <v>49</v>
      </c>
    </row>
    <row r="150" spans="1:43" s="118" customFormat="1" ht="13.5" customHeight="1">
      <c r="A150" s="119">
        <v>151</v>
      </c>
      <c r="B150" s="76" t="s">
        <v>476</v>
      </c>
      <c r="C150" s="75" t="s">
        <v>882</v>
      </c>
      <c r="D150" s="77" t="s">
        <v>883</v>
      </c>
      <c r="E150" s="77" t="s">
        <v>923</v>
      </c>
      <c r="F150" s="120" t="s">
        <v>961</v>
      </c>
      <c r="G150" s="76" t="s">
        <v>477</v>
      </c>
      <c r="H150" s="121" t="s">
        <v>843</v>
      </c>
      <c r="I150" s="122" t="s">
        <v>842</v>
      </c>
      <c r="J150" s="123" t="s">
        <v>888</v>
      </c>
      <c r="K150" s="124">
        <v>2</v>
      </c>
      <c r="L150" s="117">
        <v>1</v>
      </c>
      <c r="M150" s="117">
        <v>1</v>
      </c>
      <c r="N150" s="116">
        <v>9</v>
      </c>
      <c r="O150" s="116">
        <v>3</v>
      </c>
      <c r="P150" s="116">
        <v>0</v>
      </c>
      <c r="Q150" s="116">
        <v>4</v>
      </c>
      <c r="R150" s="116">
        <v>2</v>
      </c>
      <c r="S150" s="116">
        <v>0</v>
      </c>
      <c r="T150" s="116">
        <v>0</v>
      </c>
      <c r="U150" s="116">
        <v>0</v>
      </c>
      <c r="V150" s="116">
        <v>0</v>
      </c>
      <c r="W150" s="116">
        <v>0</v>
      </c>
      <c r="X150" s="116">
        <v>0</v>
      </c>
      <c r="Y150" s="116">
        <v>0</v>
      </c>
      <c r="Z150" s="116">
        <v>12</v>
      </c>
      <c r="AA150" s="116">
        <v>4</v>
      </c>
      <c r="AB150" s="116">
        <v>0</v>
      </c>
      <c r="AC150" s="116">
        <v>0</v>
      </c>
      <c r="AD150" s="116">
        <v>0</v>
      </c>
      <c r="AE150" s="116">
        <v>0</v>
      </c>
      <c r="AF150" s="116">
        <v>0</v>
      </c>
      <c r="AG150" s="116">
        <v>0</v>
      </c>
      <c r="AH150" s="116">
        <v>0</v>
      </c>
      <c r="AI150" s="116">
        <v>1</v>
      </c>
      <c r="AJ150" s="117">
        <v>0</v>
      </c>
      <c r="AK150" s="117">
        <v>6</v>
      </c>
      <c r="AL150" s="117">
        <v>0</v>
      </c>
      <c r="AM150" s="117">
        <v>29</v>
      </c>
      <c r="AN150" s="117">
        <v>21</v>
      </c>
      <c r="AO150" s="117">
        <v>0</v>
      </c>
      <c r="AP150" s="117">
        <v>2</v>
      </c>
      <c r="AQ150" s="117">
        <v>53</v>
      </c>
    </row>
    <row r="151" spans="1:43" s="118" customFormat="1" ht="13.5" customHeight="1">
      <c r="A151" s="119">
        <v>152</v>
      </c>
      <c r="B151" s="76" t="s">
        <v>359</v>
      </c>
      <c r="C151" s="75" t="s">
        <v>882</v>
      </c>
      <c r="D151" s="77" t="s">
        <v>883</v>
      </c>
      <c r="E151" s="77" t="s">
        <v>923</v>
      </c>
      <c r="F151" s="120" t="s">
        <v>960</v>
      </c>
      <c r="G151" s="76" t="s">
        <v>360</v>
      </c>
      <c r="H151" s="121" t="s">
        <v>843</v>
      </c>
      <c r="I151" s="122"/>
      <c r="J151" s="123" t="s">
        <v>888</v>
      </c>
      <c r="K151" s="124">
        <v>2</v>
      </c>
      <c r="L151" s="117">
        <v>0</v>
      </c>
      <c r="M151" s="117">
        <v>0</v>
      </c>
      <c r="N151" s="116">
        <v>8</v>
      </c>
      <c r="O151" s="116">
        <v>3</v>
      </c>
      <c r="P151" s="116">
        <v>1</v>
      </c>
      <c r="Q151" s="116">
        <v>0</v>
      </c>
      <c r="R151" s="116">
        <v>0</v>
      </c>
      <c r="S151" s="116">
        <v>0</v>
      </c>
      <c r="T151" s="116">
        <v>0</v>
      </c>
      <c r="U151" s="116">
        <v>0</v>
      </c>
      <c r="V151" s="116">
        <v>0</v>
      </c>
      <c r="W151" s="116">
        <v>3</v>
      </c>
      <c r="X151" s="116">
        <v>1</v>
      </c>
      <c r="Y151" s="116">
        <v>0</v>
      </c>
      <c r="Z151" s="116">
        <v>3</v>
      </c>
      <c r="AA151" s="116">
        <v>1</v>
      </c>
      <c r="AB151" s="116">
        <v>3</v>
      </c>
      <c r="AC151" s="116">
        <v>0</v>
      </c>
      <c r="AD151" s="116">
        <v>1</v>
      </c>
      <c r="AE151" s="116">
        <v>0</v>
      </c>
      <c r="AF151" s="116">
        <v>0</v>
      </c>
      <c r="AG151" s="116">
        <v>0</v>
      </c>
      <c r="AH151" s="116">
        <v>0</v>
      </c>
      <c r="AI151" s="116">
        <v>1</v>
      </c>
      <c r="AJ151" s="117">
        <v>0</v>
      </c>
      <c r="AK151" s="117">
        <v>4</v>
      </c>
      <c r="AL151" s="117">
        <v>0</v>
      </c>
      <c r="AM151" s="117">
        <v>0</v>
      </c>
      <c r="AN151" s="117">
        <v>26</v>
      </c>
      <c r="AO151" s="117">
        <v>0</v>
      </c>
      <c r="AP151" s="117">
        <v>3</v>
      </c>
      <c r="AQ151" s="117">
        <v>27</v>
      </c>
    </row>
    <row r="152" spans="1:43" s="118" customFormat="1" ht="13.5" customHeight="1">
      <c r="A152" s="119">
        <v>153</v>
      </c>
      <c r="B152" s="76" t="s">
        <v>479</v>
      </c>
      <c r="C152" s="75" t="s">
        <v>882</v>
      </c>
      <c r="D152" s="77" t="s">
        <v>883</v>
      </c>
      <c r="E152" s="77" t="s">
        <v>923</v>
      </c>
      <c r="F152" s="120" t="s">
        <v>961</v>
      </c>
      <c r="G152" s="76" t="s">
        <v>480</v>
      </c>
      <c r="H152" s="121" t="s">
        <v>843</v>
      </c>
      <c r="I152" s="122" t="s">
        <v>842</v>
      </c>
      <c r="J152" s="123" t="s">
        <v>885</v>
      </c>
      <c r="K152" s="124">
        <v>2</v>
      </c>
      <c r="L152" s="117">
        <v>1</v>
      </c>
      <c r="M152" s="117">
        <v>1</v>
      </c>
      <c r="N152" s="116">
        <v>8</v>
      </c>
      <c r="O152" s="116">
        <v>2</v>
      </c>
      <c r="P152" s="116">
        <v>0</v>
      </c>
      <c r="Q152" s="116">
        <v>1</v>
      </c>
      <c r="R152" s="116">
        <v>2</v>
      </c>
      <c r="S152" s="116">
        <v>0</v>
      </c>
      <c r="T152" s="116">
        <v>0</v>
      </c>
      <c r="U152" s="116">
        <v>0</v>
      </c>
      <c r="V152" s="116">
        <v>0</v>
      </c>
      <c r="W152" s="116">
        <v>1</v>
      </c>
      <c r="X152" s="116">
        <v>0</v>
      </c>
      <c r="Y152" s="116">
        <v>0</v>
      </c>
      <c r="Z152" s="116">
        <v>0</v>
      </c>
      <c r="AA152" s="116">
        <v>0</v>
      </c>
      <c r="AB152" s="116">
        <v>0</v>
      </c>
      <c r="AC152" s="116">
        <v>0</v>
      </c>
      <c r="AD152" s="116">
        <v>0</v>
      </c>
      <c r="AE152" s="116">
        <v>0</v>
      </c>
      <c r="AF152" s="116">
        <v>7</v>
      </c>
      <c r="AG152" s="116">
        <v>3</v>
      </c>
      <c r="AH152" s="116">
        <v>0</v>
      </c>
      <c r="AI152" s="116">
        <v>1</v>
      </c>
      <c r="AJ152" s="117">
        <v>0</v>
      </c>
      <c r="AK152" s="117">
        <v>4</v>
      </c>
      <c r="AL152" s="117">
        <v>0</v>
      </c>
      <c r="AM152" s="117">
        <v>18</v>
      </c>
      <c r="AN152" s="117">
        <v>5</v>
      </c>
      <c r="AO152" s="117">
        <v>0</v>
      </c>
      <c r="AP152" s="117">
        <v>0</v>
      </c>
      <c r="AQ152" s="117">
        <v>27</v>
      </c>
    </row>
    <row r="153" spans="1:43" s="118" customFormat="1" ht="13.5" customHeight="1">
      <c r="A153" s="119">
        <v>154</v>
      </c>
      <c r="B153" s="76" t="s">
        <v>563</v>
      </c>
      <c r="C153" s="75" t="s">
        <v>882</v>
      </c>
      <c r="D153" s="77" t="s">
        <v>883</v>
      </c>
      <c r="E153" s="77" t="s">
        <v>923</v>
      </c>
      <c r="F153" s="120" t="s">
        <v>961</v>
      </c>
      <c r="G153" s="76" t="s">
        <v>564</v>
      </c>
      <c r="H153" s="121" t="s">
        <v>843</v>
      </c>
      <c r="I153" s="122" t="s">
        <v>844</v>
      </c>
      <c r="J153" s="123" t="s">
        <v>888</v>
      </c>
      <c r="K153" s="124">
        <v>2</v>
      </c>
      <c r="L153" s="117">
        <v>1</v>
      </c>
      <c r="M153" s="117">
        <v>1</v>
      </c>
      <c r="N153" s="116">
        <v>14</v>
      </c>
      <c r="O153" s="116">
        <v>4</v>
      </c>
      <c r="P153" s="116">
        <v>0</v>
      </c>
      <c r="Q153" s="116">
        <v>2</v>
      </c>
      <c r="R153" s="116">
        <v>0</v>
      </c>
      <c r="S153" s="116">
        <v>0</v>
      </c>
      <c r="T153" s="116">
        <v>0</v>
      </c>
      <c r="U153" s="116">
        <v>0</v>
      </c>
      <c r="V153" s="116">
        <v>0</v>
      </c>
      <c r="W153" s="116">
        <v>11</v>
      </c>
      <c r="X153" s="116">
        <v>3</v>
      </c>
      <c r="Y153" s="116">
        <v>0</v>
      </c>
      <c r="Z153" s="116">
        <v>5</v>
      </c>
      <c r="AA153" s="116">
        <v>0</v>
      </c>
      <c r="AB153" s="116">
        <v>0</v>
      </c>
      <c r="AC153" s="116">
        <v>0</v>
      </c>
      <c r="AD153" s="116">
        <v>0</v>
      </c>
      <c r="AE153" s="116">
        <v>0</v>
      </c>
      <c r="AF153" s="116">
        <v>0</v>
      </c>
      <c r="AG153" s="116">
        <v>0</v>
      </c>
      <c r="AH153" s="116">
        <v>0</v>
      </c>
      <c r="AI153" s="116">
        <v>1</v>
      </c>
      <c r="AJ153" s="117">
        <v>0</v>
      </c>
      <c r="AK153" s="117">
        <v>11</v>
      </c>
      <c r="AL153" s="117">
        <v>0</v>
      </c>
      <c r="AM153" s="117">
        <v>9</v>
      </c>
      <c r="AN153" s="117">
        <v>47</v>
      </c>
      <c r="AO153" s="117">
        <v>0</v>
      </c>
      <c r="AP153" s="117">
        <v>9</v>
      </c>
      <c r="AQ153" s="117">
        <v>58</v>
      </c>
    </row>
    <row r="154" spans="1:43" s="118" customFormat="1" ht="13.5" customHeight="1">
      <c r="A154" s="119">
        <v>155</v>
      </c>
      <c r="B154" s="76" t="s">
        <v>703</v>
      </c>
      <c r="C154" s="75" t="s">
        <v>882</v>
      </c>
      <c r="D154" s="77" t="s">
        <v>883</v>
      </c>
      <c r="E154" s="77" t="s">
        <v>923</v>
      </c>
      <c r="F154" s="120" t="s">
        <v>961</v>
      </c>
      <c r="G154" s="76" t="s">
        <v>704</v>
      </c>
      <c r="H154" s="121" t="s">
        <v>843</v>
      </c>
      <c r="I154" s="122" t="s">
        <v>842</v>
      </c>
      <c r="J154" s="123" t="s">
        <v>888</v>
      </c>
      <c r="K154" s="124">
        <v>2</v>
      </c>
      <c r="L154" s="117">
        <v>7</v>
      </c>
      <c r="M154" s="117">
        <v>1</v>
      </c>
      <c r="N154" s="116">
        <v>11</v>
      </c>
      <c r="O154" s="116">
        <v>6</v>
      </c>
      <c r="P154" s="116">
        <v>0</v>
      </c>
      <c r="Q154" s="116">
        <v>0</v>
      </c>
      <c r="R154" s="116">
        <v>1</v>
      </c>
      <c r="S154" s="116">
        <v>0</v>
      </c>
      <c r="T154" s="116">
        <v>0</v>
      </c>
      <c r="U154" s="116">
        <v>0</v>
      </c>
      <c r="V154" s="116">
        <v>0</v>
      </c>
      <c r="W154" s="116">
        <v>0</v>
      </c>
      <c r="X154" s="116">
        <v>0</v>
      </c>
      <c r="Y154" s="116">
        <v>0</v>
      </c>
      <c r="Z154" s="116">
        <v>10</v>
      </c>
      <c r="AA154" s="116">
        <v>6</v>
      </c>
      <c r="AB154" s="116">
        <v>0</v>
      </c>
      <c r="AC154" s="116">
        <v>0</v>
      </c>
      <c r="AD154" s="116">
        <v>0</v>
      </c>
      <c r="AE154" s="116">
        <v>0</v>
      </c>
      <c r="AF154" s="116">
        <v>0</v>
      </c>
      <c r="AG154" s="116">
        <v>0</v>
      </c>
      <c r="AH154" s="116">
        <v>0</v>
      </c>
      <c r="AI154" s="116">
        <v>1</v>
      </c>
      <c r="AJ154" s="117">
        <v>0</v>
      </c>
      <c r="AK154" s="117">
        <v>8</v>
      </c>
      <c r="AL154" s="117">
        <v>0</v>
      </c>
      <c r="AM154" s="117">
        <v>36</v>
      </c>
      <c r="AN154" s="117">
        <v>22</v>
      </c>
      <c r="AO154" s="117">
        <v>2</v>
      </c>
      <c r="AP154" s="117">
        <v>3</v>
      </c>
      <c r="AQ154" s="117">
        <v>60</v>
      </c>
    </row>
    <row r="155" spans="1:43" s="118" customFormat="1" ht="13.5" customHeight="1">
      <c r="A155" s="119">
        <v>156</v>
      </c>
      <c r="B155" s="76" t="s">
        <v>482</v>
      </c>
      <c r="C155" s="75" t="s">
        <v>882</v>
      </c>
      <c r="D155" s="77" t="s">
        <v>883</v>
      </c>
      <c r="E155" s="77" t="s">
        <v>923</v>
      </c>
      <c r="F155" s="120" t="s">
        <v>961</v>
      </c>
      <c r="G155" s="76" t="s">
        <v>483</v>
      </c>
      <c r="H155" s="121" t="s">
        <v>843</v>
      </c>
      <c r="I155" s="122"/>
      <c r="J155" s="123" t="s">
        <v>888</v>
      </c>
      <c r="K155" s="124">
        <v>2</v>
      </c>
      <c r="L155" s="117">
        <v>1</v>
      </c>
      <c r="M155" s="117">
        <v>1</v>
      </c>
      <c r="N155" s="116">
        <v>9</v>
      </c>
      <c r="O155" s="116">
        <v>1</v>
      </c>
      <c r="P155" s="116">
        <v>0</v>
      </c>
      <c r="Q155" s="116">
        <v>2</v>
      </c>
      <c r="R155" s="116">
        <v>2</v>
      </c>
      <c r="S155" s="116">
        <v>0</v>
      </c>
      <c r="T155" s="116">
        <v>0</v>
      </c>
      <c r="U155" s="116">
        <v>0</v>
      </c>
      <c r="V155" s="116">
        <v>0</v>
      </c>
      <c r="W155" s="116">
        <v>0</v>
      </c>
      <c r="X155" s="116">
        <v>0</v>
      </c>
      <c r="Y155" s="116">
        <v>0</v>
      </c>
      <c r="Z155" s="116">
        <v>10</v>
      </c>
      <c r="AA155" s="116">
        <v>2</v>
      </c>
      <c r="AB155" s="116">
        <v>0</v>
      </c>
      <c r="AC155" s="116">
        <v>0</v>
      </c>
      <c r="AD155" s="116">
        <v>0</v>
      </c>
      <c r="AE155" s="116">
        <v>0</v>
      </c>
      <c r="AF155" s="116">
        <v>0</v>
      </c>
      <c r="AG155" s="116">
        <v>0</v>
      </c>
      <c r="AH155" s="116">
        <v>0</v>
      </c>
      <c r="AI155" s="116">
        <v>1</v>
      </c>
      <c r="AJ155" s="117">
        <v>1</v>
      </c>
      <c r="AK155" s="117">
        <v>4</v>
      </c>
      <c r="AL155" s="117">
        <v>0</v>
      </c>
      <c r="AM155" s="117">
        <v>3</v>
      </c>
      <c r="AN155" s="117">
        <v>25</v>
      </c>
      <c r="AO155" s="117">
        <v>0</v>
      </c>
      <c r="AP155" s="117">
        <v>2</v>
      </c>
      <c r="AQ155" s="117">
        <v>29</v>
      </c>
    </row>
    <row r="156" spans="1:43" s="118" customFormat="1" ht="13.5" customHeight="1">
      <c r="A156" s="119">
        <v>157</v>
      </c>
      <c r="B156" s="76" t="s">
        <v>491</v>
      </c>
      <c r="C156" s="75" t="s">
        <v>882</v>
      </c>
      <c r="D156" s="77" t="s">
        <v>883</v>
      </c>
      <c r="E156" s="77" t="s">
        <v>923</v>
      </c>
      <c r="F156" s="120" t="s">
        <v>961</v>
      </c>
      <c r="G156" s="76" t="s">
        <v>492</v>
      </c>
      <c r="H156" s="121" t="s">
        <v>843</v>
      </c>
      <c r="I156" s="122"/>
      <c r="J156" s="123" t="s">
        <v>888</v>
      </c>
      <c r="K156" s="124">
        <v>2</v>
      </c>
      <c r="L156" s="117">
        <v>2</v>
      </c>
      <c r="M156" s="117">
        <v>1</v>
      </c>
      <c r="N156" s="116">
        <v>4</v>
      </c>
      <c r="O156" s="116">
        <v>2</v>
      </c>
      <c r="P156" s="116">
        <v>0</v>
      </c>
      <c r="Q156" s="116">
        <v>4</v>
      </c>
      <c r="R156" s="116">
        <v>3</v>
      </c>
      <c r="S156" s="116">
        <v>0</v>
      </c>
      <c r="T156" s="116">
        <v>0</v>
      </c>
      <c r="U156" s="116">
        <v>0</v>
      </c>
      <c r="V156" s="116">
        <v>0</v>
      </c>
      <c r="W156" s="116">
        <v>0</v>
      </c>
      <c r="X156" s="116">
        <v>0</v>
      </c>
      <c r="Y156" s="116">
        <v>0</v>
      </c>
      <c r="Z156" s="116">
        <v>1</v>
      </c>
      <c r="AA156" s="116">
        <v>0</v>
      </c>
      <c r="AB156" s="116">
        <v>0</v>
      </c>
      <c r="AC156" s="116">
        <v>0</v>
      </c>
      <c r="AD156" s="116">
        <v>0</v>
      </c>
      <c r="AE156" s="116">
        <v>0</v>
      </c>
      <c r="AF156" s="116">
        <v>6</v>
      </c>
      <c r="AG156" s="116">
        <v>4</v>
      </c>
      <c r="AH156" s="116">
        <v>0</v>
      </c>
      <c r="AI156" s="116">
        <v>1</v>
      </c>
      <c r="AJ156" s="117">
        <v>1</v>
      </c>
      <c r="AK156" s="117">
        <v>5</v>
      </c>
      <c r="AL156" s="117">
        <v>0</v>
      </c>
      <c r="AM156" s="117">
        <v>5</v>
      </c>
      <c r="AN156" s="117">
        <v>18</v>
      </c>
      <c r="AO156" s="117">
        <v>0</v>
      </c>
      <c r="AP156" s="117">
        <v>5</v>
      </c>
      <c r="AQ156" s="117">
        <v>24</v>
      </c>
    </row>
    <row r="157" spans="1:43" s="118" customFormat="1" ht="13.5" customHeight="1">
      <c r="A157" s="119">
        <v>158</v>
      </c>
      <c r="B157" s="76" t="s">
        <v>362</v>
      </c>
      <c r="C157" s="75" t="s">
        <v>882</v>
      </c>
      <c r="D157" s="77" t="s">
        <v>883</v>
      </c>
      <c r="E157" s="77" t="s">
        <v>923</v>
      </c>
      <c r="F157" s="120" t="s">
        <v>960</v>
      </c>
      <c r="G157" s="76" t="s">
        <v>363</v>
      </c>
      <c r="H157" s="121" t="s">
        <v>843</v>
      </c>
      <c r="I157" s="122" t="s">
        <v>842</v>
      </c>
      <c r="J157" s="123" t="s">
        <v>885</v>
      </c>
      <c r="K157" s="124">
        <v>2</v>
      </c>
      <c r="L157" s="117">
        <v>0</v>
      </c>
      <c r="M157" s="117">
        <v>0</v>
      </c>
      <c r="N157" s="116">
        <v>16</v>
      </c>
      <c r="O157" s="116">
        <v>6</v>
      </c>
      <c r="P157" s="116">
        <v>0</v>
      </c>
      <c r="Q157" s="116">
        <v>0</v>
      </c>
      <c r="R157" s="116">
        <v>0</v>
      </c>
      <c r="S157" s="116">
        <v>0</v>
      </c>
      <c r="T157" s="116">
        <v>1</v>
      </c>
      <c r="U157" s="116">
        <v>1</v>
      </c>
      <c r="V157" s="116">
        <v>0</v>
      </c>
      <c r="W157" s="116">
        <v>1</v>
      </c>
      <c r="X157" s="116">
        <v>0</v>
      </c>
      <c r="Y157" s="116">
        <v>0</v>
      </c>
      <c r="Z157" s="116">
        <v>15</v>
      </c>
      <c r="AA157" s="116">
        <v>4</v>
      </c>
      <c r="AB157" s="116">
        <v>0</v>
      </c>
      <c r="AC157" s="116">
        <v>0</v>
      </c>
      <c r="AD157" s="116">
        <v>0</v>
      </c>
      <c r="AE157" s="116">
        <v>0</v>
      </c>
      <c r="AF157" s="116">
        <v>0</v>
      </c>
      <c r="AG157" s="116">
        <v>0</v>
      </c>
      <c r="AH157" s="116">
        <v>0</v>
      </c>
      <c r="AI157" s="116">
        <v>1</v>
      </c>
      <c r="AJ157" s="117">
        <v>0</v>
      </c>
      <c r="AK157" s="117">
        <v>9</v>
      </c>
      <c r="AL157" s="117">
        <v>0</v>
      </c>
      <c r="AM157" s="117">
        <v>0</v>
      </c>
      <c r="AN157" s="117">
        <v>48</v>
      </c>
      <c r="AO157" s="117">
        <v>0</v>
      </c>
      <c r="AP157" s="117">
        <v>8</v>
      </c>
      <c r="AQ157" s="117">
        <v>49</v>
      </c>
    </row>
    <row r="158" spans="1:43" s="118" customFormat="1" ht="13.5" customHeight="1">
      <c r="A158" s="119">
        <v>159</v>
      </c>
      <c r="B158" s="76" t="s">
        <v>494</v>
      </c>
      <c r="C158" s="75" t="s">
        <v>882</v>
      </c>
      <c r="D158" s="77" t="s">
        <v>883</v>
      </c>
      <c r="E158" s="77" t="s">
        <v>923</v>
      </c>
      <c r="F158" s="120" t="s">
        <v>961</v>
      </c>
      <c r="G158" s="76" t="s">
        <v>495</v>
      </c>
      <c r="H158" s="121" t="s">
        <v>843</v>
      </c>
      <c r="I158" s="122" t="s">
        <v>842</v>
      </c>
      <c r="J158" s="123" t="s">
        <v>888</v>
      </c>
      <c r="K158" s="124">
        <v>2</v>
      </c>
      <c r="L158" s="117">
        <v>1</v>
      </c>
      <c r="M158" s="117">
        <v>1</v>
      </c>
      <c r="N158" s="116">
        <v>9</v>
      </c>
      <c r="O158" s="116">
        <v>1</v>
      </c>
      <c r="P158" s="116">
        <v>0</v>
      </c>
      <c r="Q158" s="116">
        <v>4</v>
      </c>
      <c r="R158" s="116">
        <v>4</v>
      </c>
      <c r="S158" s="116">
        <v>0</v>
      </c>
      <c r="T158" s="116">
        <v>0</v>
      </c>
      <c r="U158" s="116">
        <v>0</v>
      </c>
      <c r="V158" s="116">
        <v>0</v>
      </c>
      <c r="W158" s="116">
        <v>1</v>
      </c>
      <c r="X158" s="116">
        <v>0</v>
      </c>
      <c r="Y158" s="116">
        <v>0</v>
      </c>
      <c r="Z158" s="116">
        <v>11</v>
      </c>
      <c r="AA158" s="116">
        <v>0</v>
      </c>
      <c r="AB158" s="116">
        <v>0</v>
      </c>
      <c r="AC158" s="116">
        <v>0</v>
      </c>
      <c r="AD158" s="116">
        <v>0</v>
      </c>
      <c r="AE158" s="116">
        <v>0</v>
      </c>
      <c r="AF158" s="116">
        <v>0</v>
      </c>
      <c r="AG158" s="116">
        <v>4</v>
      </c>
      <c r="AH158" s="116">
        <v>0</v>
      </c>
      <c r="AI158" s="116">
        <v>1</v>
      </c>
      <c r="AJ158" s="117">
        <v>3</v>
      </c>
      <c r="AK158" s="117">
        <v>9</v>
      </c>
      <c r="AL158" s="117">
        <v>0</v>
      </c>
      <c r="AM158" s="117">
        <v>8</v>
      </c>
      <c r="AN158" s="117">
        <v>65</v>
      </c>
      <c r="AO158" s="117">
        <v>0</v>
      </c>
      <c r="AP158" s="117">
        <v>9</v>
      </c>
      <c r="AQ158" s="117">
        <v>78</v>
      </c>
    </row>
    <row r="159" spans="1:43" s="118" customFormat="1" ht="13.5" customHeight="1">
      <c r="A159" s="119">
        <v>162</v>
      </c>
      <c r="B159" s="76" t="s">
        <v>30</v>
      </c>
      <c r="C159" s="75" t="s">
        <v>882</v>
      </c>
      <c r="D159" s="77" t="s">
        <v>883</v>
      </c>
      <c r="E159" s="77" t="s">
        <v>923</v>
      </c>
      <c r="F159" s="120" t="s">
        <v>962</v>
      </c>
      <c r="G159" s="76" t="s">
        <v>31</v>
      </c>
      <c r="H159" s="121" t="s">
        <v>843</v>
      </c>
      <c r="I159" s="122" t="s">
        <v>842</v>
      </c>
      <c r="J159" s="123" t="s">
        <v>888</v>
      </c>
      <c r="K159" s="124">
        <v>2</v>
      </c>
      <c r="L159" s="117">
        <v>2</v>
      </c>
      <c r="M159" s="117">
        <v>1</v>
      </c>
      <c r="N159" s="116">
        <v>11</v>
      </c>
      <c r="O159" s="116">
        <v>4</v>
      </c>
      <c r="P159" s="116">
        <v>0</v>
      </c>
      <c r="Q159" s="116">
        <v>4</v>
      </c>
      <c r="R159" s="116">
        <v>3</v>
      </c>
      <c r="S159" s="116">
        <v>0</v>
      </c>
      <c r="T159" s="116">
        <v>2</v>
      </c>
      <c r="U159" s="116">
        <v>2</v>
      </c>
      <c r="V159" s="116">
        <v>0</v>
      </c>
      <c r="W159" s="116">
        <v>0</v>
      </c>
      <c r="X159" s="116">
        <v>0</v>
      </c>
      <c r="Y159" s="116">
        <v>0</v>
      </c>
      <c r="Z159" s="116">
        <v>0</v>
      </c>
      <c r="AA159" s="116">
        <v>0</v>
      </c>
      <c r="AB159" s="116">
        <v>0</v>
      </c>
      <c r="AC159" s="116">
        <v>0</v>
      </c>
      <c r="AD159" s="116">
        <v>0</v>
      </c>
      <c r="AE159" s="116">
        <v>0</v>
      </c>
      <c r="AF159" s="116">
        <v>12</v>
      </c>
      <c r="AG159" s="116">
        <v>4</v>
      </c>
      <c r="AH159" s="116">
        <v>0</v>
      </c>
      <c r="AI159" s="116">
        <v>1</v>
      </c>
      <c r="AJ159" s="117">
        <v>0</v>
      </c>
      <c r="AK159" s="117">
        <v>8</v>
      </c>
      <c r="AL159" s="117">
        <v>0</v>
      </c>
      <c r="AM159" s="117">
        <v>0</v>
      </c>
      <c r="AN159" s="117">
        <v>64</v>
      </c>
      <c r="AO159" s="117">
        <v>0</v>
      </c>
      <c r="AP159" s="117">
        <v>5</v>
      </c>
      <c r="AQ159" s="117">
        <v>67</v>
      </c>
    </row>
    <row r="160" spans="1:43" s="118" customFormat="1" ht="13.5" customHeight="1">
      <c r="A160" s="119">
        <v>163</v>
      </c>
      <c r="B160" s="76" t="s">
        <v>497</v>
      </c>
      <c r="C160" s="75" t="s">
        <v>882</v>
      </c>
      <c r="D160" s="77" t="s">
        <v>883</v>
      </c>
      <c r="E160" s="77" t="s">
        <v>923</v>
      </c>
      <c r="F160" s="120" t="s">
        <v>961</v>
      </c>
      <c r="G160" s="76" t="s">
        <v>498</v>
      </c>
      <c r="H160" s="121" t="s">
        <v>843</v>
      </c>
      <c r="I160" s="122"/>
      <c r="J160" s="123" t="s">
        <v>888</v>
      </c>
      <c r="K160" s="124">
        <v>2</v>
      </c>
      <c r="L160" s="117">
        <v>1</v>
      </c>
      <c r="M160" s="117">
        <v>1</v>
      </c>
      <c r="N160" s="116">
        <v>10</v>
      </c>
      <c r="O160" s="116">
        <v>3</v>
      </c>
      <c r="P160" s="116">
        <v>0</v>
      </c>
      <c r="Q160" s="116">
        <v>1</v>
      </c>
      <c r="R160" s="116">
        <v>2</v>
      </c>
      <c r="S160" s="116">
        <v>0</v>
      </c>
      <c r="T160" s="116">
        <v>0</v>
      </c>
      <c r="U160" s="116">
        <v>0</v>
      </c>
      <c r="V160" s="116">
        <v>0</v>
      </c>
      <c r="W160" s="116">
        <v>0</v>
      </c>
      <c r="X160" s="116">
        <v>0</v>
      </c>
      <c r="Y160" s="116">
        <v>0</v>
      </c>
      <c r="Z160" s="116">
        <v>0</v>
      </c>
      <c r="AA160" s="116">
        <v>0</v>
      </c>
      <c r="AB160" s="116">
        <v>0</v>
      </c>
      <c r="AC160" s="116">
        <v>0</v>
      </c>
      <c r="AD160" s="116">
        <v>0</v>
      </c>
      <c r="AE160" s="116">
        <v>0</v>
      </c>
      <c r="AF160" s="116">
        <v>10</v>
      </c>
      <c r="AG160" s="116">
        <v>4</v>
      </c>
      <c r="AH160" s="116">
        <v>0</v>
      </c>
      <c r="AI160" s="116">
        <v>1</v>
      </c>
      <c r="AJ160" s="117">
        <v>0</v>
      </c>
      <c r="AK160" s="117">
        <v>10</v>
      </c>
      <c r="AL160" s="117">
        <v>0</v>
      </c>
      <c r="AM160" s="117">
        <v>18</v>
      </c>
      <c r="AN160" s="117">
        <v>25</v>
      </c>
      <c r="AO160" s="117">
        <v>0</v>
      </c>
      <c r="AP160" s="117">
        <v>3</v>
      </c>
      <c r="AQ160" s="117">
        <v>54</v>
      </c>
    </row>
    <row r="161" spans="1:43" s="118" customFormat="1" ht="13.5" customHeight="1">
      <c r="A161" s="119">
        <v>164</v>
      </c>
      <c r="B161" s="76" t="s">
        <v>749</v>
      </c>
      <c r="C161" s="75" t="s">
        <v>882</v>
      </c>
      <c r="D161" s="77" t="s">
        <v>883</v>
      </c>
      <c r="E161" s="77" t="s">
        <v>923</v>
      </c>
      <c r="F161" s="120" t="s">
        <v>960</v>
      </c>
      <c r="G161" s="76" t="s">
        <v>750</v>
      </c>
      <c r="H161" s="121" t="s">
        <v>843</v>
      </c>
      <c r="I161" s="122"/>
      <c r="J161" s="123" t="s">
        <v>888</v>
      </c>
      <c r="K161" s="124">
        <v>2</v>
      </c>
      <c r="L161" s="117">
        <v>1</v>
      </c>
      <c r="M161" s="117">
        <v>1</v>
      </c>
      <c r="N161" s="116">
        <v>11</v>
      </c>
      <c r="O161" s="116">
        <v>1</v>
      </c>
      <c r="P161" s="116">
        <v>0</v>
      </c>
      <c r="Q161" s="116">
        <v>0</v>
      </c>
      <c r="R161" s="116">
        <v>2</v>
      </c>
      <c r="S161" s="116">
        <v>0</v>
      </c>
      <c r="T161" s="116">
        <v>0</v>
      </c>
      <c r="U161" s="116">
        <v>0</v>
      </c>
      <c r="V161" s="116">
        <v>0</v>
      </c>
      <c r="W161" s="116">
        <v>2</v>
      </c>
      <c r="X161" s="116">
        <v>1</v>
      </c>
      <c r="Y161" s="116">
        <v>0</v>
      </c>
      <c r="Z161" s="116">
        <v>9</v>
      </c>
      <c r="AA161" s="116">
        <v>1</v>
      </c>
      <c r="AB161" s="116">
        <v>0</v>
      </c>
      <c r="AC161" s="116">
        <v>0</v>
      </c>
      <c r="AD161" s="116">
        <v>0</v>
      </c>
      <c r="AE161" s="116">
        <v>0</v>
      </c>
      <c r="AF161" s="116">
        <v>0</v>
      </c>
      <c r="AG161" s="116">
        <v>0</v>
      </c>
      <c r="AH161" s="116">
        <v>0</v>
      </c>
      <c r="AI161" s="116">
        <v>1</v>
      </c>
      <c r="AJ161" s="117">
        <v>0</v>
      </c>
      <c r="AK161" s="117">
        <v>4</v>
      </c>
      <c r="AL161" s="117">
        <v>2</v>
      </c>
      <c r="AM161" s="117">
        <v>6</v>
      </c>
      <c r="AN161" s="117">
        <v>21</v>
      </c>
      <c r="AO161" s="117">
        <v>0</v>
      </c>
      <c r="AP161" s="117">
        <v>2</v>
      </c>
      <c r="AQ161" s="117">
        <v>29</v>
      </c>
    </row>
    <row r="162" spans="1:43" s="118" customFormat="1" ht="13.5" customHeight="1">
      <c r="A162" s="119">
        <v>165</v>
      </c>
      <c r="B162" s="76" t="s">
        <v>751</v>
      </c>
      <c r="C162" s="75" t="s">
        <v>882</v>
      </c>
      <c r="D162" s="77" t="s">
        <v>883</v>
      </c>
      <c r="E162" s="77" t="s">
        <v>923</v>
      </c>
      <c r="F162" s="120" t="s">
        <v>961</v>
      </c>
      <c r="G162" s="76" t="s">
        <v>752</v>
      </c>
      <c r="H162" s="121" t="s">
        <v>843</v>
      </c>
      <c r="I162" s="122"/>
      <c r="J162" s="123" t="s">
        <v>888</v>
      </c>
      <c r="K162" s="124">
        <v>2</v>
      </c>
      <c r="L162" s="117">
        <v>1</v>
      </c>
      <c r="M162" s="117">
        <v>1</v>
      </c>
      <c r="N162" s="116">
        <v>5</v>
      </c>
      <c r="O162" s="116">
        <v>1</v>
      </c>
      <c r="P162" s="116">
        <v>0</v>
      </c>
      <c r="Q162" s="116">
        <v>3</v>
      </c>
      <c r="R162" s="116">
        <v>3</v>
      </c>
      <c r="S162" s="116">
        <v>0</v>
      </c>
      <c r="T162" s="116">
        <v>0</v>
      </c>
      <c r="U162" s="116">
        <v>0</v>
      </c>
      <c r="V162" s="116">
        <v>0</v>
      </c>
      <c r="W162" s="116">
        <v>0</v>
      </c>
      <c r="X162" s="116">
        <v>0</v>
      </c>
      <c r="Y162" s="116">
        <v>0</v>
      </c>
      <c r="Z162" s="116">
        <v>7</v>
      </c>
      <c r="AA162" s="116">
        <v>3</v>
      </c>
      <c r="AB162" s="116">
        <v>0</v>
      </c>
      <c r="AC162" s="116">
        <v>0</v>
      </c>
      <c r="AD162" s="116">
        <v>0</v>
      </c>
      <c r="AE162" s="116">
        <v>0</v>
      </c>
      <c r="AF162" s="116">
        <v>0</v>
      </c>
      <c r="AG162" s="116">
        <v>0</v>
      </c>
      <c r="AH162" s="116">
        <v>0</v>
      </c>
      <c r="AI162" s="116">
        <v>1</v>
      </c>
      <c r="AJ162" s="117">
        <v>0</v>
      </c>
      <c r="AK162" s="117">
        <v>7</v>
      </c>
      <c r="AL162" s="117">
        <v>1</v>
      </c>
      <c r="AM162" s="117">
        <v>6</v>
      </c>
      <c r="AN162" s="117">
        <v>17</v>
      </c>
      <c r="AO162" s="117">
        <v>0</v>
      </c>
      <c r="AP162" s="117">
        <v>3</v>
      </c>
      <c r="AQ162" s="117">
        <v>29</v>
      </c>
    </row>
    <row r="163" spans="1:43" s="118" customFormat="1" ht="13.5" customHeight="1">
      <c r="A163" s="119">
        <v>166</v>
      </c>
      <c r="B163" s="76" t="s">
        <v>500</v>
      </c>
      <c r="C163" s="75" t="s">
        <v>882</v>
      </c>
      <c r="D163" s="77" t="s">
        <v>883</v>
      </c>
      <c r="E163" s="77" t="s">
        <v>923</v>
      </c>
      <c r="F163" s="120" t="s">
        <v>961</v>
      </c>
      <c r="G163" s="76" t="s">
        <v>501</v>
      </c>
      <c r="H163" s="121" t="s">
        <v>843</v>
      </c>
      <c r="I163" s="122" t="s">
        <v>842</v>
      </c>
      <c r="J163" s="123" t="s">
        <v>888</v>
      </c>
      <c r="K163" s="124">
        <v>2</v>
      </c>
      <c r="L163" s="117">
        <v>1</v>
      </c>
      <c r="M163" s="117">
        <v>1</v>
      </c>
      <c r="N163" s="116">
        <v>5</v>
      </c>
      <c r="O163" s="116">
        <v>4</v>
      </c>
      <c r="P163" s="116">
        <v>0</v>
      </c>
      <c r="Q163" s="116">
        <v>4</v>
      </c>
      <c r="R163" s="116">
        <v>2</v>
      </c>
      <c r="S163" s="116">
        <v>0</v>
      </c>
      <c r="T163" s="116">
        <v>0</v>
      </c>
      <c r="U163" s="116">
        <v>0</v>
      </c>
      <c r="V163" s="116">
        <v>0</v>
      </c>
      <c r="W163" s="116">
        <v>0</v>
      </c>
      <c r="X163" s="116">
        <v>2</v>
      </c>
      <c r="Y163" s="116">
        <v>0</v>
      </c>
      <c r="Z163" s="116">
        <v>0</v>
      </c>
      <c r="AA163" s="116">
        <v>0</v>
      </c>
      <c r="AB163" s="116">
        <v>0</v>
      </c>
      <c r="AC163" s="116">
        <v>0</v>
      </c>
      <c r="AD163" s="116">
        <v>0</v>
      </c>
      <c r="AE163" s="116">
        <v>0</v>
      </c>
      <c r="AF163" s="116">
        <v>8</v>
      </c>
      <c r="AG163" s="116">
        <v>3</v>
      </c>
      <c r="AH163" s="116">
        <v>0</v>
      </c>
      <c r="AI163" s="116">
        <v>1</v>
      </c>
      <c r="AJ163" s="117">
        <v>1</v>
      </c>
      <c r="AK163" s="117">
        <v>8</v>
      </c>
      <c r="AL163" s="117">
        <v>0</v>
      </c>
      <c r="AM163" s="117">
        <v>13</v>
      </c>
      <c r="AN163" s="117">
        <v>33</v>
      </c>
      <c r="AO163" s="117">
        <v>1</v>
      </c>
      <c r="AP163" s="117">
        <v>6</v>
      </c>
      <c r="AQ163" s="117">
        <v>48</v>
      </c>
    </row>
    <row r="164" spans="1:43" s="118" customFormat="1" ht="13.5" customHeight="1">
      <c r="A164" s="119">
        <v>167</v>
      </c>
      <c r="B164" s="76" t="s">
        <v>767</v>
      </c>
      <c r="C164" s="75" t="s">
        <v>882</v>
      </c>
      <c r="D164" s="77" t="s">
        <v>883</v>
      </c>
      <c r="E164" s="77" t="s">
        <v>923</v>
      </c>
      <c r="F164" s="120" t="s">
        <v>960</v>
      </c>
      <c r="G164" s="76" t="s">
        <v>768</v>
      </c>
      <c r="H164" s="121" t="s">
        <v>843</v>
      </c>
      <c r="I164" s="122"/>
      <c r="J164" s="123" t="s">
        <v>888</v>
      </c>
      <c r="K164" s="124">
        <v>2</v>
      </c>
      <c r="L164" s="117">
        <v>1</v>
      </c>
      <c r="M164" s="117">
        <v>1</v>
      </c>
      <c r="N164" s="116">
        <v>5</v>
      </c>
      <c r="O164" s="116">
        <v>2</v>
      </c>
      <c r="P164" s="116">
        <v>0</v>
      </c>
      <c r="Q164" s="116">
        <v>7</v>
      </c>
      <c r="R164" s="116">
        <v>1</v>
      </c>
      <c r="S164" s="116">
        <v>0</v>
      </c>
      <c r="T164" s="116">
        <v>0</v>
      </c>
      <c r="U164" s="116">
        <v>0</v>
      </c>
      <c r="V164" s="116">
        <v>0</v>
      </c>
      <c r="W164" s="116">
        <v>0</v>
      </c>
      <c r="X164" s="116">
        <v>0</v>
      </c>
      <c r="Y164" s="116">
        <v>0</v>
      </c>
      <c r="Z164" s="116">
        <v>11</v>
      </c>
      <c r="AA164" s="116">
        <v>2</v>
      </c>
      <c r="AB164" s="116">
        <v>0</v>
      </c>
      <c r="AC164" s="116">
        <v>0</v>
      </c>
      <c r="AD164" s="116">
        <v>0</v>
      </c>
      <c r="AE164" s="116">
        <v>0</v>
      </c>
      <c r="AF164" s="116">
        <v>0</v>
      </c>
      <c r="AG164" s="116">
        <v>0</v>
      </c>
      <c r="AH164" s="116">
        <v>0</v>
      </c>
      <c r="AI164" s="116">
        <v>1</v>
      </c>
      <c r="AJ164" s="117">
        <v>0</v>
      </c>
      <c r="AK164" s="117">
        <v>5</v>
      </c>
      <c r="AL164" s="117">
        <v>0</v>
      </c>
      <c r="AM164" s="117">
        <v>0</v>
      </c>
      <c r="AN164" s="117">
        <v>19</v>
      </c>
      <c r="AO164" s="117">
        <v>0</v>
      </c>
      <c r="AP164" s="117">
        <v>4</v>
      </c>
      <c r="AQ164" s="117">
        <v>20</v>
      </c>
    </row>
    <row r="165" spans="1:43" s="118" customFormat="1" ht="13.5" customHeight="1">
      <c r="A165" s="119">
        <v>168</v>
      </c>
      <c r="B165" s="76" t="s">
        <v>769</v>
      </c>
      <c r="C165" s="75" t="s">
        <v>882</v>
      </c>
      <c r="D165" s="77" t="s">
        <v>883</v>
      </c>
      <c r="E165" s="77" t="s">
        <v>923</v>
      </c>
      <c r="F165" s="120" t="s">
        <v>961</v>
      </c>
      <c r="G165" s="76" t="s">
        <v>770</v>
      </c>
      <c r="H165" s="121" t="s">
        <v>843</v>
      </c>
      <c r="I165" s="122" t="s">
        <v>842</v>
      </c>
      <c r="J165" s="123" t="s">
        <v>885</v>
      </c>
      <c r="K165" s="124">
        <v>2</v>
      </c>
      <c r="L165" s="117">
        <v>1</v>
      </c>
      <c r="M165" s="117">
        <v>1</v>
      </c>
      <c r="N165" s="116">
        <v>6</v>
      </c>
      <c r="O165" s="116">
        <v>2</v>
      </c>
      <c r="P165" s="116">
        <v>0</v>
      </c>
      <c r="Q165" s="116">
        <v>9</v>
      </c>
      <c r="R165" s="116">
        <v>4</v>
      </c>
      <c r="S165" s="116">
        <v>0</v>
      </c>
      <c r="T165" s="116">
        <v>1</v>
      </c>
      <c r="U165" s="116">
        <v>0</v>
      </c>
      <c r="V165" s="116">
        <v>0</v>
      </c>
      <c r="W165" s="116">
        <v>0</v>
      </c>
      <c r="X165" s="116">
        <v>0</v>
      </c>
      <c r="Y165" s="116">
        <v>0</v>
      </c>
      <c r="Z165" s="116">
        <v>0</v>
      </c>
      <c r="AA165" s="116">
        <v>0</v>
      </c>
      <c r="AB165" s="116">
        <v>0</v>
      </c>
      <c r="AC165" s="116">
        <v>0</v>
      </c>
      <c r="AD165" s="116">
        <v>0</v>
      </c>
      <c r="AE165" s="116">
        <v>0</v>
      </c>
      <c r="AF165" s="116">
        <v>13</v>
      </c>
      <c r="AG165" s="116">
        <v>5</v>
      </c>
      <c r="AH165" s="116">
        <v>0</v>
      </c>
      <c r="AI165" s="116">
        <v>1</v>
      </c>
      <c r="AJ165" s="117">
        <v>1</v>
      </c>
      <c r="AK165" s="117">
        <v>8</v>
      </c>
      <c r="AL165" s="117">
        <v>0</v>
      </c>
      <c r="AM165" s="117">
        <v>12</v>
      </c>
      <c r="AN165" s="117">
        <v>33</v>
      </c>
      <c r="AO165" s="117">
        <v>0</v>
      </c>
      <c r="AP165" s="117">
        <v>7</v>
      </c>
      <c r="AQ165" s="117">
        <v>47</v>
      </c>
    </row>
    <row r="166" spans="1:43" s="118" customFormat="1" ht="13.5" customHeight="1">
      <c r="A166" s="119">
        <v>169</v>
      </c>
      <c r="B166" s="76" t="s">
        <v>115</v>
      </c>
      <c r="C166" s="75" t="s">
        <v>882</v>
      </c>
      <c r="D166" s="77" t="s">
        <v>883</v>
      </c>
      <c r="E166" s="77" t="s">
        <v>923</v>
      </c>
      <c r="F166" s="120" t="s">
        <v>962</v>
      </c>
      <c r="G166" s="76" t="s">
        <v>116</v>
      </c>
      <c r="H166" s="121" t="s">
        <v>843</v>
      </c>
      <c r="I166" s="122"/>
      <c r="J166" s="123" t="s">
        <v>888</v>
      </c>
      <c r="K166" s="124">
        <v>2</v>
      </c>
      <c r="L166" s="117">
        <v>1</v>
      </c>
      <c r="M166" s="117">
        <v>1</v>
      </c>
      <c r="N166" s="116">
        <v>20</v>
      </c>
      <c r="O166" s="116">
        <v>4</v>
      </c>
      <c r="P166" s="116">
        <v>0</v>
      </c>
      <c r="Q166" s="116">
        <v>4</v>
      </c>
      <c r="R166" s="116">
        <v>0</v>
      </c>
      <c r="S166" s="116">
        <v>0</v>
      </c>
      <c r="T166" s="116">
        <v>0</v>
      </c>
      <c r="U166" s="116">
        <v>0</v>
      </c>
      <c r="V166" s="116">
        <v>0</v>
      </c>
      <c r="W166" s="116">
        <v>2</v>
      </c>
      <c r="X166" s="116">
        <v>3</v>
      </c>
      <c r="Y166" s="116">
        <v>0</v>
      </c>
      <c r="Z166" s="116">
        <v>0</v>
      </c>
      <c r="AA166" s="116">
        <v>0</v>
      </c>
      <c r="AB166" s="116">
        <v>0</v>
      </c>
      <c r="AC166" s="116">
        <v>0</v>
      </c>
      <c r="AD166" s="116">
        <v>0</v>
      </c>
      <c r="AE166" s="116">
        <v>0</v>
      </c>
      <c r="AF166" s="116">
        <v>21</v>
      </c>
      <c r="AG166" s="116">
        <v>1</v>
      </c>
      <c r="AH166" s="116">
        <v>0</v>
      </c>
      <c r="AI166" s="116">
        <v>1</v>
      </c>
      <c r="AJ166" s="117">
        <v>0</v>
      </c>
      <c r="AK166" s="117">
        <v>11</v>
      </c>
      <c r="AL166" s="117">
        <v>0</v>
      </c>
      <c r="AM166" s="117">
        <v>0</v>
      </c>
      <c r="AN166" s="117">
        <v>47</v>
      </c>
      <c r="AO166" s="117">
        <v>0</v>
      </c>
      <c r="AP166" s="117">
        <v>10</v>
      </c>
      <c r="AQ166" s="117">
        <v>48</v>
      </c>
    </row>
    <row r="167" spans="1:43" s="118" customFormat="1" ht="13.5" customHeight="1">
      <c r="A167" s="119">
        <v>170</v>
      </c>
      <c r="B167" s="76" t="s">
        <v>380</v>
      </c>
      <c r="C167" s="75" t="s">
        <v>882</v>
      </c>
      <c r="D167" s="77" t="s">
        <v>883</v>
      </c>
      <c r="E167" s="77" t="s">
        <v>923</v>
      </c>
      <c r="F167" s="120" t="s">
        <v>960</v>
      </c>
      <c r="G167" s="76" t="s">
        <v>381</v>
      </c>
      <c r="H167" s="121" t="s">
        <v>843</v>
      </c>
      <c r="I167" s="122" t="s">
        <v>842</v>
      </c>
      <c r="J167" s="123" t="s">
        <v>888</v>
      </c>
      <c r="K167" s="124">
        <v>2</v>
      </c>
      <c r="L167" s="117">
        <v>1</v>
      </c>
      <c r="M167" s="117">
        <v>1</v>
      </c>
      <c r="N167" s="116">
        <v>13</v>
      </c>
      <c r="O167" s="116">
        <v>3</v>
      </c>
      <c r="P167" s="116">
        <v>0</v>
      </c>
      <c r="Q167" s="116">
        <v>0</v>
      </c>
      <c r="R167" s="116">
        <v>0</v>
      </c>
      <c r="S167" s="116">
        <v>0</v>
      </c>
      <c r="T167" s="116">
        <v>1</v>
      </c>
      <c r="U167" s="116">
        <v>0</v>
      </c>
      <c r="V167" s="116">
        <v>0</v>
      </c>
      <c r="W167" s="116">
        <v>0</v>
      </c>
      <c r="X167" s="116">
        <v>0</v>
      </c>
      <c r="Y167" s="116">
        <v>0</v>
      </c>
      <c r="Z167" s="116">
        <v>11</v>
      </c>
      <c r="AA167" s="116">
        <v>2</v>
      </c>
      <c r="AB167" s="116">
        <v>0</v>
      </c>
      <c r="AC167" s="116">
        <v>0</v>
      </c>
      <c r="AD167" s="116">
        <v>0</v>
      </c>
      <c r="AE167" s="116">
        <v>0</v>
      </c>
      <c r="AF167" s="116">
        <v>0</v>
      </c>
      <c r="AG167" s="116">
        <v>0</v>
      </c>
      <c r="AH167" s="116">
        <v>0</v>
      </c>
      <c r="AI167" s="116">
        <v>1</v>
      </c>
      <c r="AJ167" s="117">
        <v>0</v>
      </c>
      <c r="AK167" s="117">
        <v>10</v>
      </c>
      <c r="AL167" s="117">
        <v>0</v>
      </c>
      <c r="AM167" s="117">
        <v>0</v>
      </c>
      <c r="AN167" s="117">
        <v>57</v>
      </c>
      <c r="AO167" s="117">
        <v>0</v>
      </c>
      <c r="AP167" s="117">
        <v>5</v>
      </c>
      <c r="AQ167" s="117">
        <v>57</v>
      </c>
    </row>
    <row r="168" spans="1:43" s="118" customFormat="1" ht="13.5" customHeight="1">
      <c r="A168" s="119">
        <v>171</v>
      </c>
      <c r="B168" s="76" t="s">
        <v>509</v>
      </c>
      <c r="C168" s="75" t="s">
        <v>882</v>
      </c>
      <c r="D168" s="77" t="s">
        <v>883</v>
      </c>
      <c r="E168" s="77" t="s">
        <v>923</v>
      </c>
      <c r="F168" s="120" t="s">
        <v>961</v>
      </c>
      <c r="G168" s="76" t="s">
        <v>510</v>
      </c>
      <c r="H168" s="121" t="s">
        <v>843</v>
      </c>
      <c r="I168" s="122" t="s">
        <v>842</v>
      </c>
      <c r="J168" s="123" t="s">
        <v>885</v>
      </c>
      <c r="K168" s="124">
        <v>2</v>
      </c>
      <c r="L168" s="117">
        <v>3</v>
      </c>
      <c r="M168" s="117">
        <v>1</v>
      </c>
      <c r="N168" s="116">
        <v>7</v>
      </c>
      <c r="O168" s="116">
        <v>3</v>
      </c>
      <c r="P168" s="116">
        <v>0</v>
      </c>
      <c r="Q168" s="116">
        <v>4</v>
      </c>
      <c r="R168" s="116">
        <v>2</v>
      </c>
      <c r="S168" s="116">
        <v>0</v>
      </c>
      <c r="T168" s="116">
        <v>1</v>
      </c>
      <c r="U168" s="116">
        <v>1</v>
      </c>
      <c r="V168" s="116">
        <v>0</v>
      </c>
      <c r="W168" s="116">
        <v>0</v>
      </c>
      <c r="X168" s="116">
        <v>0</v>
      </c>
      <c r="Y168" s="116">
        <v>0</v>
      </c>
      <c r="Z168" s="116">
        <v>5</v>
      </c>
      <c r="AA168" s="116">
        <v>0</v>
      </c>
      <c r="AB168" s="116">
        <v>0</v>
      </c>
      <c r="AC168" s="116">
        <v>0</v>
      </c>
      <c r="AD168" s="116">
        <v>0</v>
      </c>
      <c r="AE168" s="116">
        <v>0</v>
      </c>
      <c r="AF168" s="116">
        <v>5</v>
      </c>
      <c r="AG168" s="116">
        <v>3</v>
      </c>
      <c r="AH168" s="116">
        <v>0</v>
      </c>
      <c r="AI168" s="116">
        <v>1</v>
      </c>
      <c r="AJ168" s="117">
        <v>3</v>
      </c>
      <c r="AK168" s="117">
        <v>5</v>
      </c>
      <c r="AL168" s="117">
        <v>0</v>
      </c>
      <c r="AM168" s="117">
        <v>2</v>
      </c>
      <c r="AN168" s="117">
        <v>52</v>
      </c>
      <c r="AO168" s="117">
        <v>0</v>
      </c>
      <c r="AP168" s="117">
        <v>7</v>
      </c>
      <c r="AQ168" s="117">
        <v>55</v>
      </c>
    </row>
    <row r="169" spans="1:43" s="118" customFormat="1" ht="13.5" customHeight="1">
      <c r="A169" s="119">
        <v>172</v>
      </c>
      <c r="B169" s="76" t="s">
        <v>566</v>
      </c>
      <c r="C169" s="75" t="s">
        <v>882</v>
      </c>
      <c r="D169" s="77" t="s">
        <v>883</v>
      </c>
      <c r="E169" s="77" t="s">
        <v>923</v>
      </c>
      <c r="F169" s="120" t="s">
        <v>961</v>
      </c>
      <c r="G169" s="76" t="s">
        <v>567</v>
      </c>
      <c r="H169" s="121" t="s">
        <v>843</v>
      </c>
      <c r="I169" s="122" t="s">
        <v>842</v>
      </c>
      <c r="J169" s="123" t="s">
        <v>888</v>
      </c>
      <c r="K169" s="124">
        <v>2</v>
      </c>
      <c r="L169" s="117">
        <v>1</v>
      </c>
      <c r="M169" s="117">
        <v>1</v>
      </c>
      <c r="N169" s="116">
        <v>16</v>
      </c>
      <c r="O169" s="116">
        <v>23</v>
      </c>
      <c r="P169" s="116">
        <v>0</v>
      </c>
      <c r="Q169" s="116">
        <v>0</v>
      </c>
      <c r="R169" s="116">
        <v>0</v>
      </c>
      <c r="S169" s="116">
        <v>0</v>
      </c>
      <c r="T169" s="116">
        <v>3</v>
      </c>
      <c r="U169" s="116">
        <v>0</v>
      </c>
      <c r="V169" s="116">
        <v>0</v>
      </c>
      <c r="W169" s="116">
        <v>0</v>
      </c>
      <c r="X169" s="116">
        <v>0</v>
      </c>
      <c r="Y169" s="116">
        <v>0</v>
      </c>
      <c r="Z169" s="116">
        <v>12</v>
      </c>
      <c r="AA169" s="116">
        <v>21</v>
      </c>
      <c r="AB169" s="116">
        <v>0</v>
      </c>
      <c r="AC169" s="116">
        <v>0</v>
      </c>
      <c r="AD169" s="116">
        <v>0</v>
      </c>
      <c r="AE169" s="116">
        <v>0</v>
      </c>
      <c r="AF169" s="116">
        <v>0</v>
      </c>
      <c r="AG169" s="116">
        <v>1</v>
      </c>
      <c r="AH169" s="116">
        <v>0</v>
      </c>
      <c r="AI169" s="116">
        <v>1</v>
      </c>
      <c r="AJ169" s="117">
        <v>0</v>
      </c>
      <c r="AK169" s="117">
        <v>18</v>
      </c>
      <c r="AL169" s="117">
        <v>0</v>
      </c>
      <c r="AM169" s="117">
        <v>0</v>
      </c>
      <c r="AN169" s="117">
        <v>87</v>
      </c>
      <c r="AO169" s="117">
        <v>0</v>
      </c>
      <c r="AP169" s="117">
        <v>13</v>
      </c>
      <c r="AQ169" s="117">
        <v>92</v>
      </c>
    </row>
    <row r="170" spans="1:43" s="118" customFormat="1" ht="13.5" customHeight="1">
      <c r="A170" s="119">
        <v>173</v>
      </c>
      <c r="B170" s="76" t="s">
        <v>118</v>
      </c>
      <c r="C170" s="75" t="s">
        <v>882</v>
      </c>
      <c r="D170" s="77" t="s">
        <v>883</v>
      </c>
      <c r="E170" s="77" t="s">
        <v>923</v>
      </c>
      <c r="F170" s="120" t="s">
        <v>962</v>
      </c>
      <c r="G170" s="76" t="s">
        <v>119</v>
      </c>
      <c r="H170" s="121" t="s">
        <v>843</v>
      </c>
      <c r="I170" s="122" t="s">
        <v>842</v>
      </c>
      <c r="J170" s="123" t="s">
        <v>888</v>
      </c>
      <c r="K170" s="124">
        <v>2</v>
      </c>
      <c r="L170" s="117">
        <v>1</v>
      </c>
      <c r="M170" s="117">
        <v>1</v>
      </c>
      <c r="N170" s="116">
        <v>15</v>
      </c>
      <c r="O170" s="116">
        <v>7</v>
      </c>
      <c r="P170" s="116">
        <v>0</v>
      </c>
      <c r="Q170" s="116">
        <v>2</v>
      </c>
      <c r="R170" s="116">
        <v>1</v>
      </c>
      <c r="S170" s="116">
        <v>0</v>
      </c>
      <c r="T170" s="116">
        <v>0</v>
      </c>
      <c r="U170" s="116">
        <v>0</v>
      </c>
      <c r="V170" s="116">
        <v>0</v>
      </c>
      <c r="W170" s="116">
        <v>0</v>
      </c>
      <c r="X170" s="116">
        <v>0</v>
      </c>
      <c r="Y170" s="116">
        <v>0</v>
      </c>
      <c r="Z170" s="116">
        <v>16</v>
      </c>
      <c r="AA170" s="116">
        <v>7</v>
      </c>
      <c r="AB170" s="116">
        <v>0</v>
      </c>
      <c r="AC170" s="116">
        <v>0</v>
      </c>
      <c r="AD170" s="116">
        <v>0</v>
      </c>
      <c r="AE170" s="116">
        <v>0</v>
      </c>
      <c r="AF170" s="116">
        <v>0</v>
      </c>
      <c r="AG170" s="116">
        <v>0</v>
      </c>
      <c r="AH170" s="116">
        <v>0</v>
      </c>
      <c r="AI170" s="116">
        <v>1</v>
      </c>
      <c r="AJ170" s="117">
        <v>0</v>
      </c>
      <c r="AK170" s="117">
        <v>10</v>
      </c>
      <c r="AL170" s="117">
        <v>0</v>
      </c>
      <c r="AM170" s="117">
        <v>0</v>
      </c>
      <c r="AN170" s="117">
        <v>58</v>
      </c>
      <c r="AO170" s="117">
        <v>0</v>
      </c>
      <c r="AP170" s="117">
        <v>7</v>
      </c>
      <c r="AQ170" s="117">
        <v>61</v>
      </c>
    </row>
    <row r="171" spans="1:43" s="118" customFormat="1" ht="13.5" customHeight="1">
      <c r="A171" s="119">
        <v>174</v>
      </c>
      <c r="B171" s="76" t="s">
        <v>789</v>
      </c>
      <c r="C171" s="75" t="s">
        <v>882</v>
      </c>
      <c r="D171" s="77" t="s">
        <v>883</v>
      </c>
      <c r="E171" s="77" t="s">
        <v>923</v>
      </c>
      <c r="F171" s="120" t="s">
        <v>960</v>
      </c>
      <c r="G171" s="76" t="s">
        <v>790</v>
      </c>
      <c r="H171" s="121" t="s">
        <v>843</v>
      </c>
      <c r="I171" s="122"/>
      <c r="J171" s="123" t="s">
        <v>888</v>
      </c>
      <c r="K171" s="124">
        <v>2</v>
      </c>
      <c r="L171" s="117">
        <v>1</v>
      </c>
      <c r="M171" s="117">
        <v>1</v>
      </c>
      <c r="N171" s="116">
        <v>11</v>
      </c>
      <c r="O171" s="116">
        <v>7</v>
      </c>
      <c r="P171" s="116">
        <v>0</v>
      </c>
      <c r="Q171" s="116">
        <v>1</v>
      </c>
      <c r="R171" s="116">
        <v>0</v>
      </c>
      <c r="S171" s="116">
        <v>0</v>
      </c>
      <c r="T171" s="116">
        <v>0</v>
      </c>
      <c r="U171" s="116">
        <v>0</v>
      </c>
      <c r="V171" s="116">
        <v>0</v>
      </c>
      <c r="W171" s="116">
        <v>4</v>
      </c>
      <c r="X171" s="116">
        <v>2</v>
      </c>
      <c r="Y171" s="116">
        <v>0</v>
      </c>
      <c r="Z171" s="116">
        <v>9</v>
      </c>
      <c r="AA171" s="116">
        <v>4</v>
      </c>
      <c r="AB171" s="116">
        <v>0</v>
      </c>
      <c r="AC171" s="116">
        <v>0</v>
      </c>
      <c r="AD171" s="116">
        <v>0</v>
      </c>
      <c r="AE171" s="116">
        <v>0</v>
      </c>
      <c r="AF171" s="116">
        <v>0</v>
      </c>
      <c r="AG171" s="116">
        <v>0</v>
      </c>
      <c r="AH171" s="116">
        <v>0</v>
      </c>
      <c r="AI171" s="116">
        <v>1</v>
      </c>
      <c r="AJ171" s="117">
        <v>0</v>
      </c>
      <c r="AK171" s="117">
        <v>4</v>
      </c>
      <c r="AL171" s="117">
        <v>0</v>
      </c>
      <c r="AM171" s="117">
        <v>8</v>
      </c>
      <c r="AN171" s="117">
        <v>19</v>
      </c>
      <c r="AO171" s="117">
        <v>0</v>
      </c>
      <c r="AP171" s="117">
        <v>4</v>
      </c>
      <c r="AQ171" s="117">
        <v>28</v>
      </c>
    </row>
    <row r="172" spans="1:43" s="118" customFormat="1" ht="13.5" customHeight="1">
      <c r="A172" s="119">
        <v>177</v>
      </c>
      <c r="B172" s="76" t="s">
        <v>805</v>
      </c>
      <c r="C172" s="75" t="s">
        <v>882</v>
      </c>
      <c r="D172" s="77" t="s">
        <v>883</v>
      </c>
      <c r="E172" s="77" t="s">
        <v>923</v>
      </c>
      <c r="F172" s="120" t="s">
        <v>962</v>
      </c>
      <c r="G172" s="76" t="s">
        <v>806</v>
      </c>
      <c r="H172" s="121" t="s">
        <v>843</v>
      </c>
      <c r="I172" s="122"/>
      <c r="J172" s="123" t="s">
        <v>885</v>
      </c>
      <c r="K172" s="124">
        <v>2</v>
      </c>
      <c r="L172" s="117">
        <v>0</v>
      </c>
      <c r="M172" s="117">
        <v>0</v>
      </c>
      <c r="N172" s="116">
        <v>22</v>
      </c>
      <c r="O172" s="116">
        <v>4</v>
      </c>
      <c r="P172" s="116">
        <v>0</v>
      </c>
      <c r="Q172" s="116">
        <v>0</v>
      </c>
      <c r="R172" s="116">
        <v>0</v>
      </c>
      <c r="S172" s="116">
        <v>0</v>
      </c>
      <c r="T172" s="116">
        <v>2</v>
      </c>
      <c r="U172" s="116">
        <v>1</v>
      </c>
      <c r="V172" s="116">
        <v>0</v>
      </c>
      <c r="W172" s="116">
        <v>0</v>
      </c>
      <c r="X172" s="116">
        <v>0</v>
      </c>
      <c r="Y172" s="116">
        <v>0</v>
      </c>
      <c r="Z172" s="116">
        <v>0</v>
      </c>
      <c r="AA172" s="116">
        <v>0</v>
      </c>
      <c r="AB172" s="116">
        <v>0</v>
      </c>
      <c r="AC172" s="116">
        <v>0</v>
      </c>
      <c r="AD172" s="116">
        <v>0</v>
      </c>
      <c r="AE172" s="116">
        <v>0</v>
      </c>
      <c r="AF172" s="116">
        <v>20</v>
      </c>
      <c r="AG172" s="116">
        <v>3</v>
      </c>
      <c r="AH172" s="116">
        <v>0</v>
      </c>
      <c r="AI172" s="116">
        <v>1</v>
      </c>
      <c r="AJ172" s="117">
        <v>0</v>
      </c>
      <c r="AK172" s="117">
        <v>9</v>
      </c>
      <c r="AL172" s="117">
        <v>0</v>
      </c>
      <c r="AM172" s="117">
        <v>0</v>
      </c>
      <c r="AN172" s="117">
        <v>49</v>
      </c>
      <c r="AO172" s="117">
        <v>0</v>
      </c>
      <c r="AP172" s="117">
        <v>9</v>
      </c>
      <c r="AQ172" s="117">
        <v>49</v>
      </c>
    </row>
    <row r="173" spans="1:43" s="118" customFormat="1" ht="13.5" customHeight="1">
      <c r="A173" s="119">
        <v>178</v>
      </c>
      <c r="B173" s="76" t="s">
        <v>60</v>
      </c>
      <c r="C173" s="75" t="s">
        <v>882</v>
      </c>
      <c r="D173" s="77" t="s">
        <v>883</v>
      </c>
      <c r="E173" s="77" t="s">
        <v>923</v>
      </c>
      <c r="F173" s="120" t="s">
        <v>962</v>
      </c>
      <c r="G173" s="76" t="s">
        <v>61</v>
      </c>
      <c r="H173" s="121" t="s">
        <v>843</v>
      </c>
      <c r="I173" s="122"/>
      <c r="J173" s="123" t="s">
        <v>885</v>
      </c>
      <c r="K173" s="124">
        <v>2</v>
      </c>
      <c r="L173" s="117">
        <v>1</v>
      </c>
      <c r="M173" s="117">
        <v>2</v>
      </c>
      <c r="N173" s="116">
        <v>8</v>
      </c>
      <c r="O173" s="116">
        <v>3</v>
      </c>
      <c r="P173" s="116">
        <v>0</v>
      </c>
      <c r="Q173" s="116">
        <v>7</v>
      </c>
      <c r="R173" s="116">
        <v>13</v>
      </c>
      <c r="S173" s="116">
        <v>0</v>
      </c>
      <c r="T173" s="116">
        <v>2</v>
      </c>
      <c r="U173" s="116">
        <v>1</v>
      </c>
      <c r="V173" s="116">
        <v>0</v>
      </c>
      <c r="W173" s="116">
        <v>2</v>
      </c>
      <c r="X173" s="116">
        <v>0</v>
      </c>
      <c r="Y173" s="116">
        <v>0</v>
      </c>
      <c r="Z173" s="116">
        <v>0</v>
      </c>
      <c r="AA173" s="116">
        <v>0</v>
      </c>
      <c r="AB173" s="116">
        <v>0</v>
      </c>
      <c r="AC173" s="116">
        <v>11</v>
      </c>
      <c r="AD173" s="116">
        <v>13</v>
      </c>
      <c r="AE173" s="116">
        <v>0</v>
      </c>
      <c r="AF173" s="116">
        <v>0</v>
      </c>
      <c r="AG173" s="116">
        <v>0</v>
      </c>
      <c r="AH173" s="116">
        <v>0</v>
      </c>
      <c r="AI173" s="116">
        <v>1</v>
      </c>
      <c r="AJ173" s="117">
        <v>0</v>
      </c>
      <c r="AK173" s="117">
        <v>6</v>
      </c>
      <c r="AL173" s="117">
        <v>0</v>
      </c>
      <c r="AM173" s="117">
        <v>0</v>
      </c>
      <c r="AN173" s="117">
        <v>46</v>
      </c>
      <c r="AO173" s="117">
        <v>0</v>
      </c>
      <c r="AP173" s="117">
        <v>6</v>
      </c>
      <c r="AQ173" s="117">
        <v>45</v>
      </c>
    </row>
    <row r="174" spans="1:43" s="118" customFormat="1" ht="13.5" customHeight="1">
      <c r="A174" s="119">
        <v>179</v>
      </c>
      <c r="B174" s="76" t="s">
        <v>63</v>
      </c>
      <c r="C174" s="75" t="s">
        <v>882</v>
      </c>
      <c r="D174" s="77" t="s">
        <v>883</v>
      </c>
      <c r="E174" s="77" t="s">
        <v>923</v>
      </c>
      <c r="F174" s="120" t="s">
        <v>962</v>
      </c>
      <c r="G174" s="76" t="s">
        <v>64</v>
      </c>
      <c r="H174" s="121" t="s">
        <v>843</v>
      </c>
      <c r="I174" s="122"/>
      <c r="J174" s="123" t="s">
        <v>888</v>
      </c>
      <c r="K174" s="124">
        <v>2</v>
      </c>
      <c r="L174" s="117">
        <v>1</v>
      </c>
      <c r="M174" s="117">
        <v>3</v>
      </c>
      <c r="N174" s="116">
        <v>8</v>
      </c>
      <c r="O174" s="116">
        <v>2</v>
      </c>
      <c r="P174" s="116">
        <v>0</v>
      </c>
      <c r="Q174" s="116">
        <v>2</v>
      </c>
      <c r="R174" s="116">
        <v>2</v>
      </c>
      <c r="S174" s="116">
        <v>0</v>
      </c>
      <c r="T174" s="116">
        <v>0</v>
      </c>
      <c r="U174" s="116">
        <v>0</v>
      </c>
      <c r="V174" s="116">
        <v>0</v>
      </c>
      <c r="W174" s="116">
        <v>1</v>
      </c>
      <c r="X174" s="116">
        <v>0</v>
      </c>
      <c r="Y174" s="116">
        <v>0</v>
      </c>
      <c r="Z174" s="116">
        <v>1</v>
      </c>
      <c r="AA174" s="116">
        <v>2</v>
      </c>
      <c r="AB174" s="116">
        <v>0</v>
      </c>
      <c r="AC174" s="116">
        <v>0</v>
      </c>
      <c r="AD174" s="116">
        <v>0</v>
      </c>
      <c r="AE174" s="116">
        <v>0</v>
      </c>
      <c r="AF174" s="116">
        <v>8</v>
      </c>
      <c r="AG174" s="116">
        <v>1</v>
      </c>
      <c r="AH174" s="116">
        <v>0</v>
      </c>
      <c r="AI174" s="116">
        <v>1</v>
      </c>
      <c r="AJ174" s="117">
        <v>0</v>
      </c>
      <c r="AK174" s="117">
        <v>6</v>
      </c>
      <c r="AL174" s="117">
        <v>0</v>
      </c>
      <c r="AM174" s="117">
        <v>0</v>
      </c>
      <c r="AN174" s="117">
        <v>50</v>
      </c>
      <c r="AO174" s="117">
        <v>0</v>
      </c>
      <c r="AP174" s="117">
        <v>5</v>
      </c>
      <c r="AQ174" s="117">
        <v>51</v>
      </c>
    </row>
    <row r="175" spans="1:43" s="118" customFormat="1" ht="13.5" customHeight="1">
      <c r="A175" s="119">
        <v>180</v>
      </c>
      <c r="B175" s="76" t="s">
        <v>66</v>
      </c>
      <c r="C175" s="75" t="s">
        <v>882</v>
      </c>
      <c r="D175" s="77" t="s">
        <v>883</v>
      </c>
      <c r="E175" s="77" t="s">
        <v>923</v>
      </c>
      <c r="F175" s="120" t="s">
        <v>962</v>
      </c>
      <c r="G175" s="76" t="s">
        <v>67</v>
      </c>
      <c r="H175" s="121" t="s">
        <v>843</v>
      </c>
      <c r="I175" s="122"/>
      <c r="J175" s="123" t="s">
        <v>888</v>
      </c>
      <c r="K175" s="124">
        <v>2</v>
      </c>
      <c r="L175" s="117">
        <v>1</v>
      </c>
      <c r="M175" s="117">
        <v>1</v>
      </c>
      <c r="N175" s="116">
        <v>11</v>
      </c>
      <c r="O175" s="116">
        <v>2</v>
      </c>
      <c r="P175" s="116">
        <v>0</v>
      </c>
      <c r="Q175" s="116">
        <v>1</v>
      </c>
      <c r="R175" s="116">
        <v>2</v>
      </c>
      <c r="S175" s="116">
        <v>0</v>
      </c>
      <c r="T175" s="116">
        <v>1</v>
      </c>
      <c r="U175" s="116">
        <v>1</v>
      </c>
      <c r="V175" s="116">
        <v>0</v>
      </c>
      <c r="W175" s="116">
        <v>0</v>
      </c>
      <c r="X175" s="116">
        <v>0</v>
      </c>
      <c r="Y175" s="116">
        <v>0</v>
      </c>
      <c r="Z175" s="116">
        <v>10</v>
      </c>
      <c r="AA175" s="116">
        <v>2</v>
      </c>
      <c r="AB175" s="116">
        <v>0</v>
      </c>
      <c r="AC175" s="116">
        <v>0</v>
      </c>
      <c r="AD175" s="116">
        <v>0</v>
      </c>
      <c r="AE175" s="116">
        <v>0</v>
      </c>
      <c r="AF175" s="116">
        <v>0</v>
      </c>
      <c r="AG175" s="116">
        <v>0</v>
      </c>
      <c r="AH175" s="116">
        <v>0</v>
      </c>
      <c r="AI175" s="116">
        <v>1</v>
      </c>
      <c r="AJ175" s="117">
        <v>0</v>
      </c>
      <c r="AK175" s="117">
        <v>9</v>
      </c>
      <c r="AL175" s="117">
        <v>0</v>
      </c>
      <c r="AM175" s="117">
        <v>0</v>
      </c>
      <c r="AN175" s="117">
        <v>47</v>
      </c>
      <c r="AO175" s="117">
        <v>1</v>
      </c>
      <c r="AP175" s="117">
        <v>7</v>
      </c>
      <c r="AQ175" s="117">
        <v>48</v>
      </c>
    </row>
    <row r="176" spans="1:43" s="118" customFormat="1" ht="13.5" customHeight="1">
      <c r="A176" s="119">
        <v>181</v>
      </c>
      <c r="B176" s="76" t="s">
        <v>823</v>
      </c>
      <c r="C176" s="75" t="s">
        <v>882</v>
      </c>
      <c r="D176" s="77" t="s">
        <v>883</v>
      </c>
      <c r="E176" s="77" t="s">
        <v>923</v>
      </c>
      <c r="F176" s="120" t="s">
        <v>962</v>
      </c>
      <c r="G176" s="76" t="s">
        <v>824</v>
      </c>
      <c r="H176" s="121" t="s">
        <v>843</v>
      </c>
      <c r="I176" s="122" t="s">
        <v>842</v>
      </c>
      <c r="J176" s="123" t="s">
        <v>888</v>
      </c>
      <c r="K176" s="124">
        <v>2</v>
      </c>
      <c r="L176" s="117">
        <v>2</v>
      </c>
      <c r="M176" s="117">
        <v>1</v>
      </c>
      <c r="N176" s="116">
        <v>22</v>
      </c>
      <c r="O176" s="116">
        <v>7</v>
      </c>
      <c r="P176" s="116">
        <v>0</v>
      </c>
      <c r="Q176" s="116">
        <v>4</v>
      </c>
      <c r="R176" s="116">
        <v>1</v>
      </c>
      <c r="S176" s="116">
        <v>0</v>
      </c>
      <c r="T176" s="116">
        <v>0</v>
      </c>
      <c r="U176" s="116">
        <v>0</v>
      </c>
      <c r="V176" s="116">
        <v>0</v>
      </c>
      <c r="W176" s="116">
        <v>0</v>
      </c>
      <c r="X176" s="116">
        <v>0</v>
      </c>
      <c r="Y176" s="116">
        <v>0</v>
      </c>
      <c r="Z176" s="116">
        <v>25</v>
      </c>
      <c r="AA176" s="116">
        <v>7</v>
      </c>
      <c r="AB176" s="116">
        <v>0</v>
      </c>
      <c r="AC176" s="116">
        <v>0</v>
      </c>
      <c r="AD176" s="116">
        <v>0</v>
      </c>
      <c r="AE176" s="116">
        <v>0</v>
      </c>
      <c r="AF176" s="116">
        <v>0</v>
      </c>
      <c r="AG176" s="116">
        <v>0</v>
      </c>
      <c r="AH176" s="116">
        <v>0</v>
      </c>
      <c r="AI176" s="116">
        <v>1</v>
      </c>
      <c r="AJ176" s="117">
        <v>0</v>
      </c>
      <c r="AK176" s="117">
        <v>7</v>
      </c>
      <c r="AL176" s="117">
        <v>0</v>
      </c>
      <c r="AM176" s="117">
        <v>0</v>
      </c>
      <c r="AN176" s="117">
        <v>60</v>
      </c>
      <c r="AO176" s="117">
        <v>0</v>
      </c>
      <c r="AP176" s="117">
        <v>5</v>
      </c>
      <c r="AQ176" s="117">
        <v>61</v>
      </c>
    </row>
    <row r="177" spans="1:43" s="118" customFormat="1" ht="13.5" customHeight="1">
      <c r="A177" s="119">
        <v>182</v>
      </c>
      <c r="B177" s="76" t="s">
        <v>45</v>
      </c>
      <c r="C177" s="75" t="s">
        <v>882</v>
      </c>
      <c r="D177" s="77" t="s">
        <v>883</v>
      </c>
      <c r="E177" s="77" t="s">
        <v>923</v>
      </c>
      <c r="F177" s="120" t="s">
        <v>962</v>
      </c>
      <c r="G177" s="76" t="s">
        <v>46</v>
      </c>
      <c r="H177" s="121" t="s">
        <v>843</v>
      </c>
      <c r="I177" s="122" t="s">
        <v>842</v>
      </c>
      <c r="J177" s="123" t="s">
        <v>885</v>
      </c>
      <c r="K177" s="124">
        <v>2</v>
      </c>
      <c r="L177" s="117">
        <v>0</v>
      </c>
      <c r="M177" s="117">
        <v>0</v>
      </c>
      <c r="N177" s="116">
        <v>19</v>
      </c>
      <c r="O177" s="116">
        <v>3</v>
      </c>
      <c r="P177" s="116">
        <v>1</v>
      </c>
      <c r="Q177" s="116">
        <v>0</v>
      </c>
      <c r="R177" s="116">
        <v>0</v>
      </c>
      <c r="S177" s="116">
        <v>0</v>
      </c>
      <c r="T177" s="116">
        <v>0</v>
      </c>
      <c r="U177" s="116">
        <v>0</v>
      </c>
      <c r="V177" s="116">
        <v>0</v>
      </c>
      <c r="W177" s="116">
        <v>1</v>
      </c>
      <c r="X177" s="116">
        <v>0</v>
      </c>
      <c r="Y177" s="116">
        <v>1</v>
      </c>
      <c r="Z177" s="116">
        <v>15</v>
      </c>
      <c r="AA177" s="116">
        <v>2</v>
      </c>
      <c r="AB177" s="116">
        <v>5</v>
      </c>
      <c r="AC177" s="116">
        <v>0</v>
      </c>
      <c r="AD177" s="116">
        <v>0</v>
      </c>
      <c r="AE177" s="116">
        <v>0</v>
      </c>
      <c r="AF177" s="116">
        <v>0</v>
      </c>
      <c r="AG177" s="116">
        <v>0</v>
      </c>
      <c r="AH177" s="116">
        <v>0</v>
      </c>
      <c r="AI177" s="116">
        <v>1</v>
      </c>
      <c r="AJ177" s="117">
        <v>0</v>
      </c>
      <c r="AK177" s="117">
        <v>12</v>
      </c>
      <c r="AL177" s="117">
        <v>0</v>
      </c>
      <c r="AM177" s="117">
        <v>0</v>
      </c>
      <c r="AN177" s="117">
        <v>68</v>
      </c>
      <c r="AO177" s="117">
        <v>0</v>
      </c>
      <c r="AP177" s="117">
        <v>12</v>
      </c>
      <c r="AQ177" s="117">
        <v>68</v>
      </c>
    </row>
    <row r="178" spans="1:43" s="118" customFormat="1" ht="13.5" customHeight="1">
      <c r="A178" s="119">
        <v>183</v>
      </c>
      <c r="B178" s="76" t="s">
        <v>527</v>
      </c>
      <c r="C178" s="75" t="s">
        <v>882</v>
      </c>
      <c r="D178" s="77" t="s">
        <v>883</v>
      </c>
      <c r="E178" s="77" t="s">
        <v>923</v>
      </c>
      <c r="F178" s="120" t="s">
        <v>961</v>
      </c>
      <c r="G178" s="76" t="s">
        <v>528</v>
      </c>
      <c r="H178" s="121" t="s">
        <v>843</v>
      </c>
      <c r="I178" s="122" t="s">
        <v>844</v>
      </c>
      <c r="J178" s="123" t="s">
        <v>888</v>
      </c>
      <c r="K178" s="124">
        <v>2</v>
      </c>
      <c r="L178" s="117">
        <v>1</v>
      </c>
      <c r="M178" s="117">
        <v>2</v>
      </c>
      <c r="N178" s="116">
        <v>9</v>
      </c>
      <c r="O178" s="116">
        <v>6</v>
      </c>
      <c r="P178" s="116">
        <v>0</v>
      </c>
      <c r="Q178" s="116">
        <v>1</v>
      </c>
      <c r="R178" s="116">
        <v>1</v>
      </c>
      <c r="S178" s="116">
        <v>0</v>
      </c>
      <c r="T178" s="116">
        <v>0</v>
      </c>
      <c r="U178" s="116">
        <v>0</v>
      </c>
      <c r="V178" s="116">
        <v>0</v>
      </c>
      <c r="W178" s="116">
        <v>1</v>
      </c>
      <c r="X178" s="116">
        <v>0</v>
      </c>
      <c r="Y178" s="116">
        <v>0</v>
      </c>
      <c r="Z178" s="116">
        <v>0</v>
      </c>
      <c r="AA178" s="116">
        <v>0</v>
      </c>
      <c r="AB178" s="116">
        <v>0</v>
      </c>
      <c r="AC178" s="116">
        <v>0</v>
      </c>
      <c r="AD178" s="116">
        <v>0</v>
      </c>
      <c r="AE178" s="116">
        <v>0</v>
      </c>
      <c r="AF178" s="116">
        <v>8</v>
      </c>
      <c r="AG178" s="116">
        <v>6</v>
      </c>
      <c r="AH178" s="116">
        <v>0</v>
      </c>
      <c r="AI178" s="116">
        <v>1</v>
      </c>
      <c r="AJ178" s="117">
        <v>2</v>
      </c>
      <c r="AK178" s="117">
        <v>8</v>
      </c>
      <c r="AL178" s="117">
        <v>0</v>
      </c>
      <c r="AM178" s="117">
        <v>6</v>
      </c>
      <c r="AN178" s="117">
        <v>56</v>
      </c>
      <c r="AO178" s="117">
        <v>0</v>
      </c>
      <c r="AP178" s="117">
        <v>8</v>
      </c>
      <c r="AQ178" s="117">
        <v>64</v>
      </c>
    </row>
    <row r="179" spans="1:43" s="118" customFormat="1" ht="13.5" customHeight="1">
      <c r="A179" s="119">
        <v>184</v>
      </c>
      <c r="B179" s="76" t="s">
        <v>591</v>
      </c>
      <c r="C179" s="75" t="s">
        <v>882</v>
      </c>
      <c r="D179" s="77" t="s">
        <v>883</v>
      </c>
      <c r="E179" s="77" t="s">
        <v>940</v>
      </c>
      <c r="F179" s="120" t="s">
        <v>961</v>
      </c>
      <c r="G179" s="76" t="s">
        <v>592</v>
      </c>
      <c r="H179" s="121" t="s">
        <v>843</v>
      </c>
      <c r="I179" s="122" t="s">
        <v>842</v>
      </c>
      <c r="J179" s="123" t="s">
        <v>885</v>
      </c>
      <c r="K179" s="124">
        <v>2</v>
      </c>
      <c r="L179" s="117">
        <v>1</v>
      </c>
      <c r="M179" s="117">
        <v>1</v>
      </c>
      <c r="N179" s="116">
        <v>16</v>
      </c>
      <c r="O179" s="116">
        <v>2</v>
      </c>
      <c r="P179" s="116">
        <v>2</v>
      </c>
      <c r="Q179" s="116">
        <v>1</v>
      </c>
      <c r="R179" s="116">
        <v>0</v>
      </c>
      <c r="S179" s="116">
        <v>0</v>
      </c>
      <c r="T179" s="116">
        <v>3</v>
      </c>
      <c r="U179" s="116">
        <v>1</v>
      </c>
      <c r="V179" s="116">
        <v>5</v>
      </c>
      <c r="W179" s="116">
        <v>0</v>
      </c>
      <c r="X179" s="116">
        <v>0</v>
      </c>
      <c r="Y179" s="116">
        <v>0</v>
      </c>
      <c r="Z179" s="116">
        <v>0</v>
      </c>
      <c r="AA179" s="116">
        <v>0</v>
      </c>
      <c r="AB179" s="116">
        <v>0</v>
      </c>
      <c r="AC179" s="116">
        <v>0</v>
      </c>
      <c r="AD179" s="116">
        <v>0</v>
      </c>
      <c r="AE179" s="116">
        <v>0</v>
      </c>
      <c r="AF179" s="116">
        <v>11</v>
      </c>
      <c r="AG179" s="116">
        <v>1</v>
      </c>
      <c r="AH179" s="116">
        <v>0</v>
      </c>
      <c r="AI179" s="116">
        <v>1</v>
      </c>
      <c r="AJ179" s="117">
        <v>1</v>
      </c>
      <c r="AK179" s="117">
        <v>4</v>
      </c>
      <c r="AL179" s="117">
        <v>0</v>
      </c>
      <c r="AM179" s="117">
        <v>12</v>
      </c>
      <c r="AN179" s="117">
        <v>23</v>
      </c>
      <c r="AO179" s="117">
        <v>0</v>
      </c>
      <c r="AP179" s="117">
        <v>4</v>
      </c>
      <c r="AQ179" s="117">
        <v>36</v>
      </c>
    </row>
    <row r="180" spans="1:43" s="118" customFormat="1" ht="13.5" customHeight="1">
      <c r="A180" s="119">
        <v>185</v>
      </c>
      <c r="B180" s="76" t="s">
        <v>398</v>
      </c>
      <c r="C180" s="75" t="s">
        <v>882</v>
      </c>
      <c r="D180" s="77" t="s">
        <v>883</v>
      </c>
      <c r="E180" s="77" t="s">
        <v>940</v>
      </c>
      <c r="F180" s="120" t="s">
        <v>961</v>
      </c>
      <c r="G180" s="76" t="s">
        <v>399</v>
      </c>
      <c r="H180" s="121" t="s">
        <v>843</v>
      </c>
      <c r="I180" s="122" t="s">
        <v>842</v>
      </c>
      <c r="J180" s="123" t="s">
        <v>885</v>
      </c>
      <c r="K180" s="124">
        <v>2</v>
      </c>
      <c r="L180" s="117">
        <v>1</v>
      </c>
      <c r="M180" s="117">
        <v>1</v>
      </c>
      <c r="N180" s="116">
        <v>14</v>
      </c>
      <c r="O180" s="116">
        <v>5</v>
      </c>
      <c r="P180" s="116">
        <v>0</v>
      </c>
      <c r="Q180" s="116">
        <v>0</v>
      </c>
      <c r="R180" s="116">
        <v>0</v>
      </c>
      <c r="S180" s="116">
        <v>0</v>
      </c>
      <c r="T180" s="116">
        <v>1</v>
      </c>
      <c r="U180" s="116">
        <v>1</v>
      </c>
      <c r="V180" s="116">
        <v>0</v>
      </c>
      <c r="W180" s="116">
        <v>1</v>
      </c>
      <c r="X180" s="116">
        <v>0</v>
      </c>
      <c r="Y180" s="116">
        <v>0</v>
      </c>
      <c r="Z180" s="116">
        <v>11</v>
      </c>
      <c r="AA180" s="116">
        <v>3</v>
      </c>
      <c r="AB180" s="116">
        <v>0</v>
      </c>
      <c r="AC180" s="116">
        <v>0</v>
      </c>
      <c r="AD180" s="116">
        <v>0</v>
      </c>
      <c r="AE180" s="116">
        <v>0</v>
      </c>
      <c r="AF180" s="116">
        <v>0</v>
      </c>
      <c r="AG180" s="116">
        <v>0</v>
      </c>
      <c r="AH180" s="116">
        <v>0</v>
      </c>
      <c r="AI180" s="116">
        <v>1</v>
      </c>
      <c r="AJ180" s="117">
        <v>1</v>
      </c>
      <c r="AK180" s="117">
        <v>9</v>
      </c>
      <c r="AL180" s="117">
        <v>0</v>
      </c>
      <c r="AM180" s="117">
        <v>17</v>
      </c>
      <c r="AN180" s="117">
        <v>33</v>
      </c>
      <c r="AO180" s="117">
        <v>0</v>
      </c>
      <c r="AP180" s="117">
        <v>5</v>
      </c>
      <c r="AQ180" s="117">
        <v>53</v>
      </c>
    </row>
    <row r="181" spans="1:43" s="118" customFormat="1" ht="13.5" customHeight="1">
      <c r="A181" s="119">
        <v>186</v>
      </c>
      <c r="B181" s="76" t="s">
        <v>597</v>
      </c>
      <c r="C181" s="75" t="s">
        <v>882</v>
      </c>
      <c r="D181" s="77" t="s">
        <v>883</v>
      </c>
      <c r="E181" s="77" t="s">
        <v>940</v>
      </c>
      <c r="F181" s="120" t="s">
        <v>961</v>
      </c>
      <c r="G181" s="76" t="s">
        <v>598</v>
      </c>
      <c r="H181" s="121" t="s">
        <v>843</v>
      </c>
      <c r="I181" s="122"/>
      <c r="J181" s="123" t="s">
        <v>888</v>
      </c>
      <c r="K181" s="124">
        <v>2</v>
      </c>
      <c r="L181" s="117">
        <v>1</v>
      </c>
      <c r="M181" s="117">
        <v>1</v>
      </c>
      <c r="N181" s="116">
        <v>6</v>
      </c>
      <c r="O181" s="116">
        <v>1</v>
      </c>
      <c r="P181" s="116">
        <v>0</v>
      </c>
      <c r="Q181" s="116">
        <v>3</v>
      </c>
      <c r="R181" s="116">
        <v>1</v>
      </c>
      <c r="S181" s="116">
        <v>0</v>
      </c>
      <c r="T181" s="116">
        <v>0</v>
      </c>
      <c r="U181" s="116">
        <v>0</v>
      </c>
      <c r="V181" s="116">
        <v>0</v>
      </c>
      <c r="W181" s="116">
        <v>1</v>
      </c>
      <c r="X181" s="116">
        <v>0</v>
      </c>
      <c r="Y181" s="116">
        <v>0</v>
      </c>
      <c r="Z181" s="116">
        <v>7</v>
      </c>
      <c r="AA181" s="116">
        <v>1</v>
      </c>
      <c r="AB181" s="116">
        <v>0</v>
      </c>
      <c r="AC181" s="116">
        <v>0</v>
      </c>
      <c r="AD181" s="116">
        <v>0</v>
      </c>
      <c r="AE181" s="116">
        <v>0</v>
      </c>
      <c r="AF181" s="116">
        <v>0</v>
      </c>
      <c r="AG181" s="116">
        <v>0</v>
      </c>
      <c r="AH181" s="116">
        <v>0</v>
      </c>
      <c r="AI181" s="116">
        <v>1</v>
      </c>
      <c r="AJ181" s="117">
        <v>1</v>
      </c>
      <c r="AK181" s="117">
        <v>1</v>
      </c>
      <c r="AL181" s="117">
        <v>0</v>
      </c>
      <c r="AM181" s="117">
        <v>4</v>
      </c>
      <c r="AN181" s="117">
        <v>6</v>
      </c>
      <c r="AO181" s="117">
        <v>0</v>
      </c>
      <c r="AP181" s="117">
        <v>1</v>
      </c>
      <c r="AQ181" s="117">
        <v>11</v>
      </c>
    </row>
    <row r="182" spans="1:43" s="118" customFormat="1" ht="13.5" customHeight="1">
      <c r="A182" s="119">
        <v>187</v>
      </c>
      <c r="B182" s="76" t="s">
        <v>10</v>
      </c>
      <c r="C182" s="75" t="s">
        <v>882</v>
      </c>
      <c r="D182" s="77" t="s">
        <v>883</v>
      </c>
      <c r="E182" s="77" t="s">
        <v>940</v>
      </c>
      <c r="F182" s="120" t="s">
        <v>962</v>
      </c>
      <c r="G182" s="76" t="s">
        <v>11</v>
      </c>
      <c r="H182" s="121" t="s">
        <v>843</v>
      </c>
      <c r="I182" s="122"/>
      <c r="J182" s="123" t="s">
        <v>888</v>
      </c>
      <c r="K182" s="124">
        <v>2</v>
      </c>
      <c r="L182" s="117">
        <v>1</v>
      </c>
      <c r="M182" s="117">
        <v>1</v>
      </c>
      <c r="N182" s="116">
        <v>21</v>
      </c>
      <c r="O182" s="116">
        <v>22</v>
      </c>
      <c r="P182" s="116">
        <v>0</v>
      </c>
      <c r="Q182" s="116">
        <v>0</v>
      </c>
      <c r="R182" s="116">
        <v>0</v>
      </c>
      <c r="S182" s="116">
        <v>0</v>
      </c>
      <c r="T182" s="116">
        <v>2</v>
      </c>
      <c r="U182" s="116">
        <v>2</v>
      </c>
      <c r="V182" s="116">
        <v>0</v>
      </c>
      <c r="W182" s="116">
        <v>0</v>
      </c>
      <c r="X182" s="116">
        <v>0</v>
      </c>
      <c r="Y182" s="116">
        <v>0</v>
      </c>
      <c r="Z182" s="116">
        <v>18</v>
      </c>
      <c r="AA182" s="116">
        <v>19</v>
      </c>
      <c r="AB182" s="116">
        <v>0</v>
      </c>
      <c r="AC182" s="116">
        <v>0</v>
      </c>
      <c r="AD182" s="116">
        <v>0</v>
      </c>
      <c r="AE182" s="116">
        <v>0</v>
      </c>
      <c r="AF182" s="116">
        <v>0</v>
      </c>
      <c r="AG182" s="116">
        <v>0</v>
      </c>
      <c r="AH182" s="116">
        <v>0</v>
      </c>
      <c r="AI182" s="116">
        <v>1</v>
      </c>
      <c r="AJ182" s="117">
        <v>0</v>
      </c>
      <c r="AK182" s="117">
        <v>8</v>
      </c>
      <c r="AL182" s="117">
        <v>0</v>
      </c>
      <c r="AM182" s="117">
        <v>0</v>
      </c>
      <c r="AN182" s="117">
        <v>58</v>
      </c>
      <c r="AO182" s="117">
        <v>0</v>
      </c>
      <c r="AP182" s="117">
        <v>6</v>
      </c>
      <c r="AQ182" s="117">
        <v>60</v>
      </c>
    </row>
    <row r="183" spans="1:43" s="118" customFormat="1" ht="13.5" customHeight="1">
      <c r="A183" s="119">
        <v>188</v>
      </c>
      <c r="B183" s="76" t="s">
        <v>133</v>
      </c>
      <c r="C183" s="75" t="s">
        <v>882</v>
      </c>
      <c r="D183" s="77" t="s">
        <v>883</v>
      </c>
      <c r="E183" s="77" t="s">
        <v>940</v>
      </c>
      <c r="F183" s="120" t="s">
        <v>962</v>
      </c>
      <c r="G183" s="76" t="s">
        <v>134</v>
      </c>
      <c r="H183" s="121" t="s">
        <v>843</v>
      </c>
      <c r="I183" s="122"/>
      <c r="J183" s="123" t="s">
        <v>888</v>
      </c>
      <c r="K183" s="124">
        <v>2</v>
      </c>
      <c r="L183" s="117">
        <v>1</v>
      </c>
      <c r="M183" s="117">
        <v>1</v>
      </c>
      <c r="N183" s="116">
        <v>15</v>
      </c>
      <c r="O183" s="116">
        <v>7</v>
      </c>
      <c r="P183" s="116">
        <v>0</v>
      </c>
      <c r="Q183" s="116">
        <v>0</v>
      </c>
      <c r="R183" s="116">
        <v>1</v>
      </c>
      <c r="S183" s="116">
        <v>0</v>
      </c>
      <c r="T183" s="116">
        <v>1</v>
      </c>
      <c r="U183" s="116">
        <v>1</v>
      </c>
      <c r="V183" s="116">
        <v>0</v>
      </c>
      <c r="W183" s="116">
        <v>1</v>
      </c>
      <c r="X183" s="116">
        <v>0</v>
      </c>
      <c r="Y183" s="116">
        <v>0</v>
      </c>
      <c r="Z183" s="116">
        <v>12</v>
      </c>
      <c r="AA183" s="116">
        <v>6</v>
      </c>
      <c r="AB183" s="116">
        <v>0</v>
      </c>
      <c r="AC183" s="116">
        <v>0</v>
      </c>
      <c r="AD183" s="116">
        <v>0</v>
      </c>
      <c r="AE183" s="116">
        <v>0</v>
      </c>
      <c r="AF183" s="116">
        <v>0</v>
      </c>
      <c r="AG183" s="116">
        <v>0</v>
      </c>
      <c r="AH183" s="116">
        <v>0</v>
      </c>
      <c r="AI183" s="116">
        <v>1</v>
      </c>
      <c r="AJ183" s="117">
        <v>0</v>
      </c>
      <c r="AK183" s="117">
        <v>8</v>
      </c>
      <c r="AL183" s="117">
        <v>0</v>
      </c>
      <c r="AM183" s="117">
        <v>0</v>
      </c>
      <c r="AN183" s="117">
        <v>57</v>
      </c>
      <c r="AO183" s="117">
        <v>0</v>
      </c>
      <c r="AP183" s="117">
        <v>4</v>
      </c>
      <c r="AQ183" s="117">
        <v>59</v>
      </c>
    </row>
    <row r="184" spans="1:43" s="118" customFormat="1" ht="13.5" customHeight="1">
      <c r="A184" s="119">
        <v>189</v>
      </c>
      <c r="B184" s="76" t="s">
        <v>289</v>
      </c>
      <c r="C184" s="75" t="s">
        <v>882</v>
      </c>
      <c r="D184" s="77" t="s">
        <v>883</v>
      </c>
      <c r="E184" s="77" t="s">
        <v>940</v>
      </c>
      <c r="F184" s="120" t="s">
        <v>960</v>
      </c>
      <c r="G184" s="76" t="s">
        <v>290</v>
      </c>
      <c r="H184" s="121" t="s">
        <v>843</v>
      </c>
      <c r="I184" s="122"/>
      <c r="J184" s="123" t="s">
        <v>888</v>
      </c>
      <c r="K184" s="124">
        <v>2</v>
      </c>
      <c r="L184" s="117">
        <v>1</v>
      </c>
      <c r="M184" s="117">
        <v>1</v>
      </c>
      <c r="N184" s="116">
        <v>11</v>
      </c>
      <c r="O184" s="116">
        <v>5</v>
      </c>
      <c r="P184" s="116">
        <v>0</v>
      </c>
      <c r="Q184" s="116">
        <v>2</v>
      </c>
      <c r="R184" s="116">
        <v>0</v>
      </c>
      <c r="S184" s="116">
        <v>0</v>
      </c>
      <c r="T184" s="116">
        <v>0</v>
      </c>
      <c r="U184" s="116">
        <v>0</v>
      </c>
      <c r="V184" s="116">
        <v>0</v>
      </c>
      <c r="W184" s="116">
        <v>4</v>
      </c>
      <c r="X184" s="116">
        <v>1</v>
      </c>
      <c r="Y184" s="116">
        <v>0</v>
      </c>
      <c r="Z184" s="116">
        <v>7</v>
      </c>
      <c r="AA184" s="116">
        <v>3</v>
      </c>
      <c r="AB184" s="116">
        <v>0</v>
      </c>
      <c r="AC184" s="116">
        <v>0</v>
      </c>
      <c r="AD184" s="116">
        <v>0</v>
      </c>
      <c r="AE184" s="116">
        <v>0</v>
      </c>
      <c r="AF184" s="116">
        <v>0</v>
      </c>
      <c r="AG184" s="116">
        <v>0</v>
      </c>
      <c r="AH184" s="116">
        <v>0</v>
      </c>
      <c r="AI184" s="116">
        <v>1</v>
      </c>
      <c r="AJ184" s="117">
        <v>0</v>
      </c>
      <c r="AK184" s="117">
        <v>5</v>
      </c>
      <c r="AL184" s="117">
        <v>0</v>
      </c>
      <c r="AM184" s="117">
        <v>0</v>
      </c>
      <c r="AN184" s="117">
        <v>36</v>
      </c>
      <c r="AO184" s="117">
        <v>0</v>
      </c>
      <c r="AP184" s="117">
        <v>4</v>
      </c>
      <c r="AQ184" s="117">
        <v>37</v>
      </c>
    </row>
    <row r="185" spans="1:43" s="118" customFormat="1" ht="13.5" customHeight="1">
      <c r="A185" s="119">
        <v>190</v>
      </c>
      <c r="B185" s="76" t="s">
        <v>404</v>
      </c>
      <c r="C185" s="75" t="s">
        <v>882</v>
      </c>
      <c r="D185" s="77" t="s">
        <v>883</v>
      </c>
      <c r="E185" s="77" t="s">
        <v>940</v>
      </c>
      <c r="F185" s="120" t="s">
        <v>961</v>
      </c>
      <c r="G185" s="76" t="s">
        <v>405</v>
      </c>
      <c r="H185" s="121" t="s">
        <v>843</v>
      </c>
      <c r="I185" s="122" t="s">
        <v>842</v>
      </c>
      <c r="J185" s="123" t="s">
        <v>885</v>
      </c>
      <c r="K185" s="124">
        <v>2</v>
      </c>
      <c r="L185" s="117">
        <v>1</v>
      </c>
      <c r="M185" s="117">
        <v>1</v>
      </c>
      <c r="N185" s="116">
        <v>5</v>
      </c>
      <c r="O185" s="116">
        <v>1</v>
      </c>
      <c r="P185" s="116">
        <v>0</v>
      </c>
      <c r="Q185" s="116">
        <v>3</v>
      </c>
      <c r="R185" s="116">
        <v>3</v>
      </c>
      <c r="S185" s="116">
        <v>0</v>
      </c>
      <c r="T185" s="116">
        <v>1</v>
      </c>
      <c r="U185" s="116">
        <v>0</v>
      </c>
      <c r="V185" s="116">
        <v>0</v>
      </c>
      <c r="W185" s="116">
        <v>0</v>
      </c>
      <c r="X185" s="116">
        <v>0</v>
      </c>
      <c r="Y185" s="116">
        <v>0</v>
      </c>
      <c r="Z185" s="116">
        <v>6</v>
      </c>
      <c r="AA185" s="116">
        <v>3</v>
      </c>
      <c r="AB185" s="116">
        <v>0</v>
      </c>
      <c r="AC185" s="116">
        <v>0</v>
      </c>
      <c r="AD185" s="116">
        <v>0</v>
      </c>
      <c r="AE185" s="116">
        <v>0</v>
      </c>
      <c r="AF185" s="116">
        <v>0</v>
      </c>
      <c r="AG185" s="116">
        <v>0</v>
      </c>
      <c r="AH185" s="116">
        <v>0</v>
      </c>
      <c r="AI185" s="116">
        <v>1</v>
      </c>
      <c r="AJ185" s="117">
        <v>0</v>
      </c>
      <c r="AK185" s="117">
        <v>5</v>
      </c>
      <c r="AL185" s="117">
        <v>0</v>
      </c>
      <c r="AM185" s="117">
        <v>19</v>
      </c>
      <c r="AN185" s="117">
        <v>18</v>
      </c>
      <c r="AO185" s="117">
        <v>0</v>
      </c>
      <c r="AP185" s="117">
        <v>2</v>
      </c>
      <c r="AQ185" s="117">
        <v>40</v>
      </c>
    </row>
    <row r="186" spans="1:43" s="118" customFormat="1" ht="13.5" customHeight="1">
      <c r="A186" s="119">
        <v>191</v>
      </c>
      <c r="B186" s="76" t="s">
        <v>599</v>
      </c>
      <c r="C186" s="75" t="s">
        <v>882</v>
      </c>
      <c r="D186" s="77" t="s">
        <v>883</v>
      </c>
      <c r="E186" s="77" t="s">
        <v>940</v>
      </c>
      <c r="F186" s="120" t="s">
        <v>961</v>
      </c>
      <c r="G186" s="76" t="s">
        <v>600</v>
      </c>
      <c r="H186" s="121" t="s">
        <v>843</v>
      </c>
      <c r="I186" s="122"/>
      <c r="J186" s="123" t="s">
        <v>885</v>
      </c>
      <c r="K186" s="124">
        <v>2</v>
      </c>
      <c r="L186" s="117">
        <v>1</v>
      </c>
      <c r="M186" s="117">
        <v>1</v>
      </c>
      <c r="N186" s="116">
        <v>6</v>
      </c>
      <c r="O186" s="116">
        <v>3</v>
      </c>
      <c r="P186" s="116">
        <v>0</v>
      </c>
      <c r="Q186" s="116">
        <v>0</v>
      </c>
      <c r="R186" s="116">
        <v>0</v>
      </c>
      <c r="S186" s="116">
        <v>0</v>
      </c>
      <c r="T186" s="116">
        <v>1</v>
      </c>
      <c r="U186" s="116">
        <v>0</v>
      </c>
      <c r="V186" s="116">
        <v>0</v>
      </c>
      <c r="W186" s="116">
        <v>0</v>
      </c>
      <c r="X186" s="116">
        <v>0</v>
      </c>
      <c r="Y186" s="116">
        <v>0</v>
      </c>
      <c r="Z186" s="116">
        <v>4</v>
      </c>
      <c r="AA186" s="116">
        <v>2</v>
      </c>
      <c r="AB186" s="116">
        <v>0</v>
      </c>
      <c r="AC186" s="116">
        <v>0</v>
      </c>
      <c r="AD186" s="116">
        <v>0</v>
      </c>
      <c r="AE186" s="116">
        <v>0</v>
      </c>
      <c r="AF186" s="116">
        <v>0</v>
      </c>
      <c r="AG186" s="116">
        <v>0</v>
      </c>
      <c r="AH186" s="116">
        <v>0</v>
      </c>
      <c r="AI186" s="116">
        <v>1</v>
      </c>
      <c r="AJ186" s="117">
        <v>0</v>
      </c>
      <c r="AK186" s="117">
        <v>2</v>
      </c>
      <c r="AL186" s="117">
        <v>0</v>
      </c>
      <c r="AM186" s="117">
        <v>5</v>
      </c>
      <c r="AN186" s="117">
        <v>5</v>
      </c>
      <c r="AO186" s="117">
        <v>1</v>
      </c>
      <c r="AP186" s="117">
        <v>0</v>
      </c>
      <c r="AQ186" s="117">
        <v>11</v>
      </c>
    </row>
    <row r="187" spans="1:43" s="118" customFormat="1" ht="13.5" customHeight="1">
      <c r="A187" s="119">
        <v>192</v>
      </c>
      <c r="B187" s="76" t="s">
        <v>613</v>
      </c>
      <c r="C187" s="75" t="s">
        <v>882</v>
      </c>
      <c r="D187" s="77" t="s">
        <v>883</v>
      </c>
      <c r="E187" s="77" t="s">
        <v>940</v>
      </c>
      <c r="F187" s="120" t="s">
        <v>961</v>
      </c>
      <c r="G187" s="76" t="s">
        <v>614</v>
      </c>
      <c r="H187" s="121" t="s">
        <v>843</v>
      </c>
      <c r="I187" s="122" t="s">
        <v>842</v>
      </c>
      <c r="J187" s="123" t="s">
        <v>888</v>
      </c>
      <c r="K187" s="124">
        <v>2</v>
      </c>
      <c r="L187" s="117">
        <v>1</v>
      </c>
      <c r="M187" s="117">
        <v>1</v>
      </c>
      <c r="N187" s="116">
        <v>5</v>
      </c>
      <c r="O187" s="116">
        <v>2</v>
      </c>
      <c r="P187" s="116">
        <v>0</v>
      </c>
      <c r="Q187" s="116">
        <v>6</v>
      </c>
      <c r="R187" s="116">
        <v>3</v>
      </c>
      <c r="S187" s="116">
        <v>0</v>
      </c>
      <c r="T187" s="116">
        <v>0</v>
      </c>
      <c r="U187" s="116">
        <v>0</v>
      </c>
      <c r="V187" s="116">
        <v>0</v>
      </c>
      <c r="W187" s="116">
        <v>0</v>
      </c>
      <c r="X187" s="116">
        <v>0</v>
      </c>
      <c r="Y187" s="116">
        <v>0</v>
      </c>
      <c r="Z187" s="116">
        <v>10</v>
      </c>
      <c r="AA187" s="116">
        <v>4</v>
      </c>
      <c r="AB187" s="116">
        <v>0</v>
      </c>
      <c r="AC187" s="116">
        <v>0</v>
      </c>
      <c r="AD187" s="116">
        <v>0</v>
      </c>
      <c r="AE187" s="116">
        <v>0</v>
      </c>
      <c r="AF187" s="116">
        <v>0</v>
      </c>
      <c r="AG187" s="116">
        <v>0</v>
      </c>
      <c r="AH187" s="116">
        <v>0</v>
      </c>
      <c r="AI187" s="116">
        <v>1</v>
      </c>
      <c r="AJ187" s="117">
        <v>1</v>
      </c>
      <c r="AK187" s="117">
        <v>5</v>
      </c>
      <c r="AL187" s="117">
        <v>0</v>
      </c>
      <c r="AM187" s="117">
        <v>13</v>
      </c>
      <c r="AN187" s="117">
        <v>30</v>
      </c>
      <c r="AO187" s="117">
        <v>0</v>
      </c>
      <c r="AP187" s="117">
        <v>3</v>
      </c>
      <c r="AQ187" s="117">
        <v>46</v>
      </c>
    </row>
    <row r="188" spans="1:43" s="118" customFormat="1" ht="13.5" customHeight="1">
      <c r="A188" s="119">
        <v>193</v>
      </c>
      <c r="B188" s="76" t="s">
        <v>15</v>
      </c>
      <c r="C188" s="75" t="s">
        <v>882</v>
      </c>
      <c r="D188" s="77" t="s">
        <v>883</v>
      </c>
      <c r="E188" s="77" t="s">
        <v>940</v>
      </c>
      <c r="F188" s="120" t="s">
        <v>962</v>
      </c>
      <c r="G188" s="76" t="s">
        <v>16</v>
      </c>
      <c r="H188" s="121" t="s">
        <v>843</v>
      </c>
      <c r="I188" s="122"/>
      <c r="J188" s="123" t="s">
        <v>885</v>
      </c>
      <c r="K188" s="124">
        <v>2</v>
      </c>
      <c r="L188" s="117">
        <v>1</v>
      </c>
      <c r="M188" s="117">
        <v>1</v>
      </c>
      <c r="N188" s="116">
        <v>14</v>
      </c>
      <c r="O188" s="116">
        <v>8</v>
      </c>
      <c r="P188" s="116">
        <v>0</v>
      </c>
      <c r="Q188" s="116">
        <v>0</v>
      </c>
      <c r="R188" s="116">
        <v>11</v>
      </c>
      <c r="S188" s="116">
        <v>0</v>
      </c>
      <c r="T188" s="116">
        <v>5</v>
      </c>
      <c r="U188" s="116">
        <v>4</v>
      </c>
      <c r="V188" s="116">
        <v>0</v>
      </c>
      <c r="W188" s="116">
        <v>0</v>
      </c>
      <c r="X188" s="116">
        <v>0</v>
      </c>
      <c r="Y188" s="116">
        <v>0</v>
      </c>
      <c r="Z188" s="116">
        <v>8</v>
      </c>
      <c r="AA188" s="116">
        <v>14</v>
      </c>
      <c r="AB188" s="116">
        <v>0</v>
      </c>
      <c r="AC188" s="116">
        <v>0</v>
      </c>
      <c r="AD188" s="116">
        <v>0</v>
      </c>
      <c r="AE188" s="116">
        <v>0</v>
      </c>
      <c r="AF188" s="116">
        <v>0</v>
      </c>
      <c r="AG188" s="116">
        <v>0</v>
      </c>
      <c r="AH188" s="116">
        <v>0</v>
      </c>
      <c r="AI188" s="116">
        <v>1</v>
      </c>
      <c r="AJ188" s="117">
        <v>0</v>
      </c>
      <c r="AK188" s="117">
        <v>15</v>
      </c>
      <c r="AL188" s="117">
        <v>0</v>
      </c>
      <c r="AM188" s="117">
        <v>0</v>
      </c>
      <c r="AN188" s="117">
        <v>91</v>
      </c>
      <c r="AO188" s="117">
        <v>0</v>
      </c>
      <c r="AP188" s="117">
        <v>15</v>
      </c>
      <c r="AQ188" s="117">
        <v>91</v>
      </c>
    </row>
    <row r="189" spans="1:43" s="118" customFormat="1" ht="13.5" customHeight="1">
      <c r="A189" s="119">
        <v>194</v>
      </c>
      <c r="B189" s="76" t="s">
        <v>298</v>
      </c>
      <c r="C189" s="75" t="s">
        <v>882</v>
      </c>
      <c r="D189" s="77" t="s">
        <v>883</v>
      </c>
      <c r="E189" s="77" t="s">
        <v>940</v>
      </c>
      <c r="F189" s="120" t="s">
        <v>960</v>
      </c>
      <c r="G189" s="76" t="s">
        <v>299</v>
      </c>
      <c r="H189" s="121" t="s">
        <v>843</v>
      </c>
      <c r="I189" s="122" t="s">
        <v>842</v>
      </c>
      <c r="J189" s="123" t="s">
        <v>888</v>
      </c>
      <c r="K189" s="124">
        <v>2</v>
      </c>
      <c r="L189" s="117">
        <v>2</v>
      </c>
      <c r="M189" s="117">
        <v>1</v>
      </c>
      <c r="N189" s="116">
        <v>7</v>
      </c>
      <c r="O189" s="116">
        <v>4</v>
      </c>
      <c r="P189" s="116">
        <v>0</v>
      </c>
      <c r="Q189" s="116">
        <v>3</v>
      </c>
      <c r="R189" s="116">
        <v>0</v>
      </c>
      <c r="S189" s="116">
        <v>0</v>
      </c>
      <c r="T189" s="116">
        <v>0</v>
      </c>
      <c r="U189" s="116">
        <v>0</v>
      </c>
      <c r="V189" s="116">
        <v>0</v>
      </c>
      <c r="W189" s="116">
        <v>0</v>
      </c>
      <c r="X189" s="116">
        <v>0</v>
      </c>
      <c r="Y189" s="116">
        <v>0</v>
      </c>
      <c r="Z189" s="116">
        <v>9</v>
      </c>
      <c r="AA189" s="116">
        <v>3</v>
      </c>
      <c r="AB189" s="116">
        <v>0</v>
      </c>
      <c r="AC189" s="116">
        <v>0</v>
      </c>
      <c r="AD189" s="116">
        <v>0</v>
      </c>
      <c r="AE189" s="116">
        <v>0</v>
      </c>
      <c r="AF189" s="116">
        <v>0</v>
      </c>
      <c r="AG189" s="116">
        <v>0</v>
      </c>
      <c r="AH189" s="116">
        <v>0</v>
      </c>
      <c r="AI189" s="116">
        <v>1</v>
      </c>
      <c r="AJ189" s="117">
        <v>0</v>
      </c>
      <c r="AK189" s="117">
        <v>7</v>
      </c>
      <c r="AL189" s="117">
        <v>0</v>
      </c>
      <c r="AM189" s="117">
        <v>0</v>
      </c>
      <c r="AN189" s="117">
        <v>41</v>
      </c>
      <c r="AO189" s="117">
        <v>0</v>
      </c>
      <c r="AP189" s="117">
        <v>6</v>
      </c>
      <c r="AQ189" s="117">
        <v>42</v>
      </c>
    </row>
    <row r="190" spans="1:43" s="118" customFormat="1" ht="13.5" customHeight="1">
      <c r="A190" s="119">
        <v>195</v>
      </c>
      <c r="B190" s="76" t="s">
        <v>416</v>
      </c>
      <c r="C190" s="75" t="s">
        <v>882</v>
      </c>
      <c r="D190" s="77" t="s">
        <v>883</v>
      </c>
      <c r="E190" s="77" t="s">
        <v>940</v>
      </c>
      <c r="F190" s="120" t="s">
        <v>961</v>
      </c>
      <c r="G190" s="76" t="s">
        <v>417</v>
      </c>
      <c r="H190" s="121" t="s">
        <v>843</v>
      </c>
      <c r="I190" s="122" t="s">
        <v>842</v>
      </c>
      <c r="J190" s="123" t="s">
        <v>885</v>
      </c>
      <c r="K190" s="124">
        <v>2</v>
      </c>
      <c r="L190" s="117">
        <v>0</v>
      </c>
      <c r="M190" s="117">
        <v>0</v>
      </c>
      <c r="N190" s="116">
        <v>11</v>
      </c>
      <c r="O190" s="116">
        <v>3</v>
      </c>
      <c r="P190" s="116">
        <v>1</v>
      </c>
      <c r="Q190" s="116">
        <v>1</v>
      </c>
      <c r="R190" s="116">
        <v>0</v>
      </c>
      <c r="S190" s="116">
        <v>0</v>
      </c>
      <c r="T190" s="116">
        <v>1</v>
      </c>
      <c r="U190" s="116">
        <v>1</v>
      </c>
      <c r="V190" s="116">
        <v>0</v>
      </c>
      <c r="W190" s="116">
        <v>1</v>
      </c>
      <c r="X190" s="116">
        <v>0</v>
      </c>
      <c r="Y190" s="116">
        <v>0</v>
      </c>
      <c r="Z190" s="116">
        <v>8</v>
      </c>
      <c r="AA190" s="116">
        <v>2</v>
      </c>
      <c r="AB190" s="116">
        <v>3</v>
      </c>
      <c r="AC190" s="116">
        <v>0</v>
      </c>
      <c r="AD190" s="116">
        <v>0</v>
      </c>
      <c r="AE190" s="116">
        <v>0</v>
      </c>
      <c r="AF190" s="116">
        <v>0</v>
      </c>
      <c r="AG190" s="116">
        <v>0</v>
      </c>
      <c r="AH190" s="116">
        <v>0</v>
      </c>
      <c r="AI190" s="116">
        <v>1</v>
      </c>
      <c r="AJ190" s="117">
        <v>1</v>
      </c>
      <c r="AK190" s="117">
        <v>5</v>
      </c>
      <c r="AL190" s="117">
        <v>0</v>
      </c>
      <c r="AM190" s="117">
        <v>9</v>
      </c>
      <c r="AN190" s="117">
        <v>28</v>
      </c>
      <c r="AO190" s="117">
        <v>3</v>
      </c>
      <c r="AP190" s="117">
        <v>1</v>
      </c>
      <c r="AQ190" s="117">
        <v>39</v>
      </c>
    </row>
    <row r="191" spans="1:43" s="118" customFormat="1" ht="13.5" customHeight="1">
      <c r="A191" s="119">
        <v>196</v>
      </c>
      <c r="B191" s="76" t="s">
        <v>419</v>
      </c>
      <c r="C191" s="75" t="s">
        <v>882</v>
      </c>
      <c r="D191" s="77" t="s">
        <v>883</v>
      </c>
      <c r="E191" s="77" t="s">
        <v>940</v>
      </c>
      <c r="F191" s="120" t="s">
        <v>961</v>
      </c>
      <c r="G191" s="76" t="s">
        <v>420</v>
      </c>
      <c r="H191" s="121" t="s">
        <v>843</v>
      </c>
      <c r="I191" s="122"/>
      <c r="J191" s="123" t="s">
        <v>888</v>
      </c>
      <c r="K191" s="124">
        <v>2</v>
      </c>
      <c r="L191" s="117">
        <v>1</v>
      </c>
      <c r="M191" s="117">
        <v>1</v>
      </c>
      <c r="N191" s="116">
        <v>6</v>
      </c>
      <c r="O191" s="116">
        <v>2</v>
      </c>
      <c r="P191" s="116">
        <v>0</v>
      </c>
      <c r="Q191" s="116">
        <v>3</v>
      </c>
      <c r="R191" s="116">
        <v>3</v>
      </c>
      <c r="S191" s="116">
        <v>0</v>
      </c>
      <c r="T191" s="116">
        <v>0</v>
      </c>
      <c r="U191" s="116">
        <v>0</v>
      </c>
      <c r="V191" s="116">
        <v>0</v>
      </c>
      <c r="W191" s="116">
        <v>0</v>
      </c>
      <c r="X191" s="116">
        <v>0</v>
      </c>
      <c r="Y191" s="116">
        <v>0</v>
      </c>
      <c r="Z191" s="116">
        <v>0</v>
      </c>
      <c r="AA191" s="116">
        <v>0</v>
      </c>
      <c r="AB191" s="116">
        <v>0</v>
      </c>
      <c r="AC191" s="116">
        <v>0</v>
      </c>
      <c r="AD191" s="116">
        <v>0</v>
      </c>
      <c r="AE191" s="116">
        <v>0</v>
      </c>
      <c r="AF191" s="116">
        <v>8</v>
      </c>
      <c r="AG191" s="116">
        <v>4</v>
      </c>
      <c r="AH191" s="116">
        <v>0</v>
      </c>
      <c r="AI191" s="116">
        <v>1</v>
      </c>
      <c r="AJ191" s="117">
        <v>1</v>
      </c>
      <c r="AK191" s="117">
        <v>4</v>
      </c>
      <c r="AL191" s="117">
        <v>0</v>
      </c>
      <c r="AM191" s="117">
        <v>16</v>
      </c>
      <c r="AN191" s="117">
        <v>13</v>
      </c>
      <c r="AO191" s="117">
        <v>0</v>
      </c>
      <c r="AP191" s="117">
        <v>3</v>
      </c>
      <c r="AQ191" s="117">
        <v>31</v>
      </c>
    </row>
    <row r="192" spans="1:43" s="118" customFormat="1" ht="13.5" customHeight="1">
      <c r="A192" s="119">
        <v>197</v>
      </c>
      <c r="B192" s="76" t="s">
        <v>93</v>
      </c>
      <c r="C192" s="75" t="s">
        <v>882</v>
      </c>
      <c r="D192" s="77" t="s">
        <v>883</v>
      </c>
      <c r="E192" s="77" t="s">
        <v>940</v>
      </c>
      <c r="F192" s="120" t="s">
        <v>962</v>
      </c>
      <c r="G192" s="76" t="s">
        <v>94</v>
      </c>
      <c r="H192" s="121" t="s">
        <v>843</v>
      </c>
      <c r="I192" s="122" t="s">
        <v>842</v>
      </c>
      <c r="J192" s="123" t="s">
        <v>888</v>
      </c>
      <c r="K192" s="124">
        <v>2</v>
      </c>
      <c r="L192" s="117">
        <v>1</v>
      </c>
      <c r="M192" s="117">
        <v>1</v>
      </c>
      <c r="N192" s="116">
        <v>20</v>
      </c>
      <c r="O192" s="116">
        <v>13</v>
      </c>
      <c r="P192" s="116">
        <v>0</v>
      </c>
      <c r="Q192" s="116">
        <v>5</v>
      </c>
      <c r="R192" s="116">
        <v>2</v>
      </c>
      <c r="S192" s="116">
        <v>0</v>
      </c>
      <c r="T192" s="116">
        <v>1</v>
      </c>
      <c r="U192" s="116">
        <v>1</v>
      </c>
      <c r="V192" s="116">
        <v>0</v>
      </c>
      <c r="W192" s="116">
        <v>0</v>
      </c>
      <c r="X192" s="116">
        <v>0</v>
      </c>
      <c r="Y192" s="116">
        <v>0</v>
      </c>
      <c r="Z192" s="116">
        <v>24</v>
      </c>
      <c r="AA192" s="116">
        <v>13</v>
      </c>
      <c r="AB192" s="116">
        <v>0</v>
      </c>
      <c r="AC192" s="116">
        <v>0</v>
      </c>
      <c r="AD192" s="116">
        <v>0</v>
      </c>
      <c r="AE192" s="116">
        <v>0</v>
      </c>
      <c r="AF192" s="116">
        <v>0</v>
      </c>
      <c r="AG192" s="116">
        <v>0</v>
      </c>
      <c r="AH192" s="116">
        <v>0</v>
      </c>
      <c r="AI192" s="116">
        <v>1</v>
      </c>
      <c r="AJ192" s="117">
        <v>0</v>
      </c>
      <c r="AK192" s="117">
        <v>7</v>
      </c>
      <c r="AL192" s="117">
        <v>0</v>
      </c>
      <c r="AM192" s="117">
        <v>0</v>
      </c>
      <c r="AN192" s="117">
        <v>51</v>
      </c>
      <c r="AO192" s="117">
        <v>0</v>
      </c>
      <c r="AP192" s="117">
        <v>7</v>
      </c>
      <c r="AQ192" s="117">
        <v>51</v>
      </c>
    </row>
    <row r="193" spans="1:43" s="118" customFormat="1" ht="13.5" customHeight="1">
      <c r="A193" s="119">
        <v>198</v>
      </c>
      <c r="B193" s="76" t="s">
        <v>621</v>
      </c>
      <c r="C193" s="75" t="s">
        <v>882</v>
      </c>
      <c r="D193" s="77" t="s">
        <v>883</v>
      </c>
      <c r="E193" s="77" t="s">
        <v>940</v>
      </c>
      <c r="F193" s="120" t="s">
        <v>960</v>
      </c>
      <c r="G193" s="76" t="s">
        <v>622</v>
      </c>
      <c r="H193" s="121" t="s">
        <v>843</v>
      </c>
      <c r="I193" s="122" t="s">
        <v>842</v>
      </c>
      <c r="J193" s="123" t="s">
        <v>888</v>
      </c>
      <c r="K193" s="124">
        <v>2</v>
      </c>
      <c r="L193" s="117">
        <v>3</v>
      </c>
      <c r="M193" s="117">
        <v>1</v>
      </c>
      <c r="N193" s="116">
        <v>6</v>
      </c>
      <c r="O193" s="116">
        <v>4</v>
      </c>
      <c r="P193" s="116">
        <v>0</v>
      </c>
      <c r="Q193" s="116">
        <v>7</v>
      </c>
      <c r="R193" s="116">
        <v>1</v>
      </c>
      <c r="S193" s="116">
        <v>0</v>
      </c>
      <c r="T193" s="116">
        <v>0</v>
      </c>
      <c r="U193" s="116">
        <v>0</v>
      </c>
      <c r="V193" s="116">
        <v>0</v>
      </c>
      <c r="W193" s="116">
        <v>0</v>
      </c>
      <c r="X193" s="116">
        <v>0</v>
      </c>
      <c r="Y193" s="116">
        <v>0</v>
      </c>
      <c r="Z193" s="116">
        <v>12</v>
      </c>
      <c r="AA193" s="116">
        <v>4</v>
      </c>
      <c r="AB193" s="116">
        <v>0</v>
      </c>
      <c r="AC193" s="116">
        <v>0</v>
      </c>
      <c r="AD193" s="116">
        <v>0</v>
      </c>
      <c r="AE193" s="116">
        <v>0</v>
      </c>
      <c r="AF193" s="116">
        <v>0</v>
      </c>
      <c r="AG193" s="116">
        <v>0</v>
      </c>
      <c r="AH193" s="116">
        <v>0</v>
      </c>
      <c r="AI193" s="116">
        <v>1</v>
      </c>
      <c r="AJ193" s="117">
        <v>0</v>
      </c>
      <c r="AK193" s="117">
        <v>8</v>
      </c>
      <c r="AL193" s="117">
        <v>0</v>
      </c>
      <c r="AM193" s="117">
        <v>0</v>
      </c>
      <c r="AN193" s="117">
        <v>54</v>
      </c>
      <c r="AO193" s="117">
        <v>0</v>
      </c>
      <c r="AP193" s="117">
        <v>5</v>
      </c>
      <c r="AQ193" s="117">
        <v>56</v>
      </c>
    </row>
    <row r="194" spans="1:43" s="118" customFormat="1" ht="13.5" customHeight="1">
      <c r="A194" s="119">
        <v>199</v>
      </c>
      <c r="B194" s="76" t="s">
        <v>428</v>
      </c>
      <c r="C194" s="75" t="s">
        <v>882</v>
      </c>
      <c r="D194" s="77" t="s">
        <v>883</v>
      </c>
      <c r="E194" s="77" t="s">
        <v>940</v>
      </c>
      <c r="F194" s="120" t="s">
        <v>961</v>
      </c>
      <c r="G194" s="76" t="s">
        <v>429</v>
      </c>
      <c r="H194" s="121" t="s">
        <v>843</v>
      </c>
      <c r="I194" s="122" t="s">
        <v>842</v>
      </c>
      <c r="J194" s="123" t="s">
        <v>888</v>
      </c>
      <c r="K194" s="124">
        <v>2</v>
      </c>
      <c r="L194" s="117">
        <v>2</v>
      </c>
      <c r="M194" s="117">
        <v>1</v>
      </c>
      <c r="N194" s="116">
        <v>10</v>
      </c>
      <c r="O194" s="116">
        <v>2</v>
      </c>
      <c r="P194" s="116">
        <v>0</v>
      </c>
      <c r="Q194" s="116">
        <v>3</v>
      </c>
      <c r="R194" s="116">
        <v>2</v>
      </c>
      <c r="S194" s="116">
        <v>0</v>
      </c>
      <c r="T194" s="116">
        <v>1</v>
      </c>
      <c r="U194" s="116">
        <v>0</v>
      </c>
      <c r="V194" s="116">
        <v>0</v>
      </c>
      <c r="W194" s="116">
        <v>0</v>
      </c>
      <c r="X194" s="116">
        <v>0</v>
      </c>
      <c r="Y194" s="116">
        <v>0</v>
      </c>
      <c r="Z194" s="116">
        <v>11</v>
      </c>
      <c r="AA194" s="116">
        <v>3</v>
      </c>
      <c r="AB194" s="116">
        <v>0</v>
      </c>
      <c r="AC194" s="116">
        <v>0</v>
      </c>
      <c r="AD194" s="116">
        <v>0</v>
      </c>
      <c r="AE194" s="116">
        <v>0</v>
      </c>
      <c r="AF194" s="116">
        <v>0</v>
      </c>
      <c r="AG194" s="116">
        <v>0</v>
      </c>
      <c r="AH194" s="116">
        <v>0</v>
      </c>
      <c r="AI194" s="116">
        <v>1</v>
      </c>
      <c r="AJ194" s="117">
        <v>2</v>
      </c>
      <c r="AK194" s="117">
        <v>9</v>
      </c>
      <c r="AL194" s="117">
        <v>0</v>
      </c>
      <c r="AM194" s="117">
        <v>12</v>
      </c>
      <c r="AN194" s="117">
        <v>47</v>
      </c>
      <c r="AO194" s="117">
        <v>0</v>
      </c>
      <c r="AP194" s="117">
        <v>9</v>
      </c>
      <c r="AQ194" s="117">
        <v>61</v>
      </c>
    </row>
    <row r="195" spans="1:43" s="118" customFormat="1" ht="13.5" customHeight="1">
      <c r="A195" s="119">
        <v>200</v>
      </c>
      <c r="B195" s="76" t="s">
        <v>434</v>
      </c>
      <c r="C195" s="75" t="s">
        <v>882</v>
      </c>
      <c r="D195" s="77" t="s">
        <v>883</v>
      </c>
      <c r="E195" s="77" t="s">
        <v>940</v>
      </c>
      <c r="F195" s="120" t="s">
        <v>961</v>
      </c>
      <c r="G195" s="76" t="s">
        <v>435</v>
      </c>
      <c r="H195" s="121" t="s">
        <v>843</v>
      </c>
      <c r="I195" s="122" t="s">
        <v>842</v>
      </c>
      <c r="J195" s="123" t="s">
        <v>888</v>
      </c>
      <c r="K195" s="124">
        <v>2</v>
      </c>
      <c r="L195" s="117">
        <v>2</v>
      </c>
      <c r="M195" s="117">
        <v>1</v>
      </c>
      <c r="N195" s="116">
        <v>6</v>
      </c>
      <c r="O195" s="116">
        <v>2</v>
      </c>
      <c r="P195" s="116">
        <v>0</v>
      </c>
      <c r="Q195" s="116">
        <v>5</v>
      </c>
      <c r="R195" s="116">
        <v>0</v>
      </c>
      <c r="S195" s="116">
        <v>0</v>
      </c>
      <c r="T195" s="116">
        <v>1</v>
      </c>
      <c r="U195" s="116">
        <v>1</v>
      </c>
      <c r="V195" s="116">
        <v>0</v>
      </c>
      <c r="W195" s="116">
        <v>0</v>
      </c>
      <c r="X195" s="116">
        <v>0</v>
      </c>
      <c r="Y195" s="116">
        <v>0</v>
      </c>
      <c r="Z195" s="116">
        <v>9</v>
      </c>
      <c r="AA195" s="116">
        <v>0</v>
      </c>
      <c r="AB195" s="116">
        <v>0</v>
      </c>
      <c r="AC195" s="116">
        <v>0</v>
      </c>
      <c r="AD195" s="116">
        <v>0</v>
      </c>
      <c r="AE195" s="116">
        <v>0</v>
      </c>
      <c r="AF195" s="116">
        <v>0</v>
      </c>
      <c r="AG195" s="116">
        <v>0</v>
      </c>
      <c r="AH195" s="116">
        <v>0</v>
      </c>
      <c r="AI195" s="116">
        <v>1</v>
      </c>
      <c r="AJ195" s="117">
        <v>1</v>
      </c>
      <c r="AK195" s="117">
        <v>3</v>
      </c>
      <c r="AL195" s="117">
        <v>0</v>
      </c>
      <c r="AM195" s="117">
        <v>13</v>
      </c>
      <c r="AN195" s="117">
        <v>18</v>
      </c>
      <c r="AO195" s="117">
        <v>0</v>
      </c>
      <c r="AP195" s="117">
        <v>2</v>
      </c>
      <c r="AQ195" s="117">
        <v>33</v>
      </c>
    </row>
    <row r="196" spans="1:43" s="118" customFormat="1" ht="13.5" customHeight="1">
      <c r="A196" s="119">
        <v>201</v>
      </c>
      <c r="B196" s="76" t="s">
        <v>551</v>
      </c>
      <c r="C196" s="75" t="s">
        <v>882</v>
      </c>
      <c r="D196" s="77" t="s">
        <v>883</v>
      </c>
      <c r="E196" s="77" t="s">
        <v>940</v>
      </c>
      <c r="F196" s="120" t="s">
        <v>960</v>
      </c>
      <c r="G196" s="76" t="s">
        <v>552</v>
      </c>
      <c r="H196" s="121" t="s">
        <v>843</v>
      </c>
      <c r="I196" s="122"/>
      <c r="J196" s="123" t="s">
        <v>888</v>
      </c>
      <c r="K196" s="124">
        <v>2</v>
      </c>
      <c r="L196" s="117">
        <v>1</v>
      </c>
      <c r="M196" s="117">
        <v>1</v>
      </c>
      <c r="N196" s="116">
        <v>10</v>
      </c>
      <c r="O196" s="116">
        <v>4</v>
      </c>
      <c r="P196" s="116">
        <v>0</v>
      </c>
      <c r="Q196" s="116">
        <v>1</v>
      </c>
      <c r="R196" s="116">
        <v>0</v>
      </c>
      <c r="S196" s="116">
        <v>0</v>
      </c>
      <c r="T196" s="116">
        <v>2</v>
      </c>
      <c r="U196" s="116">
        <v>1</v>
      </c>
      <c r="V196" s="116">
        <v>0</v>
      </c>
      <c r="W196" s="116">
        <v>0</v>
      </c>
      <c r="X196" s="116">
        <v>0</v>
      </c>
      <c r="Y196" s="116">
        <v>0</v>
      </c>
      <c r="Z196" s="116">
        <v>8</v>
      </c>
      <c r="AA196" s="116">
        <v>2</v>
      </c>
      <c r="AB196" s="116">
        <v>0</v>
      </c>
      <c r="AC196" s="116">
        <v>0</v>
      </c>
      <c r="AD196" s="116">
        <v>0</v>
      </c>
      <c r="AE196" s="116">
        <v>0</v>
      </c>
      <c r="AF196" s="116">
        <v>0</v>
      </c>
      <c r="AG196" s="116">
        <v>0</v>
      </c>
      <c r="AH196" s="116">
        <v>0</v>
      </c>
      <c r="AI196" s="116">
        <v>1</v>
      </c>
      <c r="AJ196" s="117">
        <v>0</v>
      </c>
      <c r="AK196" s="117">
        <v>6</v>
      </c>
      <c r="AL196" s="117">
        <v>0</v>
      </c>
      <c r="AM196" s="117">
        <v>0</v>
      </c>
      <c r="AN196" s="117">
        <v>34</v>
      </c>
      <c r="AO196" s="117">
        <v>0</v>
      </c>
      <c r="AP196" s="117">
        <v>5</v>
      </c>
      <c r="AQ196" s="117">
        <v>35</v>
      </c>
    </row>
    <row r="197" spans="1:43" s="118" customFormat="1" ht="13.5" customHeight="1">
      <c r="A197" s="119">
        <v>202</v>
      </c>
      <c r="B197" s="76" t="s">
        <v>641</v>
      </c>
      <c r="C197" s="75" t="s">
        <v>882</v>
      </c>
      <c r="D197" s="77" t="s">
        <v>883</v>
      </c>
      <c r="E197" s="77" t="s">
        <v>940</v>
      </c>
      <c r="F197" s="120" t="s">
        <v>962</v>
      </c>
      <c r="G197" s="76" t="s">
        <v>642</v>
      </c>
      <c r="H197" s="121" t="s">
        <v>843</v>
      </c>
      <c r="I197" s="122"/>
      <c r="J197" s="123" t="s">
        <v>888</v>
      </c>
      <c r="K197" s="124">
        <v>2</v>
      </c>
      <c r="L197" s="117">
        <v>0</v>
      </c>
      <c r="M197" s="117">
        <v>0</v>
      </c>
      <c r="N197" s="116">
        <v>0</v>
      </c>
      <c r="O197" s="116">
        <v>0</v>
      </c>
      <c r="P197" s="116">
        <v>0</v>
      </c>
      <c r="Q197" s="116">
        <v>0</v>
      </c>
      <c r="R197" s="116">
        <v>0</v>
      </c>
      <c r="S197" s="116">
        <v>0</v>
      </c>
      <c r="T197" s="116">
        <v>0</v>
      </c>
      <c r="U197" s="116">
        <v>0</v>
      </c>
      <c r="V197" s="116">
        <v>0</v>
      </c>
      <c r="W197" s="116">
        <v>0</v>
      </c>
      <c r="X197" s="116">
        <v>0</v>
      </c>
      <c r="Y197" s="116">
        <v>0</v>
      </c>
      <c r="Z197" s="116">
        <v>0</v>
      </c>
      <c r="AA197" s="116">
        <v>0</v>
      </c>
      <c r="AB197" s="116">
        <v>0</v>
      </c>
      <c r="AC197" s="116">
        <v>0</v>
      </c>
      <c r="AD197" s="116">
        <v>0</v>
      </c>
      <c r="AE197" s="116">
        <v>0</v>
      </c>
      <c r="AF197" s="116">
        <v>0</v>
      </c>
      <c r="AG197" s="116">
        <v>0</v>
      </c>
      <c r="AH197" s="116">
        <v>0</v>
      </c>
      <c r="AI197" s="116">
        <v>1</v>
      </c>
      <c r="AJ197" s="117">
        <v>0</v>
      </c>
      <c r="AK197" s="117">
        <v>11</v>
      </c>
      <c r="AL197" s="117">
        <v>0</v>
      </c>
      <c r="AM197" s="117">
        <v>0</v>
      </c>
      <c r="AN197" s="117">
        <v>94</v>
      </c>
      <c r="AO197" s="117">
        <v>0</v>
      </c>
      <c r="AP197" s="117">
        <v>10</v>
      </c>
      <c r="AQ197" s="117">
        <v>94</v>
      </c>
    </row>
    <row r="198" spans="1:43" s="118" customFormat="1" ht="13.5" customHeight="1">
      <c r="A198" s="119">
        <v>203</v>
      </c>
      <c r="B198" s="76" t="s">
        <v>130</v>
      </c>
      <c r="C198" s="75" t="s">
        <v>882</v>
      </c>
      <c r="D198" s="77" t="s">
        <v>883</v>
      </c>
      <c r="E198" s="77" t="s">
        <v>940</v>
      </c>
      <c r="F198" s="120" t="s">
        <v>962</v>
      </c>
      <c r="G198" s="76" t="s">
        <v>131</v>
      </c>
      <c r="H198" s="121" t="s">
        <v>843</v>
      </c>
      <c r="I198" s="122" t="s">
        <v>842</v>
      </c>
      <c r="J198" s="123" t="s">
        <v>885</v>
      </c>
      <c r="K198" s="124">
        <v>2</v>
      </c>
      <c r="L198" s="117">
        <v>1</v>
      </c>
      <c r="M198" s="117">
        <v>1</v>
      </c>
      <c r="N198" s="116">
        <v>13</v>
      </c>
      <c r="O198" s="116">
        <v>6</v>
      </c>
      <c r="P198" s="116">
        <v>0</v>
      </c>
      <c r="Q198" s="116">
        <v>1</v>
      </c>
      <c r="R198" s="116">
        <v>0</v>
      </c>
      <c r="S198" s="116">
        <v>0</v>
      </c>
      <c r="T198" s="116">
        <v>3</v>
      </c>
      <c r="U198" s="116">
        <v>4</v>
      </c>
      <c r="V198" s="116">
        <v>0</v>
      </c>
      <c r="W198" s="116">
        <v>0</v>
      </c>
      <c r="X198" s="116">
        <v>0</v>
      </c>
      <c r="Y198" s="116">
        <v>0</v>
      </c>
      <c r="Z198" s="116">
        <v>0</v>
      </c>
      <c r="AA198" s="116">
        <v>0</v>
      </c>
      <c r="AB198" s="116">
        <v>0</v>
      </c>
      <c r="AC198" s="116">
        <v>11</v>
      </c>
      <c r="AD198" s="116">
        <v>1</v>
      </c>
      <c r="AE198" s="116">
        <v>0</v>
      </c>
      <c r="AF198" s="116">
        <v>0</v>
      </c>
      <c r="AG198" s="116">
        <v>0</v>
      </c>
      <c r="AH198" s="116">
        <v>0</v>
      </c>
      <c r="AI198" s="116">
        <v>1</v>
      </c>
      <c r="AJ198" s="117">
        <v>0</v>
      </c>
      <c r="AK198" s="117">
        <v>11</v>
      </c>
      <c r="AL198" s="117">
        <v>0</v>
      </c>
      <c r="AM198" s="117">
        <v>0</v>
      </c>
      <c r="AN198" s="117">
        <v>58</v>
      </c>
      <c r="AO198" s="117">
        <v>0</v>
      </c>
      <c r="AP198" s="117">
        <v>11</v>
      </c>
      <c r="AQ198" s="117">
        <v>58</v>
      </c>
    </row>
    <row r="199" spans="1:43" s="118" customFormat="1" ht="13.5" customHeight="1">
      <c r="A199" s="119">
        <v>204</v>
      </c>
      <c r="B199" s="76" t="s">
        <v>323</v>
      </c>
      <c r="C199" s="75" t="s">
        <v>882</v>
      </c>
      <c r="D199" s="77" t="s">
        <v>883</v>
      </c>
      <c r="E199" s="77" t="s">
        <v>940</v>
      </c>
      <c r="F199" s="120" t="s">
        <v>960</v>
      </c>
      <c r="G199" s="76" t="s">
        <v>324</v>
      </c>
      <c r="H199" s="121" t="s">
        <v>843</v>
      </c>
      <c r="I199" s="122" t="s">
        <v>842</v>
      </c>
      <c r="J199" s="123" t="s">
        <v>888</v>
      </c>
      <c r="K199" s="124">
        <v>2</v>
      </c>
      <c r="L199" s="117">
        <v>0</v>
      </c>
      <c r="M199" s="117">
        <v>0</v>
      </c>
      <c r="N199" s="116">
        <v>12</v>
      </c>
      <c r="O199" s="116">
        <v>5</v>
      </c>
      <c r="P199" s="116">
        <v>1</v>
      </c>
      <c r="Q199" s="116">
        <v>0</v>
      </c>
      <c r="R199" s="116">
        <v>1</v>
      </c>
      <c r="S199" s="116">
        <v>0</v>
      </c>
      <c r="T199" s="116">
        <v>3</v>
      </c>
      <c r="U199" s="116">
        <v>3</v>
      </c>
      <c r="V199" s="116">
        <v>0</v>
      </c>
      <c r="W199" s="116">
        <v>0</v>
      </c>
      <c r="X199" s="116">
        <v>1</v>
      </c>
      <c r="Y199" s="116">
        <v>0</v>
      </c>
      <c r="Z199" s="116">
        <v>5</v>
      </c>
      <c r="AA199" s="116">
        <v>0</v>
      </c>
      <c r="AB199" s="116">
        <v>2</v>
      </c>
      <c r="AC199" s="116">
        <v>0</v>
      </c>
      <c r="AD199" s="116">
        <v>0</v>
      </c>
      <c r="AE199" s="116">
        <v>0</v>
      </c>
      <c r="AF199" s="116">
        <v>2</v>
      </c>
      <c r="AG199" s="116">
        <v>2</v>
      </c>
      <c r="AH199" s="116">
        <v>1</v>
      </c>
      <c r="AI199" s="116">
        <v>1</v>
      </c>
      <c r="AJ199" s="117">
        <v>0</v>
      </c>
      <c r="AK199" s="117">
        <v>7</v>
      </c>
      <c r="AL199" s="117">
        <v>0</v>
      </c>
      <c r="AM199" s="117">
        <v>0</v>
      </c>
      <c r="AN199" s="117">
        <v>40</v>
      </c>
      <c r="AO199" s="117">
        <v>0</v>
      </c>
      <c r="AP199" s="117">
        <v>5</v>
      </c>
      <c r="AQ199" s="117">
        <v>41</v>
      </c>
    </row>
    <row r="200" spans="1:43" s="118" customFormat="1" ht="13.5" customHeight="1">
      <c r="A200" s="119">
        <v>205</v>
      </c>
      <c r="B200" s="76" t="s">
        <v>649</v>
      </c>
      <c r="C200" s="75" t="s">
        <v>882</v>
      </c>
      <c r="D200" s="77" t="s">
        <v>883</v>
      </c>
      <c r="E200" s="77" t="s">
        <v>940</v>
      </c>
      <c r="F200" s="120" t="s">
        <v>961</v>
      </c>
      <c r="G200" s="76" t="s">
        <v>650</v>
      </c>
      <c r="H200" s="121" t="s">
        <v>843</v>
      </c>
      <c r="I200" s="122" t="s">
        <v>842</v>
      </c>
      <c r="J200" s="123" t="s">
        <v>885</v>
      </c>
      <c r="K200" s="124">
        <v>2</v>
      </c>
      <c r="L200" s="117">
        <v>2</v>
      </c>
      <c r="M200" s="117">
        <v>1</v>
      </c>
      <c r="N200" s="116">
        <v>5</v>
      </c>
      <c r="O200" s="116">
        <v>5</v>
      </c>
      <c r="P200" s="116">
        <v>0</v>
      </c>
      <c r="Q200" s="116">
        <v>6</v>
      </c>
      <c r="R200" s="116">
        <v>0</v>
      </c>
      <c r="S200" s="116">
        <v>0</v>
      </c>
      <c r="T200" s="116">
        <v>4</v>
      </c>
      <c r="U200" s="116">
        <v>1</v>
      </c>
      <c r="V200" s="116">
        <v>0</v>
      </c>
      <c r="W200" s="116">
        <v>0</v>
      </c>
      <c r="X200" s="116">
        <v>0</v>
      </c>
      <c r="Y200" s="116">
        <v>0</v>
      </c>
      <c r="Z200" s="116">
        <v>0</v>
      </c>
      <c r="AA200" s="116">
        <v>1</v>
      </c>
      <c r="AB200" s="116">
        <v>0</v>
      </c>
      <c r="AC200" s="116">
        <v>0</v>
      </c>
      <c r="AD200" s="116">
        <v>3</v>
      </c>
      <c r="AE200" s="116">
        <v>0</v>
      </c>
      <c r="AF200" s="116">
        <v>0</v>
      </c>
      <c r="AG200" s="116">
        <v>0</v>
      </c>
      <c r="AH200" s="116">
        <v>0</v>
      </c>
      <c r="AI200" s="116">
        <v>1</v>
      </c>
      <c r="AJ200" s="117">
        <v>3</v>
      </c>
      <c r="AK200" s="117">
        <v>5</v>
      </c>
      <c r="AL200" s="117">
        <v>0</v>
      </c>
      <c r="AM200" s="117">
        <v>4</v>
      </c>
      <c r="AN200" s="117">
        <v>47</v>
      </c>
      <c r="AO200" s="117">
        <v>0</v>
      </c>
      <c r="AP200" s="117">
        <v>5</v>
      </c>
      <c r="AQ200" s="117">
        <v>54</v>
      </c>
    </row>
    <row r="201" spans="1:43" s="118" customFormat="1" ht="13.5" customHeight="1">
      <c r="A201" s="119">
        <v>206</v>
      </c>
      <c r="B201" s="76" t="s">
        <v>326</v>
      </c>
      <c r="C201" s="75" t="s">
        <v>882</v>
      </c>
      <c r="D201" s="77" t="s">
        <v>883</v>
      </c>
      <c r="E201" s="77" t="s">
        <v>940</v>
      </c>
      <c r="F201" s="120" t="s">
        <v>960</v>
      </c>
      <c r="G201" s="76" t="s">
        <v>327</v>
      </c>
      <c r="H201" s="121" t="s">
        <v>843</v>
      </c>
      <c r="I201" s="122" t="s">
        <v>842</v>
      </c>
      <c r="J201" s="123" t="s">
        <v>888</v>
      </c>
      <c r="K201" s="124">
        <v>2</v>
      </c>
      <c r="L201" s="117">
        <v>2</v>
      </c>
      <c r="M201" s="117">
        <v>0</v>
      </c>
      <c r="N201" s="116">
        <v>19</v>
      </c>
      <c r="O201" s="116">
        <v>3</v>
      </c>
      <c r="P201" s="116">
        <v>0</v>
      </c>
      <c r="Q201" s="116">
        <v>2</v>
      </c>
      <c r="R201" s="116">
        <v>0</v>
      </c>
      <c r="S201" s="116">
        <v>0</v>
      </c>
      <c r="T201" s="116">
        <v>4</v>
      </c>
      <c r="U201" s="116">
        <v>1</v>
      </c>
      <c r="V201" s="116">
        <v>0</v>
      </c>
      <c r="W201" s="116">
        <v>0</v>
      </c>
      <c r="X201" s="116">
        <v>0</v>
      </c>
      <c r="Y201" s="116">
        <v>0</v>
      </c>
      <c r="Z201" s="116">
        <v>19</v>
      </c>
      <c r="AA201" s="116">
        <v>1</v>
      </c>
      <c r="AB201" s="116">
        <v>0</v>
      </c>
      <c r="AC201" s="116">
        <v>0</v>
      </c>
      <c r="AD201" s="116">
        <v>0</v>
      </c>
      <c r="AE201" s="116">
        <v>0</v>
      </c>
      <c r="AF201" s="116">
        <v>0</v>
      </c>
      <c r="AG201" s="116">
        <v>0</v>
      </c>
      <c r="AH201" s="116">
        <v>0</v>
      </c>
      <c r="AI201" s="116">
        <v>1</v>
      </c>
      <c r="AJ201" s="117">
        <v>0</v>
      </c>
      <c r="AK201" s="117">
        <v>6</v>
      </c>
      <c r="AL201" s="117">
        <v>0</v>
      </c>
      <c r="AM201" s="117">
        <v>0</v>
      </c>
      <c r="AN201" s="117">
        <v>46</v>
      </c>
      <c r="AO201" s="117">
        <v>0</v>
      </c>
      <c r="AP201" s="117">
        <v>5</v>
      </c>
      <c r="AQ201" s="117">
        <v>47</v>
      </c>
    </row>
    <row r="202" spans="1:43" s="118" customFormat="1" ht="13.5" customHeight="1">
      <c r="A202" s="119">
        <v>207</v>
      </c>
      <c r="B202" s="76" t="s">
        <v>437</v>
      </c>
      <c r="C202" s="75" t="s">
        <v>882</v>
      </c>
      <c r="D202" s="77" t="s">
        <v>883</v>
      </c>
      <c r="E202" s="77" t="s">
        <v>940</v>
      </c>
      <c r="F202" s="120" t="s">
        <v>961</v>
      </c>
      <c r="G202" s="76" t="s">
        <v>438</v>
      </c>
      <c r="H202" s="121" t="s">
        <v>843</v>
      </c>
      <c r="I202" s="122" t="s">
        <v>842</v>
      </c>
      <c r="J202" s="123" t="s">
        <v>888</v>
      </c>
      <c r="K202" s="124">
        <v>2</v>
      </c>
      <c r="L202" s="117">
        <v>2</v>
      </c>
      <c r="M202" s="117">
        <v>1</v>
      </c>
      <c r="N202" s="116">
        <v>9</v>
      </c>
      <c r="O202" s="116">
        <v>6</v>
      </c>
      <c r="P202" s="116">
        <v>0</v>
      </c>
      <c r="Q202" s="116">
        <v>4</v>
      </c>
      <c r="R202" s="116">
        <v>2</v>
      </c>
      <c r="S202" s="116">
        <v>0</v>
      </c>
      <c r="T202" s="116">
        <v>5</v>
      </c>
      <c r="U202" s="116">
        <v>1</v>
      </c>
      <c r="V202" s="116">
        <v>0</v>
      </c>
      <c r="W202" s="116">
        <v>0</v>
      </c>
      <c r="X202" s="116">
        <v>0</v>
      </c>
      <c r="Y202" s="116">
        <v>0</v>
      </c>
      <c r="Z202" s="116">
        <v>0</v>
      </c>
      <c r="AA202" s="116">
        <v>0</v>
      </c>
      <c r="AB202" s="116">
        <v>0</v>
      </c>
      <c r="AC202" s="116">
        <v>6</v>
      </c>
      <c r="AD202" s="116">
        <v>6</v>
      </c>
      <c r="AE202" s="116">
        <v>0</v>
      </c>
      <c r="AF202" s="116">
        <v>2</v>
      </c>
      <c r="AG202" s="116">
        <v>0</v>
      </c>
      <c r="AH202" s="116">
        <v>0</v>
      </c>
      <c r="AI202" s="116">
        <v>1</v>
      </c>
      <c r="AJ202" s="117">
        <v>2</v>
      </c>
      <c r="AK202" s="117">
        <v>8</v>
      </c>
      <c r="AL202" s="117">
        <v>0</v>
      </c>
      <c r="AM202" s="117">
        <v>16</v>
      </c>
      <c r="AN202" s="117">
        <v>49</v>
      </c>
      <c r="AO202" s="117">
        <v>0</v>
      </c>
      <c r="AP202" s="117">
        <v>6</v>
      </c>
      <c r="AQ202" s="117">
        <v>5</v>
      </c>
    </row>
    <row r="203" spans="1:43" s="118" customFormat="1" ht="13.5" customHeight="1">
      <c r="A203" s="119">
        <v>208</v>
      </c>
      <c r="B203" s="76" t="s">
        <v>575</v>
      </c>
      <c r="C203" s="75" t="s">
        <v>882</v>
      </c>
      <c r="D203" s="77" t="s">
        <v>883</v>
      </c>
      <c r="E203" s="77" t="s">
        <v>940</v>
      </c>
      <c r="F203" s="120" t="s">
        <v>960</v>
      </c>
      <c r="G203" s="76" t="s">
        <v>576</v>
      </c>
      <c r="H203" s="121"/>
      <c r="I203" s="122"/>
      <c r="J203" s="123" t="s">
        <v>888</v>
      </c>
      <c r="K203" s="124">
        <v>0</v>
      </c>
      <c r="L203" s="117">
        <v>1</v>
      </c>
      <c r="M203" s="117">
        <v>1</v>
      </c>
      <c r="N203" s="116">
        <v>4</v>
      </c>
      <c r="O203" s="116">
        <v>3</v>
      </c>
      <c r="P203" s="116">
        <v>0</v>
      </c>
      <c r="Q203" s="116">
        <v>0</v>
      </c>
      <c r="R203" s="116">
        <v>0</v>
      </c>
      <c r="S203" s="116">
        <v>0</v>
      </c>
      <c r="T203" s="116">
        <v>0</v>
      </c>
      <c r="U203" s="116">
        <v>0</v>
      </c>
      <c r="V203" s="116">
        <v>0</v>
      </c>
      <c r="W203" s="116">
        <v>0</v>
      </c>
      <c r="X203" s="116">
        <v>0</v>
      </c>
      <c r="Y203" s="116">
        <v>0</v>
      </c>
      <c r="Z203" s="116">
        <v>3</v>
      </c>
      <c r="AA203" s="116">
        <v>2</v>
      </c>
      <c r="AB203" s="116">
        <v>0</v>
      </c>
      <c r="AC203" s="116">
        <v>0</v>
      </c>
      <c r="AD203" s="116">
        <v>0</v>
      </c>
      <c r="AE203" s="116">
        <v>0</v>
      </c>
      <c r="AF203" s="116">
        <v>0</v>
      </c>
      <c r="AG203" s="116">
        <v>0</v>
      </c>
      <c r="AH203" s="116">
        <v>0</v>
      </c>
      <c r="AI203" s="116">
        <v>0</v>
      </c>
      <c r="AJ203" s="117">
        <v>0</v>
      </c>
      <c r="AK203" s="117">
        <v>2</v>
      </c>
      <c r="AL203" s="117">
        <v>0</v>
      </c>
      <c r="AM203" s="117">
        <v>0</v>
      </c>
      <c r="AN203" s="117">
        <v>12</v>
      </c>
      <c r="AO203" s="117">
        <v>0</v>
      </c>
      <c r="AP203" s="117">
        <v>1</v>
      </c>
      <c r="AQ203" s="117">
        <v>12</v>
      </c>
    </row>
    <row r="204" spans="1:43" s="118" customFormat="1" ht="13.5" customHeight="1">
      <c r="A204" s="119">
        <v>209</v>
      </c>
      <c r="B204" s="76" t="s">
        <v>651</v>
      </c>
      <c r="C204" s="75" t="s">
        <v>882</v>
      </c>
      <c r="D204" s="77" t="s">
        <v>883</v>
      </c>
      <c r="E204" s="77" t="s">
        <v>940</v>
      </c>
      <c r="F204" s="120" t="s">
        <v>961</v>
      </c>
      <c r="G204" s="76" t="s">
        <v>652</v>
      </c>
      <c r="H204" s="121" t="s">
        <v>843</v>
      </c>
      <c r="I204" s="122"/>
      <c r="J204" s="123" t="s">
        <v>888</v>
      </c>
      <c r="K204" s="124">
        <v>2</v>
      </c>
      <c r="L204" s="117">
        <v>1</v>
      </c>
      <c r="M204" s="117">
        <v>1</v>
      </c>
      <c r="N204" s="116">
        <v>18</v>
      </c>
      <c r="O204" s="116">
        <v>8</v>
      </c>
      <c r="P204" s="116">
        <v>0</v>
      </c>
      <c r="Q204" s="116">
        <v>0</v>
      </c>
      <c r="R204" s="116">
        <v>0</v>
      </c>
      <c r="S204" s="116">
        <v>0</v>
      </c>
      <c r="T204" s="116">
        <v>0</v>
      </c>
      <c r="U204" s="116">
        <v>0</v>
      </c>
      <c r="V204" s="116">
        <v>0</v>
      </c>
      <c r="W204" s="116">
        <v>0</v>
      </c>
      <c r="X204" s="116">
        <v>0</v>
      </c>
      <c r="Y204" s="116">
        <v>0</v>
      </c>
      <c r="Z204" s="116">
        <v>17</v>
      </c>
      <c r="AA204" s="116">
        <v>7</v>
      </c>
      <c r="AB204" s="116">
        <v>0</v>
      </c>
      <c r="AC204" s="116">
        <v>0</v>
      </c>
      <c r="AD204" s="116">
        <v>0</v>
      </c>
      <c r="AE204" s="116">
        <v>0</v>
      </c>
      <c r="AF204" s="116">
        <v>0</v>
      </c>
      <c r="AG204" s="116">
        <v>0</v>
      </c>
      <c r="AH204" s="116">
        <v>0</v>
      </c>
      <c r="AI204" s="116">
        <v>1</v>
      </c>
      <c r="AJ204" s="117">
        <v>0</v>
      </c>
      <c r="AK204" s="117">
        <v>4</v>
      </c>
      <c r="AL204" s="117">
        <v>0</v>
      </c>
      <c r="AM204" s="117">
        <v>0</v>
      </c>
      <c r="AN204" s="117">
        <v>29</v>
      </c>
      <c r="AO204" s="117">
        <v>0</v>
      </c>
      <c r="AP204" s="117">
        <v>4</v>
      </c>
      <c r="AQ204" s="117">
        <v>29</v>
      </c>
    </row>
    <row r="205" spans="1:43" s="118" customFormat="1" ht="13.5" customHeight="1">
      <c r="A205" s="119">
        <v>210</v>
      </c>
      <c r="B205" s="76" t="s">
        <v>341</v>
      </c>
      <c r="C205" s="75" t="s">
        <v>882</v>
      </c>
      <c r="D205" s="77" t="s">
        <v>883</v>
      </c>
      <c r="E205" s="77" t="s">
        <v>940</v>
      </c>
      <c r="F205" s="120" t="s">
        <v>960</v>
      </c>
      <c r="G205" s="76" t="s">
        <v>342</v>
      </c>
      <c r="H205" s="121" t="s">
        <v>843</v>
      </c>
      <c r="I205" s="122"/>
      <c r="J205" s="123" t="s">
        <v>888</v>
      </c>
      <c r="K205" s="124">
        <v>2</v>
      </c>
      <c r="L205" s="117">
        <v>2</v>
      </c>
      <c r="M205" s="117">
        <v>1</v>
      </c>
      <c r="N205" s="116">
        <v>5</v>
      </c>
      <c r="O205" s="116">
        <v>3</v>
      </c>
      <c r="P205" s="116">
        <v>0</v>
      </c>
      <c r="Q205" s="116">
        <v>8</v>
      </c>
      <c r="R205" s="116">
        <v>0</v>
      </c>
      <c r="S205" s="116">
        <v>0</v>
      </c>
      <c r="T205" s="116">
        <v>0</v>
      </c>
      <c r="U205" s="116">
        <v>0</v>
      </c>
      <c r="V205" s="116">
        <v>0</v>
      </c>
      <c r="W205" s="116">
        <v>0</v>
      </c>
      <c r="X205" s="116">
        <v>0</v>
      </c>
      <c r="Y205" s="116">
        <v>0</v>
      </c>
      <c r="Z205" s="116">
        <v>12</v>
      </c>
      <c r="AA205" s="116">
        <v>2</v>
      </c>
      <c r="AB205" s="116">
        <v>0</v>
      </c>
      <c r="AC205" s="116">
        <v>0</v>
      </c>
      <c r="AD205" s="116">
        <v>0</v>
      </c>
      <c r="AE205" s="116">
        <v>0</v>
      </c>
      <c r="AF205" s="116">
        <v>0</v>
      </c>
      <c r="AG205" s="116">
        <v>0</v>
      </c>
      <c r="AH205" s="116">
        <v>0</v>
      </c>
      <c r="AI205" s="116">
        <v>1</v>
      </c>
      <c r="AJ205" s="117">
        <v>0</v>
      </c>
      <c r="AK205" s="117">
        <v>6</v>
      </c>
      <c r="AL205" s="117">
        <v>0</v>
      </c>
      <c r="AM205" s="117">
        <v>0</v>
      </c>
      <c r="AN205" s="117">
        <v>38</v>
      </c>
      <c r="AO205" s="117">
        <v>0</v>
      </c>
      <c r="AP205" s="117">
        <v>6</v>
      </c>
      <c r="AQ205" s="117">
        <v>38</v>
      </c>
    </row>
    <row r="206" spans="1:43" s="118" customFormat="1" ht="13.5" customHeight="1">
      <c r="A206" s="119">
        <v>211</v>
      </c>
      <c r="B206" s="76" t="s">
        <v>109</v>
      </c>
      <c r="C206" s="75" t="s">
        <v>882</v>
      </c>
      <c r="D206" s="77" t="s">
        <v>883</v>
      </c>
      <c r="E206" s="77" t="s">
        <v>940</v>
      </c>
      <c r="F206" s="120" t="s">
        <v>962</v>
      </c>
      <c r="G206" s="76" t="s">
        <v>110</v>
      </c>
      <c r="H206" s="121" t="s">
        <v>843</v>
      </c>
      <c r="I206" s="122" t="s">
        <v>842</v>
      </c>
      <c r="J206" s="123" t="s">
        <v>888</v>
      </c>
      <c r="K206" s="124">
        <v>2</v>
      </c>
      <c r="L206" s="117">
        <v>2</v>
      </c>
      <c r="M206" s="117">
        <v>1</v>
      </c>
      <c r="N206" s="116">
        <v>8</v>
      </c>
      <c r="O206" s="116">
        <v>2</v>
      </c>
      <c r="P206" s="116">
        <v>0</v>
      </c>
      <c r="Q206" s="116">
        <v>12</v>
      </c>
      <c r="R206" s="116">
        <v>1</v>
      </c>
      <c r="S206" s="116">
        <v>0</v>
      </c>
      <c r="T206" s="116">
        <v>4</v>
      </c>
      <c r="U206" s="116">
        <v>1</v>
      </c>
      <c r="V206" s="116">
        <v>0</v>
      </c>
      <c r="W206" s="116">
        <v>0</v>
      </c>
      <c r="X206" s="116">
        <v>0</v>
      </c>
      <c r="Y206" s="116">
        <v>0</v>
      </c>
      <c r="Z206" s="116">
        <v>15</v>
      </c>
      <c r="AA206" s="116">
        <v>1</v>
      </c>
      <c r="AB206" s="116">
        <v>0</v>
      </c>
      <c r="AC206" s="116">
        <v>0</v>
      </c>
      <c r="AD206" s="116">
        <v>0</v>
      </c>
      <c r="AE206" s="116">
        <v>0</v>
      </c>
      <c r="AF206" s="116">
        <v>0</v>
      </c>
      <c r="AG206" s="116">
        <v>0</v>
      </c>
      <c r="AH206" s="116">
        <v>0</v>
      </c>
      <c r="AI206" s="116">
        <v>1</v>
      </c>
      <c r="AJ206" s="117">
        <v>0</v>
      </c>
      <c r="AK206" s="117">
        <v>6</v>
      </c>
      <c r="AL206" s="117">
        <v>0</v>
      </c>
      <c r="AM206" s="117">
        <v>0</v>
      </c>
      <c r="AN206" s="117">
        <v>45</v>
      </c>
      <c r="AO206" s="117">
        <v>0</v>
      </c>
      <c r="AP206" s="117">
        <v>4</v>
      </c>
      <c r="AQ206" s="117">
        <v>47</v>
      </c>
    </row>
    <row r="207" spans="1:43" s="118" customFormat="1" ht="13.5" customHeight="1">
      <c r="A207" s="119">
        <v>212</v>
      </c>
      <c r="B207" s="76" t="s">
        <v>449</v>
      </c>
      <c r="C207" s="75" t="s">
        <v>882</v>
      </c>
      <c r="D207" s="77" t="s">
        <v>883</v>
      </c>
      <c r="E207" s="77" t="s">
        <v>940</v>
      </c>
      <c r="F207" s="120" t="s">
        <v>961</v>
      </c>
      <c r="G207" s="76" t="s">
        <v>450</v>
      </c>
      <c r="H207" s="121" t="s">
        <v>843</v>
      </c>
      <c r="I207" s="122" t="s">
        <v>842</v>
      </c>
      <c r="J207" s="123" t="s">
        <v>885</v>
      </c>
      <c r="K207" s="124">
        <v>2</v>
      </c>
      <c r="L207" s="117">
        <v>0</v>
      </c>
      <c r="M207" s="117">
        <v>1</v>
      </c>
      <c r="N207" s="116">
        <v>14</v>
      </c>
      <c r="O207" s="116">
        <v>6</v>
      </c>
      <c r="P207" s="116">
        <v>1</v>
      </c>
      <c r="Q207" s="116">
        <v>0</v>
      </c>
      <c r="R207" s="116">
        <v>1</v>
      </c>
      <c r="S207" s="116">
        <v>0</v>
      </c>
      <c r="T207" s="116">
        <v>0</v>
      </c>
      <c r="U207" s="116">
        <v>1</v>
      </c>
      <c r="V207" s="116">
        <v>0</v>
      </c>
      <c r="W207" s="116">
        <v>0</v>
      </c>
      <c r="X207" s="116">
        <v>0</v>
      </c>
      <c r="Y207" s="116">
        <v>0</v>
      </c>
      <c r="Z207" s="116">
        <v>11</v>
      </c>
      <c r="AA207" s="116">
        <v>4</v>
      </c>
      <c r="AB207" s="116">
        <v>5</v>
      </c>
      <c r="AC207" s="116">
        <v>0</v>
      </c>
      <c r="AD207" s="116">
        <v>0</v>
      </c>
      <c r="AE207" s="116">
        <v>0</v>
      </c>
      <c r="AF207" s="116">
        <v>0</v>
      </c>
      <c r="AG207" s="116">
        <v>0</v>
      </c>
      <c r="AH207" s="116">
        <v>0</v>
      </c>
      <c r="AI207" s="116">
        <v>1</v>
      </c>
      <c r="AJ207" s="117">
        <v>2</v>
      </c>
      <c r="AK207" s="117">
        <v>12</v>
      </c>
      <c r="AL207" s="117">
        <v>0</v>
      </c>
      <c r="AM207" s="117">
        <v>3</v>
      </c>
      <c r="AN207" s="117">
        <v>65</v>
      </c>
      <c r="AO207" s="117">
        <v>0</v>
      </c>
      <c r="AP207" s="117">
        <v>12</v>
      </c>
      <c r="AQ207" s="117">
        <v>68</v>
      </c>
    </row>
    <row r="208" spans="1:43" s="118" customFormat="1" ht="13.5" customHeight="1">
      <c r="A208" s="119">
        <v>213</v>
      </c>
      <c r="B208" s="76" t="s">
        <v>452</v>
      </c>
      <c r="C208" s="75" t="s">
        <v>882</v>
      </c>
      <c r="D208" s="77" t="s">
        <v>883</v>
      </c>
      <c r="E208" s="77" t="s">
        <v>940</v>
      </c>
      <c r="F208" s="120" t="s">
        <v>961</v>
      </c>
      <c r="G208" s="76" t="s">
        <v>453</v>
      </c>
      <c r="H208" s="121" t="s">
        <v>843</v>
      </c>
      <c r="I208" s="122" t="s">
        <v>842</v>
      </c>
      <c r="J208" s="123" t="s">
        <v>888</v>
      </c>
      <c r="K208" s="124">
        <v>2</v>
      </c>
      <c r="L208" s="117">
        <v>2</v>
      </c>
      <c r="M208" s="117">
        <v>1</v>
      </c>
      <c r="N208" s="116">
        <v>6</v>
      </c>
      <c r="O208" s="116">
        <v>1</v>
      </c>
      <c r="P208" s="116">
        <v>0</v>
      </c>
      <c r="Q208" s="116">
        <v>6</v>
      </c>
      <c r="R208" s="116">
        <v>4</v>
      </c>
      <c r="S208" s="116">
        <v>0</v>
      </c>
      <c r="T208" s="116">
        <v>2</v>
      </c>
      <c r="U208" s="116">
        <v>0</v>
      </c>
      <c r="V208" s="116">
        <v>0</v>
      </c>
      <c r="W208" s="116">
        <v>0</v>
      </c>
      <c r="X208" s="116">
        <v>0</v>
      </c>
      <c r="Y208" s="116">
        <v>0</v>
      </c>
      <c r="Z208" s="116">
        <v>9</v>
      </c>
      <c r="AA208" s="116">
        <v>5</v>
      </c>
      <c r="AB208" s="116">
        <v>0</v>
      </c>
      <c r="AC208" s="116">
        <v>0</v>
      </c>
      <c r="AD208" s="116">
        <v>0</v>
      </c>
      <c r="AE208" s="116">
        <v>0</v>
      </c>
      <c r="AF208" s="116">
        <v>0</v>
      </c>
      <c r="AG208" s="116">
        <v>0</v>
      </c>
      <c r="AH208" s="116">
        <v>0</v>
      </c>
      <c r="AI208" s="116">
        <v>1</v>
      </c>
      <c r="AJ208" s="117">
        <v>1</v>
      </c>
      <c r="AK208" s="117">
        <v>6</v>
      </c>
      <c r="AL208" s="117">
        <v>0</v>
      </c>
      <c r="AM208" s="117">
        <v>16</v>
      </c>
      <c r="AN208" s="117">
        <v>36</v>
      </c>
      <c r="AO208" s="117">
        <v>0</v>
      </c>
      <c r="AP208" s="117">
        <v>5</v>
      </c>
      <c r="AQ208" s="117">
        <v>54</v>
      </c>
    </row>
    <row r="209" spans="1:43" s="118" customFormat="1" ht="13.5" customHeight="1">
      <c r="A209" s="119">
        <v>214</v>
      </c>
      <c r="B209" s="76" t="s">
        <v>572</v>
      </c>
      <c r="C209" s="75" t="s">
        <v>882</v>
      </c>
      <c r="D209" s="77" t="s">
        <v>883</v>
      </c>
      <c r="E209" s="77" t="s">
        <v>940</v>
      </c>
      <c r="F209" s="120" t="s">
        <v>961</v>
      </c>
      <c r="G209" s="76" t="s">
        <v>573</v>
      </c>
      <c r="H209" s="121" t="s">
        <v>843</v>
      </c>
      <c r="I209" s="122" t="s">
        <v>842</v>
      </c>
      <c r="J209" s="123" t="s">
        <v>888</v>
      </c>
      <c r="K209" s="124">
        <v>2</v>
      </c>
      <c r="L209" s="117">
        <v>1</v>
      </c>
      <c r="M209" s="117">
        <v>1</v>
      </c>
      <c r="N209" s="116">
        <v>12</v>
      </c>
      <c r="O209" s="116">
        <v>12</v>
      </c>
      <c r="P209" s="116">
        <v>0</v>
      </c>
      <c r="Q209" s="116">
        <v>0</v>
      </c>
      <c r="R209" s="116">
        <v>0</v>
      </c>
      <c r="S209" s="116">
        <v>0</v>
      </c>
      <c r="T209" s="116">
        <v>0</v>
      </c>
      <c r="U209" s="116">
        <v>0</v>
      </c>
      <c r="V209" s="116">
        <v>0</v>
      </c>
      <c r="W209" s="116">
        <v>0</v>
      </c>
      <c r="X209" s="116">
        <v>0</v>
      </c>
      <c r="Y209" s="116">
        <v>0</v>
      </c>
      <c r="Z209" s="116">
        <v>11</v>
      </c>
      <c r="AA209" s="116">
        <v>11</v>
      </c>
      <c r="AB209" s="116">
        <v>0</v>
      </c>
      <c r="AC209" s="116">
        <v>0</v>
      </c>
      <c r="AD209" s="116">
        <v>0</v>
      </c>
      <c r="AE209" s="116">
        <v>0</v>
      </c>
      <c r="AF209" s="116">
        <v>0</v>
      </c>
      <c r="AG209" s="116">
        <v>0</v>
      </c>
      <c r="AH209" s="116">
        <v>0</v>
      </c>
      <c r="AI209" s="116">
        <v>1</v>
      </c>
      <c r="AJ209" s="117">
        <v>0</v>
      </c>
      <c r="AK209" s="117">
        <v>9</v>
      </c>
      <c r="AL209" s="117">
        <v>0</v>
      </c>
      <c r="AM209" s="117">
        <v>0</v>
      </c>
      <c r="AN209" s="117">
        <v>46</v>
      </c>
      <c r="AO209" s="117">
        <v>0</v>
      </c>
      <c r="AP209" s="117">
        <v>7</v>
      </c>
      <c r="AQ209" s="117">
        <v>48</v>
      </c>
    </row>
    <row r="210" spans="1:43" s="118" customFormat="1" ht="13.5" customHeight="1">
      <c r="A210" s="119">
        <v>215</v>
      </c>
      <c r="B210" s="76" t="s">
        <v>533</v>
      </c>
      <c r="C210" s="75" t="s">
        <v>882</v>
      </c>
      <c r="D210" s="77" t="s">
        <v>883</v>
      </c>
      <c r="E210" s="77" t="s">
        <v>940</v>
      </c>
      <c r="F210" s="120" t="s">
        <v>960</v>
      </c>
      <c r="G210" s="76" t="s">
        <v>534</v>
      </c>
      <c r="H210" s="121" t="s">
        <v>843</v>
      </c>
      <c r="I210" s="122" t="s">
        <v>842</v>
      </c>
      <c r="J210" s="123" t="s">
        <v>888</v>
      </c>
      <c r="K210" s="124">
        <v>2</v>
      </c>
      <c r="L210" s="117">
        <v>2</v>
      </c>
      <c r="M210" s="117">
        <v>1</v>
      </c>
      <c r="N210" s="116">
        <v>16</v>
      </c>
      <c r="O210" s="116">
        <v>1</v>
      </c>
      <c r="P210" s="116">
        <v>3</v>
      </c>
      <c r="Q210" s="116">
        <v>2</v>
      </c>
      <c r="R210" s="116">
        <v>0</v>
      </c>
      <c r="S210" s="116">
        <v>0</v>
      </c>
      <c r="T210" s="116">
        <v>1</v>
      </c>
      <c r="U210" s="116">
        <v>0</v>
      </c>
      <c r="V210" s="116">
        <v>1</v>
      </c>
      <c r="W210" s="116">
        <v>0</v>
      </c>
      <c r="X210" s="116">
        <v>0</v>
      </c>
      <c r="Y210" s="116">
        <v>0</v>
      </c>
      <c r="Z210" s="116">
        <v>0</v>
      </c>
      <c r="AA210" s="116">
        <v>0</v>
      </c>
      <c r="AB210" s="116">
        <v>1</v>
      </c>
      <c r="AC210" s="116">
        <v>11</v>
      </c>
      <c r="AD210" s="116">
        <v>1</v>
      </c>
      <c r="AE210" s="116">
        <v>8</v>
      </c>
      <c r="AF210" s="116">
        <v>0</v>
      </c>
      <c r="AG210" s="116">
        <v>0</v>
      </c>
      <c r="AH210" s="116">
        <v>0</v>
      </c>
      <c r="AI210" s="116">
        <v>1</v>
      </c>
      <c r="AJ210" s="117">
        <v>0</v>
      </c>
      <c r="AK210" s="117">
        <v>7</v>
      </c>
      <c r="AL210" s="117">
        <v>1</v>
      </c>
      <c r="AM210" s="117">
        <v>7</v>
      </c>
      <c r="AN210" s="117">
        <v>38</v>
      </c>
      <c r="AO210" s="117">
        <v>0</v>
      </c>
      <c r="AP210" s="117">
        <v>6</v>
      </c>
      <c r="AQ210" s="117">
        <v>48</v>
      </c>
    </row>
    <row r="211" spans="1:43" s="118" customFormat="1" ht="13.5" customHeight="1">
      <c r="A211" s="119">
        <v>217</v>
      </c>
      <c r="B211" s="76" t="s">
        <v>536</v>
      </c>
      <c r="C211" s="75" t="s">
        <v>882</v>
      </c>
      <c r="D211" s="77" t="s">
        <v>883</v>
      </c>
      <c r="E211" s="77" t="s">
        <v>940</v>
      </c>
      <c r="F211" s="120" t="s">
        <v>961</v>
      </c>
      <c r="G211" s="76" t="s">
        <v>537</v>
      </c>
      <c r="H211" s="121" t="s">
        <v>843</v>
      </c>
      <c r="I211" s="122" t="s">
        <v>842</v>
      </c>
      <c r="J211" s="123" t="s">
        <v>885</v>
      </c>
      <c r="K211" s="124">
        <v>2</v>
      </c>
      <c r="L211" s="117">
        <v>2</v>
      </c>
      <c r="M211" s="117">
        <v>1</v>
      </c>
      <c r="N211" s="116">
        <v>14</v>
      </c>
      <c r="O211" s="116">
        <v>3</v>
      </c>
      <c r="P211" s="116">
        <v>0</v>
      </c>
      <c r="Q211" s="116">
        <v>1</v>
      </c>
      <c r="R211" s="116">
        <v>0</v>
      </c>
      <c r="S211" s="116">
        <v>0</v>
      </c>
      <c r="T211" s="116">
        <v>12</v>
      </c>
      <c r="U211" s="116">
        <v>1</v>
      </c>
      <c r="V211" s="116">
        <v>0</v>
      </c>
      <c r="W211" s="116">
        <v>0</v>
      </c>
      <c r="X211" s="116">
        <v>0</v>
      </c>
      <c r="Y211" s="116">
        <v>0</v>
      </c>
      <c r="Z211" s="116">
        <v>3</v>
      </c>
      <c r="AA211" s="116">
        <v>1</v>
      </c>
      <c r="AB211" s="116">
        <v>0</v>
      </c>
      <c r="AC211" s="116">
        <v>0</v>
      </c>
      <c r="AD211" s="116">
        <v>0</v>
      </c>
      <c r="AE211" s="116">
        <v>0</v>
      </c>
      <c r="AF211" s="116">
        <v>0</v>
      </c>
      <c r="AG211" s="116">
        <v>0</v>
      </c>
      <c r="AH211" s="116">
        <v>0</v>
      </c>
      <c r="AI211" s="116">
        <v>1</v>
      </c>
      <c r="AJ211" s="117">
        <v>0</v>
      </c>
      <c r="AK211" s="117">
        <v>8</v>
      </c>
      <c r="AL211" s="117">
        <v>0</v>
      </c>
      <c r="AM211" s="117">
        <v>30</v>
      </c>
      <c r="AN211" s="117">
        <v>26</v>
      </c>
      <c r="AO211" s="117">
        <v>0</v>
      </c>
      <c r="AP211" s="117">
        <v>5</v>
      </c>
      <c r="AQ211" s="117">
        <v>59</v>
      </c>
    </row>
    <row r="212" spans="1:43" s="118" customFormat="1" ht="13.5" customHeight="1">
      <c r="A212" s="119">
        <v>218</v>
      </c>
      <c r="B212" s="76" t="s">
        <v>467</v>
      </c>
      <c r="C212" s="75" t="s">
        <v>882</v>
      </c>
      <c r="D212" s="77" t="s">
        <v>883</v>
      </c>
      <c r="E212" s="77" t="s">
        <v>940</v>
      </c>
      <c r="F212" s="120" t="s">
        <v>961</v>
      </c>
      <c r="G212" s="76" t="s">
        <v>468</v>
      </c>
      <c r="H212" s="121" t="s">
        <v>843</v>
      </c>
      <c r="I212" s="122" t="s">
        <v>842</v>
      </c>
      <c r="J212" s="123" t="s">
        <v>885</v>
      </c>
      <c r="K212" s="124">
        <v>2</v>
      </c>
      <c r="L212" s="117">
        <v>3</v>
      </c>
      <c r="M212" s="117">
        <v>1</v>
      </c>
      <c r="N212" s="116">
        <v>6</v>
      </c>
      <c r="O212" s="116">
        <v>1</v>
      </c>
      <c r="P212" s="116">
        <v>0</v>
      </c>
      <c r="Q212" s="116">
        <v>6</v>
      </c>
      <c r="R212" s="116">
        <v>3</v>
      </c>
      <c r="S212" s="116">
        <v>0</v>
      </c>
      <c r="T212" s="116">
        <v>1</v>
      </c>
      <c r="U212" s="116">
        <v>1</v>
      </c>
      <c r="V212" s="116">
        <v>0</v>
      </c>
      <c r="W212" s="116">
        <v>0</v>
      </c>
      <c r="X212" s="116">
        <v>0</v>
      </c>
      <c r="Y212" s="116">
        <v>0</v>
      </c>
      <c r="Z212" s="116">
        <v>10</v>
      </c>
      <c r="AA212" s="116">
        <v>3</v>
      </c>
      <c r="AB212" s="116">
        <v>0</v>
      </c>
      <c r="AC212" s="116">
        <v>0</v>
      </c>
      <c r="AD212" s="116">
        <v>0</v>
      </c>
      <c r="AE212" s="116">
        <v>0</v>
      </c>
      <c r="AF212" s="116">
        <v>0</v>
      </c>
      <c r="AG212" s="116">
        <v>0</v>
      </c>
      <c r="AH212" s="116">
        <v>0</v>
      </c>
      <c r="AI212" s="116">
        <v>1</v>
      </c>
      <c r="AJ212" s="117">
        <v>1</v>
      </c>
      <c r="AK212" s="117">
        <v>10</v>
      </c>
      <c r="AL212" s="117">
        <v>1</v>
      </c>
      <c r="AM212" s="117">
        <v>15</v>
      </c>
      <c r="AN212" s="117">
        <v>40</v>
      </c>
      <c r="AO212" s="117">
        <v>0</v>
      </c>
      <c r="AP212" s="117">
        <v>9</v>
      </c>
      <c r="AQ212" s="117">
        <v>64</v>
      </c>
    </row>
    <row r="213" spans="1:43" s="118" customFormat="1" ht="13.5" customHeight="1">
      <c r="A213" s="119">
        <v>219</v>
      </c>
      <c r="B213" s="76" t="s">
        <v>545</v>
      </c>
      <c r="C213" s="75" t="s">
        <v>882</v>
      </c>
      <c r="D213" s="77" t="s">
        <v>883</v>
      </c>
      <c r="E213" s="77" t="s">
        <v>940</v>
      </c>
      <c r="F213" s="120" t="s">
        <v>961</v>
      </c>
      <c r="G213" s="76" t="s">
        <v>546</v>
      </c>
      <c r="H213" s="121" t="s">
        <v>843</v>
      </c>
      <c r="I213" s="122" t="s">
        <v>842</v>
      </c>
      <c r="J213" s="123" t="s">
        <v>888</v>
      </c>
      <c r="K213" s="124">
        <v>2</v>
      </c>
      <c r="L213" s="117">
        <v>1</v>
      </c>
      <c r="M213" s="117">
        <v>1</v>
      </c>
      <c r="N213" s="116">
        <v>5</v>
      </c>
      <c r="O213" s="116">
        <v>1</v>
      </c>
      <c r="P213" s="116">
        <v>0</v>
      </c>
      <c r="Q213" s="116">
        <v>7</v>
      </c>
      <c r="R213" s="116">
        <v>0</v>
      </c>
      <c r="S213" s="116">
        <v>0</v>
      </c>
      <c r="T213" s="116">
        <v>0</v>
      </c>
      <c r="U213" s="116">
        <v>0</v>
      </c>
      <c r="V213" s="116">
        <v>0</v>
      </c>
      <c r="W213" s="116">
        <v>0</v>
      </c>
      <c r="X213" s="116">
        <v>0</v>
      </c>
      <c r="Y213" s="116">
        <v>0</v>
      </c>
      <c r="Z213" s="116">
        <v>11</v>
      </c>
      <c r="AA213" s="116">
        <v>0</v>
      </c>
      <c r="AB213" s="116">
        <v>0</v>
      </c>
      <c r="AC213" s="116">
        <v>0</v>
      </c>
      <c r="AD213" s="116">
        <v>0</v>
      </c>
      <c r="AE213" s="116">
        <v>0</v>
      </c>
      <c r="AF213" s="116">
        <v>0</v>
      </c>
      <c r="AG213" s="116">
        <v>0</v>
      </c>
      <c r="AH213" s="116">
        <v>0</v>
      </c>
      <c r="AI213" s="116">
        <v>1</v>
      </c>
      <c r="AJ213" s="117">
        <v>2</v>
      </c>
      <c r="AK213" s="117">
        <v>6</v>
      </c>
      <c r="AL213" s="117">
        <v>0</v>
      </c>
      <c r="AM213" s="117">
        <v>3</v>
      </c>
      <c r="AN213" s="117">
        <v>39</v>
      </c>
      <c r="AO213" s="117">
        <v>0</v>
      </c>
      <c r="AP213" s="117">
        <v>5</v>
      </c>
      <c r="AQ213" s="117">
        <v>45</v>
      </c>
    </row>
    <row r="214" spans="1:43" s="118" customFormat="1" ht="13.5" customHeight="1">
      <c r="A214" s="119">
        <v>220</v>
      </c>
      <c r="B214" s="76" t="s">
        <v>470</v>
      </c>
      <c r="C214" s="75" t="s">
        <v>882</v>
      </c>
      <c r="D214" s="77" t="s">
        <v>883</v>
      </c>
      <c r="E214" s="77" t="s">
        <v>940</v>
      </c>
      <c r="F214" s="120" t="s">
        <v>961</v>
      </c>
      <c r="G214" s="76" t="s">
        <v>471</v>
      </c>
      <c r="H214" s="121" t="s">
        <v>843</v>
      </c>
      <c r="I214" s="122" t="s">
        <v>842</v>
      </c>
      <c r="J214" s="123" t="s">
        <v>885</v>
      </c>
      <c r="K214" s="124">
        <v>2</v>
      </c>
      <c r="L214" s="117">
        <v>1</v>
      </c>
      <c r="M214" s="117">
        <v>1</v>
      </c>
      <c r="N214" s="116">
        <v>6</v>
      </c>
      <c r="O214" s="116">
        <v>6</v>
      </c>
      <c r="P214" s="116">
        <v>0</v>
      </c>
      <c r="Q214" s="116">
        <v>5</v>
      </c>
      <c r="R214" s="116">
        <v>1</v>
      </c>
      <c r="S214" s="116">
        <v>0</v>
      </c>
      <c r="T214" s="116">
        <v>0</v>
      </c>
      <c r="U214" s="116">
        <v>0</v>
      </c>
      <c r="V214" s="116">
        <v>0</v>
      </c>
      <c r="W214" s="116">
        <v>1</v>
      </c>
      <c r="X214" s="116">
        <v>0</v>
      </c>
      <c r="Y214" s="116">
        <v>0</v>
      </c>
      <c r="Z214" s="116">
        <v>0</v>
      </c>
      <c r="AA214" s="116">
        <v>0</v>
      </c>
      <c r="AB214" s="116">
        <v>0</v>
      </c>
      <c r="AC214" s="116">
        <v>9</v>
      </c>
      <c r="AD214" s="116">
        <v>6</v>
      </c>
      <c r="AE214" s="116">
        <v>0</v>
      </c>
      <c r="AF214" s="116">
        <v>0</v>
      </c>
      <c r="AG214" s="116">
        <v>0</v>
      </c>
      <c r="AH214" s="116">
        <v>0</v>
      </c>
      <c r="AI214" s="116">
        <v>1</v>
      </c>
      <c r="AJ214" s="117">
        <v>1</v>
      </c>
      <c r="AK214" s="117">
        <v>4</v>
      </c>
      <c r="AL214" s="117">
        <v>0</v>
      </c>
      <c r="AM214" s="117">
        <v>16</v>
      </c>
      <c r="AN214" s="117">
        <v>23</v>
      </c>
      <c r="AO214" s="117">
        <v>0</v>
      </c>
      <c r="AP214" s="117">
        <v>3</v>
      </c>
      <c r="AQ214" s="117">
        <v>41</v>
      </c>
    </row>
    <row r="215" spans="1:43" s="118" customFormat="1" ht="13.5" customHeight="1">
      <c r="A215" s="119">
        <v>221</v>
      </c>
      <c r="B215" s="76" t="s">
        <v>554</v>
      </c>
      <c r="C215" s="75" t="s">
        <v>882</v>
      </c>
      <c r="D215" s="77" t="s">
        <v>883</v>
      </c>
      <c r="E215" s="77" t="s">
        <v>940</v>
      </c>
      <c r="F215" s="120" t="s">
        <v>960</v>
      </c>
      <c r="G215" s="76" t="s">
        <v>555</v>
      </c>
      <c r="H215" s="121" t="s">
        <v>843</v>
      </c>
      <c r="I215" s="122"/>
      <c r="J215" s="123" t="s">
        <v>885</v>
      </c>
      <c r="K215" s="124">
        <v>2</v>
      </c>
      <c r="L215" s="117">
        <v>1</v>
      </c>
      <c r="M215" s="117">
        <v>1</v>
      </c>
      <c r="N215" s="116">
        <v>6</v>
      </c>
      <c r="O215" s="116">
        <v>5</v>
      </c>
      <c r="P215" s="116">
        <v>0</v>
      </c>
      <c r="Q215" s="116">
        <v>7</v>
      </c>
      <c r="R215" s="116">
        <v>0</v>
      </c>
      <c r="S215" s="116">
        <v>0</v>
      </c>
      <c r="T215" s="116">
        <v>3</v>
      </c>
      <c r="U215" s="116">
        <v>2</v>
      </c>
      <c r="V215" s="116">
        <v>0</v>
      </c>
      <c r="W215" s="116">
        <v>0</v>
      </c>
      <c r="X215" s="116">
        <v>0</v>
      </c>
      <c r="Y215" s="116">
        <v>0</v>
      </c>
      <c r="Z215" s="116">
        <v>11</v>
      </c>
      <c r="AA215" s="116">
        <v>2</v>
      </c>
      <c r="AB215" s="116">
        <v>0</v>
      </c>
      <c r="AC215" s="116">
        <v>0</v>
      </c>
      <c r="AD215" s="116">
        <v>0</v>
      </c>
      <c r="AE215" s="116">
        <v>0</v>
      </c>
      <c r="AF215" s="116">
        <v>0</v>
      </c>
      <c r="AG215" s="116">
        <v>0</v>
      </c>
      <c r="AH215" s="116">
        <v>0</v>
      </c>
      <c r="AI215" s="116">
        <v>1</v>
      </c>
      <c r="AJ215" s="117">
        <v>0</v>
      </c>
      <c r="AK215" s="117">
        <v>4</v>
      </c>
      <c r="AL215" s="117">
        <v>0</v>
      </c>
      <c r="AM215" s="117">
        <v>0</v>
      </c>
      <c r="AN215" s="117">
        <v>30</v>
      </c>
      <c r="AO215" s="117">
        <v>0</v>
      </c>
      <c r="AP215" s="117">
        <v>2</v>
      </c>
      <c r="AQ215" s="117">
        <v>31</v>
      </c>
    </row>
    <row r="216" spans="1:43" s="118" customFormat="1" ht="13.5" customHeight="1">
      <c r="A216" s="119">
        <v>222</v>
      </c>
      <c r="B216" s="76" t="s">
        <v>693</v>
      </c>
      <c r="C216" s="75" t="s">
        <v>882</v>
      </c>
      <c r="D216" s="77" t="s">
        <v>883</v>
      </c>
      <c r="E216" s="77" t="s">
        <v>940</v>
      </c>
      <c r="F216" s="120" t="s">
        <v>961</v>
      </c>
      <c r="G216" s="76" t="s">
        <v>694</v>
      </c>
      <c r="H216" s="121" t="s">
        <v>843</v>
      </c>
      <c r="I216" s="122" t="s">
        <v>844</v>
      </c>
      <c r="J216" s="123" t="s">
        <v>885</v>
      </c>
      <c r="K216" s="124">
        <v>2</v>
      </c>
      <c r="L216" s="117">
        <v>2</v>
      </c>
      <c r="M216" s="117">
        <v>1</v>
      </c>
      <c r="N216" s="116">
        <v>15</v>
      </c>
      <c r="O216" s="116">
        <v>1</v>
      </c>
      <c r="P216" s="116">
        <v>0</v>
      </c>
      <c r="Q216" s="116">
        <v>11</v>
      </c>
      <c r="R216" s="116">
        <v>3</v>
      </c>
      <c r="S216" s="116">
        <v>0</v>
      </c>
      <c r="T216" s="116">
        <v>6</v>
      </c>
      <c r="U216" s="116">
        <v>1</v>
      </c>
      <c r="V216" s="116">
        <v>0</v>
      </c>
      <c r="W216" s="116">
        <v>0</v>
      </c>
      <c r="X216" s="116">
        <v>0</v>
      </c>
      <c r="Y216" s="116">
        <v>0</v>
      </c>
      <c r="Z216" s="116">
        <v>24</v>
      </c>
      <c r="AA216" s="116">
        <v>2</v>
      </c>
      <c r="AB216" s="116">
        <v>0</v>
      </c>
      <c r="AC216" s="116">
        <v>0</v>
      </c>
      <c r="AD216" s="116">
        <v>0</v>
      </c>
      <c r="AE216" s="116">
        <v>0</v>
      </c>
      <c r="AF216" s="116">
        <v>0</v>
      </c>
      <c r="AG216" s="116">
        <v>0</v>
      </c>
      <c r="AH216" s="116">
        <v>0</v>
      </c>
      <c r="AI216" s="116">
        <v>1</v>
      </c>
      <c r="AJ216" s="117">
        <v>0</v>
      </c>
      <c r="AK216" s="117">
        <v>10</v>
      </c>
      <c r="AL216" s="117">
        <v>0</v>
      </c>
      <c r="AM216" s="117">
        <v>11</v>
      </c>
      <c r="AN216" s="117">
        <v>40</v>
      </c>
      <c r="AO216" s="117">
        <v>2</v>
      </c>
      <c r="AP216" s="117">
        <v>2</v>
      </c>
      <c r="AQ216" s="117">
        <v>54</v>
      </c>
    </row>
    <row r="217" spans="1:43" s="118" customFormat="1" ht="13.5" customHeight="1">
      <c r="A217" s="119">
        <v>223</v>
      </c>
      <c r="B217" s="76" t="s">
        <v>709</v>
      </c>
      <c r="C217" s="75" t="s">
        <v>882</v>
      </c>
      <c r="D217" s="77" t="s">
        <v>883</v>
      </c>
      <c r="E217" s="77" t="s">
        <v>940</v>
      </c>
      <c r="F217" s="120" t="s">
        <v>963</v>
      </c>
      <c r="G217" s="76" t="s">
        <v>710</v>
      </c>
      <c r="H217" s="121" t="s">
        <v>843</v>
      </c>
      <c r="I217" s="122"/>
      <c r="J217" s="123" t="s">
        <v>888</v>
      </c>
      <c r="K217" s="124">
        <v>2</v>
      </c>
      <c r="L217" s="117">
        <v>1</v>
      </c>
      <c r="M217" s="117">
        <v>1</v>
      </c>
      <c r="N217" s="116">
        <v>4</v>
      </c>
      <c r="O217" s="116">
        <v>2</v>
      </c>
      <c r="P217" s="116">
        <v>0</v>
      </c>
      <c r="Q217" s="116">
        <v>0</v>
      </c>
      <c r="R217" s="116">
        <v>0</v>
      </c>
      <c r="S217" s="116">
        <v>0</v>
      </c>
      <c r="T217" s="116">
        <v>0</v>
      </c>
      <c r="U217" s="116">
        <v>0</v>
      </c>
      <c r="V217" s="116">
        <v>0</v>
      </c>
      <c r="W217" s="116">
        <v>0</v>
      </c>
      <c r="X217" s="116">
        <v>0</v>
      </c>
      <c r="Y217" s="116">
        <v>0</v>
      </c>
      <c r="Z217" s="116">
        <v>0</v>
      </c>
      <c r="AA217" s="116">
        <v>0</v>
      </c>
      <c r="AB217" s="116">
        <v>0</v>
      </c>
      <c r="AC217" s="116">
        <v>0</v>
      </c>
      <c r="AD217" s="116">
        <v>0</v>
      </c>
      <c r="AE217" s="116">
        <v>0</v>
      </c>
      <c r="AF217" s="116">
        <v>3</v>
      </c>
      <c r="AG217" s="116">
        <v>1</v>
      </c>
      <c r="AH217" s="116">
        <v>0</v>
      </c>
      <c r="AI217" s="116">
        <v>1</v>
      </c>
      <c r="AJ217" s="117">
        <v>0</v>
      </c>
      <c r="AK217" s="117">
        <v>3</v>
      </c>
      <c r="AL217" s="117">
        <v>0</v>
      </c>
      <c r="AM217" s="117">
        <v>0</v>
      </c>
      <c r="AN217" s="117">
        <v>28</v>
      </c>
      <c r="AO217" s="117">
        <v>0</v>
      </c>
      <c r="AP217" s="117">
        <v>3</v>
      </c>
      <c r="AQ217" s="117">
        <v>28</v>
      </c>
    </row>
    <row r="218" spans="1:43" s="118" customFormat="1" ht="13.5" customHeight="1">
      <c r="A218" s="119">
        <v>224</v>
      </c>
      <c r="B218" s="76" t="s">
        <v>711</v>
      </c>
      <c r="C218" s="75" t="s">
        <v>882</v>
      </c>
      <c r="D218" s="77" t="s">
        <v>883</v>
      </c>
      <c r="E218" s="77" t="s">
        <v>940</v>
      </c>
      <c r="F218" s="120" t="s">
        <v>960</v>
      </c>
      <c r="G218" s="76" t="s">
        <v>712</v>
      </c>
      <c r="H218" s="121" t="s">
        <v>843</v>
      </c>
      <c r="I218" s="122"/>
      <c r="J218" s="123" t="s">
        <v>888</v>
      </c>
      <c r="K218" s="124">
        <v>2</v>
      </c>
      <c r="L218" s="117">
        <v>1</v>
      </c>
      <c r="M218" s="117">
        <v>1</v>
      </c>
      <c r="N218" s="116">
        <v>7</v>
      </c>
      <c r="O218" s="116">
        <v>4</v>
      </c>
      <c r="P218" s="116">
        <v>0</v>
      </c>
      <c r="Q218" s="116">
        <v>8</v>
      </c>
      <c r="R218" s="116">
        <v>1</v>
      </c>
      <c r="S218" s="116">
        <v>0</v>
      </c>
      <c r="T218" s="116">
        <v>0</v>
      </c>
      <c r="U218" s="116">
        <v>0</v>
      </c>
      <c r="V218" s="116">
        <v>0</v>
      </c>
      <c r="W218" s="116">
        <v>1</v>
      </c>
      <c r="X218" s="116">
        <v>1</v>
      </c>
      <c r="Y218" s="116">
        <v>0</v>
      </c>
      <c r="Z218" s="116">
        <v>0</v>
      </c>
      <c r="AA218" s="116">
        <v>0</v>
      </c>
      <c r="AB218" s="116">
        <v>0</v>
      </c>
      <c r="AC218" s="116">
        <v>0</v>
      </c>
      <c r="AD218" s="116">
        <v>0</v>
      </c>
      <c r="AE218" s="116">
        <v>0</v>
      </c>
      <c r="AF218" s="116">
        <v>13</v>
      </c>
      <c r="AG218" s="116">
        <v>3</v>
      </c>
      <c r="AH218" s="116">
        <v>0</v>
      </c>
      <c r="AI218" s="116">
        <v>1</v>
      </c>
      <c r="AJ218" s="117">
        <v>0</v>
      </c>
      <c r="AK218" s="117">
        <v>5</v>
      </c>
      <c r="AL218" s="117">
        <v>1</v>
      </c>
      <c r="AM218" s="117">
        <v>0</v>
      </c>
      <c r="AN218" s="117">
        <v>41</v>
      </c>
      <c r="AO218" s="117">
        <v>0</v>
      </c>
      <c r="AP218" s="117">
        <v>4</v>
      </c>
      <c r="AQ218" s="117">
        <v>43</v>
      </c>
    </row>
    <row r="219" spans="1:43" s="118" customFormat="1" ht="13.5" customHeight="1">
      <c r="A219" s="119">
        <v>225</v>
      </c>
      <c r="B219" s="76" t="s">
        <v>485</v>
      </c>
      <c r="C219" s="75" t="s">
        <v>882</v>
      </c>
      <c r="D219" s="77" t="s">
        <v>883</v>
      </c>
      <c r="E219" s="77" t="s">
        <v>940</v>
      </c>
      <c r="F219" s="120" t="s">
        <v>961</v>
      </c>
      <c r="G219" s="76" t="s">
        <v>486</v>
      </c>
      <c r="H219" s="121" t="s">
        <v>843</v>
      </c>
      <c r="I219" s="122" t="s">
        <v>842</v>
      </c>
      <c r="J219" s="123" t="s">
        <v>885</v>
      </c>
      <c r="K219" s="124">
        <v>2</v>
      </c>
      <c r="L219" s="117">
        <v>2</v>
      </c>
      <c r="M219" s="117">
        <v>1</v>
      </c>
      <c r="N219" s="116">
        <v>7</v>
      </c>
      <c r="O219" s="116">
        <v>1</v>
      </c>
      <c r="P219" s="116">
        <v>0</v>
      </c>
      <c r="Q219" s="116">
        <v>5</v>
      </c>
      <c r="R219" s="116">
        <v>3</v>
      </c>
      <c r="S219" s="116">
        <v>0</v>
      </c>
      <c r="T219" s="116">
        <v>0</v>
      </c>
      <c r="U219" s="116">
        <v>0</v>
      </c>
      <c r="V219" s="116">
        <v>0</v>
      </c>
      <c r="W219" s="116">
        <v>1</v>
      </c>
      <c r="X219" s="116">
        <v>0</v>
      </c>
      <c r="Y219" s="116">
        <v>0</v>
      </c>
      <c r="Z219" s="116">
        <v>10</v>
      </c>
      <c r="AA219" s="116">
        <v>3</v>
      </c>
      <c r="AB219" s="116">
        <v>0</v>
      </c>
      <c r="AC219" s="116">
        <v>0</v>
      </c>
      <c r="AD219" s="116">
        <v>0</v>
      </c>
      <c r="AE219" s="116">
        <v>0</v>
      </c>
      <c r="AF219" s="116">
        <v>0</v>
      </c>
      <c r="AG219" s="116">
        <v>0</v>
      </c>
      <c r="AH219" s="116">
        <v>0</v>
      </c>
      <c r="AI219" s="116">
        <v>1</v>
      </c>
      <c r="AJ219" s="117">
        <v>1</v>
      </c>
      <c r="AK219" s="117">
        <v>11</v>
      </c>
      <c r="AL219" s="117">
        <v>0</v>
      </c>
      <c r="AM219" s="117">
        <v>14</v>
      </c>
      <c r="AN219" s="117">
        <v>37</v>
      </c>
      <c r="AO219" s="117">
        <v>0</v>
      </c>
      <c r="AP219" s="117">
        <v>7</v>
      </c>
      <c r="AQ219" s="117">
        <v>53</v>
      </c>
    </row>
    <row r="220" spans="1:43" s="118" customFormat="1" ht="13.5" customHeight="1">
      <c r="A220" s="119">
        <v>226</v>
      </c>
      <c r="B220" s="76" t="s">
        <v>488</v>
      </c>
      <c r="C220" s="75" t="s">
        <v>882</v>
      </c>
      <c r="D220" s="77" t="s">
        <v>883</v>
      </c>
      <c r="E220" s="77" t="s">
        <v>940</v>
      </c>
      <c r="F220" s="120" t="s">
        <v>961</v>
      </c>
      <c r="G220" s="76" t="s">
        <v>489</v>
      </c>
      <c r="H220" s="121" t="s">
        <v>843</v>
      </c>
      <c r="I220" s="122"/>
      <c r="J220" s="123" t="s">
        <v>888</v>
      </c>
      <c r="K220" s="124">
        <v>2</v>
      </c>
      <c r="L220" s="117">
        <v>1</v>
      </c>
      <c r="M220" s="117">
        <v>1</v>
      </c>
      <c r="N220" s="116">
        <v>9</v>
      </c>
      <c r="O220" s="116">
        <v>3</v>
      </c>
      <c r="P220" s="116">
        <v>0</v>
      </c>
      <c r="Q220" s="116">
        <v>2</v>
      </c>
      <c r="R220" s="116">
        <v>0</v>
      </c>
      <c r="S220" s="116">
        <v>0</v>
      </c>
      <c r="T220" s="116">
        <v>1</v>
      </c>
      <c r="U220" s="116">
        <v>1</v>
      </c>
      <c r="V220" s="116">
        <v>0</v>
      </c>
      <c r="W220" s="116">
        <v>0</v>
      </c>
      <c r="X220" s="116">
        <v>0</v>
      </c>
      <c r="Y220" s="116">
        <v>0</v>
      </c>
      <c r="Z220" s="116">
        <v>9</v>
      </c>
      <c r="AA220" s="116">
        <v>1</v>
      </c>
      <c r="AB220" s="116">
        <v>0</v>
      </c>
      <c r="AC220" s="116">
        <v>0</v>
      </c>
      <c r="AD220" s="116">
        <v>0</v>
      </c>
      <c r="AE220" s="116">
        <v>0</v>
      </c>
      <c r="AF220" s="116">
        <v>0</v>
      </c>
      <c r="AG220" s="116">
        <v>0</v>
      </c>
      <c r="AH220" s="116">
        <v>0</v>
      </c>
      <c r="AI220" s="116">
        <v>1</v>
      </c>
      <c r="AJ220" s="117">
        <v>0</v>
      </c>
      <c r="AK220" s="117">
        <v>6</v>
      </c>
      <c r="AL220" s="117">
        <v>2</v>
      </c>
      <c r="AM220" s="117">
        <v>4</v>
      </c>
      <c r="AN220" s="117">
        <v>21</v>
      </c>
      <c r="AO220" s="117">
        <v>0</v>
      </c>
      <c r="AP220" s="117">
        <v>4</v>
      </c>
      <c r="AQ220" s="117">
        <v>31</v>
      </c>
    </row>
    <row r="221" spans="1:43" s="118" customFormat="1" ht="13.5" customHeight="1">
      <c r="A221" s="119">
        <v>227</v>
      </c>
      <c r="B221" s="76" t="s">
        <v>717</v>
      </c>
      <c r="C221" s="75" t="s">
        <v>882</v>
      </c>
      <c r="D221" s="77" t="s">
        <v>883</v>
      </c>
      <c r="E221" s="77" t="s">
        <v>940</v>
      </c>
      <c r="F221" s="120" t="s">
        <v>961</v>
      </c>
      <c r="G221" s="76" t="s">
        <v>718</v>
      </c>
      <c r="H221" s="121" t="s">
        <v>843</v>
      </c>
      <c r="I221" s="122"/>
      <c r="J221" s="123" t="s">
        <v>888</v>
      </c>
      <c r="K221" s="124">
        <v>2</v>
      </c>
      <c r="L221" s="117">
        <v>2</v>
      </c>
      <c r="M221" s="117">
        <v>1</v>
      </c>
      <c r="N221" s="116">
        <v>5</v>
      </c>
      <c r="O221" s="116">
        <v>1</v>
      </c>
      <c r="P221" s="116">
        <v>0</v>
      </c>
      <c r="Q221" s="116">
        <v>2</v>
      </c>
      <c r="R221" s="116">
        <v>3</v>
      </c>
      <c r="S221" s="116">
        <v>0</v>
      </c>
      <c r="T221" s="116">
        <v>3</v>
      </c>
      <c r="U221" s="116">
        <v>0</v>
      </c>
      <c r="V221" s="116">
        <v>0</v>
      </c>
      <c r="W221" s="116">
        <v>0</v>
      </c>
      <c r="X221" s="116">
        <v>0</v>
      </c>
      <c r="Y221" s="116">
        <v>0</v>
      </c>
      <c r="Z221" s="116">
        <v>3</v>
      </c>
      <c r="AA221" s="116">
        <v>3</v>
      </c>
      <c r="AB221" s="116">
        <v>0</v>
      </c>
      <c r="AC221" s="116">
        <v>0</v>
      </c>
      <c r="AD221" s="116">
        <v>0</v>
      </c>
      <c r="AE221" s="116">
        <v>0</v>
      </c>
      <c r="AF221" s="116">
        <v>0</v>
      </c>
      <c r="AG221" s="116">
        <v>0</v>
      </c>
      <c r="AH221" s="116">
        <v>0</v>
      </c>
      <c r="AI221" s="116">
        <v>1</v>
      </c>
      <c r="AJ221" s="117">
        <v>1</v>
      </c>
      <c r="AK221" s="117">
        <v>2</v>
      </c>
      <c r="AL221" s="117">
        <v>0</v>
      </c>
      <c r="AM221" s="117">
        <v>7</v>
      </c>
      <c r="AN221" s="117">
        <v>11</v>
      </c>
      <c r="AO221" s="117">
        <v>0</v>
      </c>
      <c r="AP221" s="117">
        <v>2</v>
      </c>
      <c r="AQ221" s="117">
        <v>19</v>
      </c>
    </row>
    <row r="222" spans="1:43" s="118" customFormat="1" ht="13.5" customHeight="1">
      <c r="A222" s="119">
        <v>228</v>
      </c>
      <c r="B222" s="76" t="s">
        <v>365</v>
      </c>
      <c r="C222" s="75" t="s">
        <v>882</v>
      </c>
      <c r="D222" s="77" t="s">
        <v>883</v>
      </c>
      <c r="E222" s="77" t="s">
        <v>940</v>
      </c>
      <c r="F222" s="120" t="s">
        <v>960</v>
      </c>
      <c r="G222" s="76" t="s">
        <v>366</v>
      </c>
      <c r="H222" s="121" t="s">
        <v>843</v>
      </c>
      <c r="I222" s="122"/>
      <c r="J222" s="123" t="s">
        <v>888</v>
      </c>
      <c r="K222" s="124">
        <v>2</v>
      </c>
      <c r="L222" s="117">
        <v>2</v>
      </c>
      <c r="M222" s="117">
        <v>1</v>
      </c>
      <c r="N222" s="116">
        <v>7</v>
      </c>
      <c r="O222" s="116">
        <v>1</v>
      </c>
      <c r="P222" s="116">
        <v>0</v>
      </c>
      <c r="Q222" s="116">
        <v>9</v>
      </c>
      <c r="R222" s="116">
        <v>3</v>
      </c>
      <c r="S222" s="116">
        <v>0</v>
      </c>
      <c r="T222" s="116">
        <v>0</v>
      </c>
      <c r="U222" s="116">
        <v>0</v>
      </c>
      <c r="V222" s="116">
        <v>0</v>
      </c>
      <c r="W222" s="116">
        <v>0</v>
      </c>
      <c r="X222" s="116">
        <v>0</v>
      </c>
      <c r="Y222" s="116">
        <v>0</v>
      </c>
      <c r="Z222" s="116">
        <v>0</v>
      </c>
      <c r="AA222" s="116">
        <v>0</v>
      </c>
      <c r="AB222" s="116">
        <v>0</v>
      </c>
      <c r="AC222" s="116">
        <v>15</v>
      </c>
      <c r="AD222" s="116">
        <v>3</v>
      </c>
      <c r="AE222" s="116">
        <v>0</v>
      </c>
      <c r="AF222" s="116">
        <v>0</v>
      </c>
      <c r="AG222" s="116">
        <v>0</v>
      </c>
      <c r="AH222" s="116">
        <v>0</v>
      </c>
      <c r="AI222" s="116">
        <v>1</v>
      </c>
      <c r="AJ222" s="117">
        <v>0</v>
      </c>
      <c r="AK222" s="117">
        <v>5</v>
      </c>
      <c r="AL222" s="117">
        <v>0</v>
      </c>
      <c r="AM222" s="117">
        <v>0</v>
      </c>
      <c r="AN222" s="117">
        <v>35</v>
      </c>
      <c r="AO222" s="117">
        <v>0</v>
      </c>
      <c r="AP222" s="117">
        <v>4</v>
      </c>
      <c r="AQ222" s="117">
        <v>36</v>
      </c>
    </row>
    <row r="223" spans="1:43" s="118" customFormat="1" ht="13.5" customHeight="1">
      <c r="A223" s="119">
        <v>229</v>
      </c>
      <c r="B223" s="76" t="s">
        <v>725</v>
      </c>
      <c r="C223" s="75" t="s">
        <v>882</v>
      </c>
      <c r="D223" s="77" t="s">
        <v>883</v>
      </c>
      <c r="E223" s="77" t="s">
        <v>940</v>
      </c>
      <c r="F223" s="120" t="s">
        <v>961</v>
      </c>
      <c r="G223" s="76" t="s">
        <v>726</v>
      </c>
      <c r="H223" s="121" t="s">
        <v>843</v>
      </c>
      <c r="I223" s="122" t="s">
        <v>842</v>
      </c>
      <c r="J223" s="123" t="s">
        <v>888</v>
      </c>
      <c r="K223" s="124">
        <v>2</v>
      </c>
      <c r="L223" s="117">
        <v>1</v>
      </c>
      <c r="M223" s="117">
        <v>1</v>
      </c>
      <c r="N223" s="116">
        <v>4</v>
      </c>
      <c r="O223" s="116">
        <v>7</v>
      </c>
      <c r="P223" s="116">
        <v>0</v>
      </c>
      <c r="Q223" s="116">
        <v>5</v>
      </c>
      <c r="R223" s="116">
        <v>0</v>
      </c>
      <c r="S223" s="116">
        <v>0</v>
      </c>
      <c r="T223" s="116">
        <v>0</v>
      </c>
      <c r="U223" s="116">
        <v>0</v>
      </c>
      <c r="V223" s="116">
        <v>0</v>
      </c>
      <c r="W223" s="116">
        <v>0</v>
      </c>
      <c r="X223" s="116">
        <v>0</v>
      </c>
      <c r="Y223" s="116">
        <v>0</v>
      </c>
      <c r="Z223" s="116">
        <v>8</v>
      </c>
      <c r="AA223" s="116">
        <v>6</v>
      </c>
      <c r="AB223" s="116">
        <v>0</v>
      </c>
      <c r="AC223" s="116">
        <v>0</v>
      </c>
      <c r="AD223" s="116">
        <v>0</v>
      </c>
      <c r="AE223" s="116">
        <v>0</v>
      </c>
      <c r="AF223" s="116">
        <v>0</v>
      </c>
      <c r="AG223" s="116">
        <v>0</v>
      </c>
      <c r="AH223" s="116">
        <v>0</v>
      </c>
      <c r="AI223" s="116">
        <v>1</v>
      </c>
      <c r="AJ223" s="117">
        <v>1</v>
      </c>
      <c r="AK223" s="117">
        <v>5</v>
      </c>
      <c r="AL223" s="117">
        <v>0</v>
      </c>
      <c r="AM223" s="117">
        <v>14</v>
      </c>
      <c r="AN223" s="117">
        <v>26</v>
      </c>
      <c r="AO223" s="117">
        <v>0</v>
      </c>
      <c r="AP223" s="117">
        <v>4</v>
      </c>
      <c r="AQ223" s="117">
        <v>42</v>
      </c>
    </row>
    <row r="224" spans="1:43" s="118" customFormat="1" ht="13.5" customHeight="1">
      <c r="A224" s="119">
        <v>230</v>
      </c>
      <c r="B224" s="76" t="s">
        <v>51</v>
      </c>
      <c r="C224" s="75" t="s">
        <v>882</v>
      </c>
      <c r="D224" s="77" t="s">
        <v>883</v>
      </c>
      <c r="E224" s="77" t="s">
        <v>940</v>
      </c>
      <c r="F224" s="120" t="s">
        <v>962</v>
      </c>
      <c r="G224" s="76" t="s">
        <v>52</v>
      </c>
      <c r="H224" s="121" t="s">
        <v>843</v>
      </c>
      <c r="I224" s="122"/>
      <c r="J224" s="123" t="s">
        <v>888</v>
      </c>
      <c r="K224" s="124">
        <v>2</v>
      </c>
      <c r="L224" s="117">
        <v>1</v>
      </c>
      <c r="M224" s="117">
        <v>1</v>
      </c>
      <c r="N224" s="116">
        <v>7</v>
      </c>
      <c r="O224" s="116">
        <v>1</v>
      </c>
      <c r="P224" s="116">
        <v>0</v>
      </c>
      <c r="Q224" s="116">
        <v>7</v>
      </c>
      <c r="R224" s="116">
        <v>3</v>
      </c>
      <c r="S224" s="116">
        <v>0</v>
      </c>
      <c r="T224" s="116">
        <v>0</v>
      </c>
      <c r="U224" s="116">
        <v>0</v>
      </c>
      <c r="V224" s="116">
        <v>0</v>
      </c>
      <c r="W224" s="116">
        <v>0</v>
      </c>
      <c r="X224" s="116">
        <v>0</v>
      </c>
      <c r="Y224" s="116">
        <v>0</v>
      </c>
      <c r="Z224" s="116">
        <v>0</v>
      </c>
      <c r="AA224" s="116">
        <v>0</v>
      </c>
      <c r="AB224" s="116">
        <v>0</v>
      </c>
      <c r="AC224" s="116">
        <v>13</v>
      </c>
      <c r="AD224" s="116">
        <v>3</v>
      </c>
      <c r="AE224" s="116">
        <v>0</v>
      </c>
      <c r="AF224" s="116">
        <v>0</v>
      </c>
      <c r="AG224" s="116">
        <v>0</v>
      </c>
      <c r="AH224" s="116">
        <v>0</v>
      </c>
      <c r="AI224" s="116">
        <v>1</v>
      </c>
      <c r="AJ224" s="117">
        <v>0</v>
      </c>
      <c r="AK224" s="117">
        <v>8</v>
      </c>
      <c r="AL224" s="117">
        <v>0</v>
      </c>
      <c r="AM224" s="117">
        <v>0</v>
      </c>
      <c r="AN224" s="117">
        <v>63</v>
      </c>
      <c r="AO224" s="117">
        <v>0</v>
      </c>
      <c r="AP224" s="117">
        <v>8</v>
      </c>
      <c r="AQ224" s="117">
        <v>63</v>
      </c>
    </row>
    <row r="225" spans="1:43" s="118" customFormat="1" ht="13.5" customHeight="1">
      <c r="A225" s="119">
        <v>232</v>
      </c>
      <c r="B225" s="76" t="s">
        <v>368</v>
      </c>
      <c r="C225" s="75" t="s">
        <v>882</v>
      </c>
      <c r="D225" s="77" t="s">
        <v>883</v>
      </c>
      <c r="E225" s="77" t="s">
        <v>940</v>
      </c>
      <c r="F225" s="120" t="s">
        <v>960</v>
      </c>
      <c r="G225" s="76" t="s">
        <v>369</v>
      </c>
      <c r="H225" s="121" t="s">
        <v>843</v>
      </c>
      <c r="I225" s="122" t="s">
        <v>842</v>
      </c>
      <c r="J225" s="123" t="s">
        <v>888</v>
      </c>
      <c r="K225" s="124">
        <v>2</v>
      </c>
      <c r="L225" s="117">
        <v>1</v>
      </c>
      <c r="M225" s="117">
        <v>1</v>
      </c>
      <c r="N225" s="116">
        <v>10</v>
      </c>
      <c r="O225" s="116">
        <v>4</v>
      </c>
      <c r="P225" s="116">
        <v>0</v>
      </c>
      <c r="Q225" s="116">
        <v>3</v>
      </c>
      <c r="R225" s="116">
        <v>0</v>
      </c>
      <c r="S225" s="116">
        <v>0</v>
      </c>
      <c r="T225" s="116">
        <v>0</v>
      </c>
      <c r="U225" s="116">
        <v>0</v>
      </c>
      <c r="V225" s="116">
        <v>0</v>
      </c>
      <c r="W225" s="116">
        <v>0</v>
      </c>
      <c r="X225" s="116">
        <v>0</v>
      </c>
      <c r="Y225" s="116">
        <v>0</v>
      </c>
      <c r="Z225" s="116">
        <v>12</v>
      </c>
      <c r="AA225" s="116">
        <v>3</v>
      </c>
      <c r="AB225" s="116">
        <v>0</v>
      </c>
      <c r="AC225" s="116">
        <v>1</v>
      </c>
      <c r="AD225" s="116">
        <v>0</v>
      </c>
      <c r="AE225" s="116">
        <v>0</v>
      </c>
      <c r="AF225" s="116">
        <v>0</v>
      </c>
      <c r="AG225" s="116">
        <v>0</v>
      </c>
      <c r="AH225" s="116">
        <v>0</v>
      </c>
      <c r="AI225" s="116">
        <v>1</v>
      </c>
      <c r="AJ225" s="117">
        <v>0</v>
      </c>
      <c r="AK225" s="117">
        <v>8</v>
      </c>
      <c r="AL225" s="117">
        <v>1</v>
      </c>
      <c r="AM225" s="117">
        <v>8</v>
      </c>
      <c r="AN225" s="117">
        <v>41</v>
      </c>
      <c r="AO225" s="117">
        <v>0</v>
      </c>
      <c r="AP225" s="117">
        <v>8</v>
      </c>
      <c r="AQ225" s="117">
        <v>51</v>
      </c>
    </row>
    <row r="226" spans="1:43" s="118" customFormat="1" ht="13.5" customHeight="1">
      <c r="A226" s="119">
        <v>233</v>
      </c>
      <c r="B226" s="76" t="s">
        <v>737</v>
      </c>
      <c r="C226" s="75" t="s">
        <v>882</v>
      </c>
      <c r="D226" s="77" t="s">
        <v>883</v>
      </c>
      <c r="E226" s="77" t="s">
        <v>940</v>
      </c>
      <c r="F226" s="120" t="s">
        <v>962</v>
      </c>
      <c r="G226" s="76" t="s">
        <v>738</v>
      </c>
      <c r="H226" s="121" t="s">
        <v>843</v>
      </c>
      <c r="I226" s="122" t="s">
        <v>842</v>
      </c>
      <c r="J226" s="123" t="s">
        <v>888</v>
      </c>
      <c r="K226" s="124">
        <v>2</v>
      </c>
      <c r="L226" s="117">
        <v>1</v>
      </c>
      <c r="M226" s="117">
        <v>1</v>
      </c>
      <c r="N226" s="116">
        <v>8</v>
      </c>
      <c r="O226" s="116">
        <v>3</v>
      </c>
      <c r="P226" s="116">
        <v>0</v>
      </c>
      <c r="Q226" s="116">
        <v>6</v>
      </c>
      <c r="R226" s="116">
        <v>2</v>
      </c>
      <c r="S226" s="116">
        <v>0</v>
      </c>
      <c r="T226" s="116">
        <v>5</v>
      </c>
      <c r="U226" s="116">
        <v>2</v>
      </c>
      <c r="V226" s="116">
        <v>0</v>
      </c>
      <c r="W226" s="116">
        <v>0</v>
      </c>
      <c r="X226" s="116">
        <v>0</v>
      </c>
      <c r="Y226" s="116">
        <v>0</v>
      </c>
      <c r="Z226" s="116">
        <v>0</v>
      </c>
      <c r="AA226" s="116">
        <v>0</v>
      </c>
      <c r="AB226" s="116">
        <v>0</v>
      </c>
      <c r="AC226" s="116">
        <v>0</v>
      </c>
      <c r="AD226" s="116">
        <v>0</v>
      </c>
      <c r="AE226" s="116">
        <v>0</v>
      </c>
      <c r="AF226" s="116">
        <v>8</v>
      </c>
      <c r="AG226" s="116">
        <v>2</v>
      </c>
      <c r="AH226" s="116">
        <v>0</v>
      </c>
      <c r="AI226" s="116">
        <v>1</v>
      </c>
      <c r="AJ226" s="117">
        <v>0</v>
      </c>
      <c r="AK226" s="117">
        <v>6</v>
      </c>
      <c r="AL226" s="117">
        <v>0</v>
      </c>
      <c r="AM226" s="117">
        <v>0</v>
      </c>
      <c r="AN226" s="117">
        <v>54</v>
      </c>
      <c r="AO226" s="117">
        <v>0</v>
      </c>
      <c r="AP226" s="117">
        <v>4</v>
      </c>
      <c r="AQ226" s="117">
        <v>56</v>
      </c>
    </row>
    <row r="227" spans="1:43" s="118" customFormat="1" ht="13.5" customHeight="1">
      <c r="A227" s="119">
        <v>234</v>
      </c>
      <c r="B227" s="76" t="s">
        <v>739</v>
      </c>
      <c r="C227" s="75" t="s">
        <v>882</v>
      </c>
      <c r="D227" s="77" t="s">
        <v>883</v>
      </c>
      <c r="E227" s="77" t="s">
        <v>940</v>
      </c>
      <c r="F227" s="120" t="s">
        <v>961</v>
      </c>
      <c r="G227" s="76" t="s">
        <v>740</v>
      </c>
      <c r="H227" s="121" t="s">
        <v>843</v>
      </c>
      <c r="I227" s="122" t="s">
        <v>842</v>
      </c>
      <c r="J227" s="123" t="s">
        <v>888</v>
      </c>
      <c r="K227" s="124">
        <v>2</v>
      </c>
      <c r="L227" s="117">
        <v>1</v>
      </c>
      <c r="M227" s="117">
        <v>1</v>
      </c>
      <c r="N227" s="116">
        <v>9</v>
      </c>
      <c r="O227" s="116">
        <v>7</v>
      </c>
      <c r="P227" s="116">
        <v>0</v>
      </c>
      <c r="Q227" s="116">
        <v>1</v>
      </c>
      <c r="R227" s="116">
        <v>0</v>
      </c>
      <c r="S227" s="116">
        <v>0</v>
      </c>
      <c r="T227" s="116">
        <v>2</v>
      </c>
      <c r="U227" s="116">
        <v>2</v>
      </c>
      <c r="V227" s="116">
        <v>0</v>
      </c>
      <c r="W227" s="116">
        <v>0</v>
      </c>
      <c r="X227" s="116">
        <v>0</v>
      </c>
      <c r="Y227" s="116">
        <v>0</v>
      </c>
      <c r="Z227" s="116">
        <v>7</v>
      </c>
      <c r="AA227" s="116">
        <v>4</v>
      </c>
      <c r="AB227" s="116">
        <v>0</v>
      </c>
      <c r="AC227" s="116">
        <v>0</v>
      </c>
      <c r="AD227" s="116">
        <v>0</v>
      </c>
      <c r="AE227" s="116">
        <v>0</v>
      </c>
      <c r="AF227" s="116">
        <v>0</v>
      </c>
      <c r="AG227" s="116">
        <v>0</v>
      </c>
      <c r="AH227" s="116">
        <v>0</v>
      </c>
      <c r="AI227" s="116">
        <v>1</v>
      </c>
      <c r="AJ227" s="117">
        <v>2</v>
      </c>
      <c r="AK227" s="117">
        <v>8</v>
      </c>
      <c r="AL227" s="117">
        <v>0</v>
      </c>
      <c r="AM227" s="117">
        <v>3</v>
      </c>
      <c r="AN227" s="117">
        <v>54</v>
      </c>
      <c r="AO227" s="117">
        <v>0</v>
      </c>
      <c r="AP227" s="117">
        <v>7</v>
      </c>
      <c r="AQ227" s="117">
        <v>60</v>
      </c>
    </row>
    <row r="228" spans="1:43" s="118" customFormat="1" ht="13.5" customHeight="1">
      <c r="A228" s="119">
        <v>235</v>
      </c>
      <c r="B228" s="76" t="s">
        <v>747</v>
      </c>
      <c r="C228" s="75" t="s">
        <v>882</v>
      </c>
      <c r="D228" s="77" t="s">
        <v>883</v>
      </c>
      <c r="E228" s="77" t="s">
        <v>940</v>
      </c>
      <c r="F228" s="120" t="s">
        <v>960</v>
      </c>
      <c r="G228" s="76" t="s">
        <v>748</v>
      </c>
      <c r="H228" s="121" t="s">
        <v>843</v>
      </c>
      <c r="I228" s="122" t="s">
        <v>842</v>
      </c>
      <c r="J228" s="123" t="s">
        <v>888</v>
      </c>
      <c r="K228" s="124">
        <v>2</v>
      </c>
      <c r="L228" s="117">
        <v>1</v>
      </c>
      <c r="M228" s="117">
        <v>1</v>
      </c>
      <c r="N228" s="116">
        <v>11</v>
      </c>
      <c r="O228" s="116">
        <v>10</v>
      </c>
      <c r="P228" s="116">
        <v>0</v>
      </c>
      <c r="Q228" s="116">
        <v>0</v>
      </c>
      <c r="R228" s="116">
        <v>0</v>
      </c>
      <c r="S228" s="116">
        <v>0</v>
      </c>
      <c r="T228" s="116">
        <v>0</v>
      </c>
      <c r="U228" s="116">
        <v>0</v>
      </c>
      <c r="V228" s="116">
        <v>0</v>
      </c>
      <c r="W228" s="116">
        <v>0</v>
      </c>
      <c r="X228" s="116">
        <v>0</v>
      </c>
      <c r="Y228" s="116">
        <v>0</v>
      </c>
      <c r="Z228" s="116">
        <v>11</v>
      </c>
      <c r="AA228" s="116">
        <v>9</v>
      </c>
      <c r="AB228" s="116">
        <v>0</v>
      </c>
      <c r="AC228" s="116">
        <v>0</v>
      </c>
      <c r="AD228" s="116">
        <v>0</v>
      </c>
      <c r="AE228" s="116">
        <v>0</v>
      </c>
      <c r="AF228" s="116">
        <v>0</v>
      </c>
      <c r="AG228" s="116">
        <v>0</v>
      </c>
      <c r="AH228" s="116">
        <v>0</v>
      </c>
      <c r="AI228" s="116">
        <v>1</v>
      </c>
      <c r="AJ228" s="117">
        <v>0</v>
      </c>
      <c r="AK228" s="117">
        <v>5</v>
      </c>
      <c r="AL228" s="117">
        <v>0</v>
      </c>
      <c r="AM228" s="117">
        <v>0</v>
      </c>
      <c r="AN228" s="117">
        <v>48</v>
      </c>
      <c r="AO228" s="117">
        <v>0</v>
      </c>
      <c r="AP228" s="117">
        <v>4</v>
      </c>
      <c r="AQ228" s="117">
        <v>49</v>
      </c>
    </row>
    <row r="229" spans="1:43" s="118" customFormat="1" ht="13.5" customHeight="1">
      <c r="A229" s="119">
        <v>236</v>
      </c>
      <c r="B229" s="76" t="s">
        <v>539</v>
      </c>
      <c r="C229" s="75" t="s">
        <v>882</v>
      </c>
      <c r="D229" s="77" t="s">
        <v>883</v>
      </c>
      <c r="E229" s="77" t="s">
        <v>940</v>
      </c>
      <c r="F229" s="120" t="s">
        <v>961</v>
      </c>
      <c r="G229" s="76" t="s">
        <v>540</v>
      </c>
      <c r="H229" s="121" t="s">
        <v>843</v>
      </c>
      <c r="I229" s="122" t="s">
        <v>842</v>
      </c>
      <c r="J229" s="123" t="s">
        <v>888</v>
      </c>
      <c r="K229" s="124">
        <v>2</v>
      </c>
      <c r="L229" s="117">
        <v>1</v>
      </c>
      <c r="M229" s="117">
        <v>1</v>
      </c>
      <c r="N229" s="116">
        <v>3</v>
      </c>
      <c r="O229" s="116">
        <v>1</v>
      </c>
      <c r="P229" s="116">
        <v>0</v>
      </c>
      <c r="Q229" s="116">
        <v>10</v>
      </c>
      <c r="R229" s="116">
        <v>2</v>
      </c>
      <c r="S229" s="116">
        <v>0</v>
      </c>
      <c r="T229" s="116">
        <v>1</v>
      </c>
      <c r="U229" s="116">
        <v>0</v>
      </c>
      <c r="V229" s="116">
        <v>0</v>
      </c>
      <c r="W229" s="116">
        <v>0</v>
      </c>
      <c r="X229" s="116">
        <v>0</v>
      </c>
      <c r="Y229" s="116">
        <v>0</v>
      </c>
      <c r="Z229" s="116">
        <v>12</v>
      </c>
      <c r="AA229" s="116">
        <v>2</v>
      </c>
      <c r="AB229" s="116">
        <v>0</v>
      </c>
      <c r="AC229" s="116">
        <v>0</v>
      </c>
      <c r="AD229" s="116">
        <v>0</v>
      </c>
      <c r="AE229" s="116">
        <v>0</v>
      </c>
      <c r="AF229" s="116">
        <v>0</v>
      </c>
      <c r="AG229" s="116">
        <v>0</v>
      </c>
      <c r="AH229" s="116">
        <v>0</v>
      </c>
      <c r="AI229" s="116">
        <v>1</v>
      </c>
      <c r="AJ229" s="117">
        <v>0</v>
      </c>
      <c r="AK229" s="117">
        <v>6</v>
      </c>
      <c r="AL229" s="117">
        <v>0</v>
      </c>
      <c r="AM229" s="117">
        <v>14</v>
      </c>
      <c r="AN229" s="117">
        <v>19</v>
      </c>
      <c r="AO229" s="117">
        <v>0</v>
      </c>
      <c r="AP229" s="117">
        <v>4</v>
      </c>
      <c r="AQ229" s="117">
        <v>34</v>
      </c>
    </row>
    <row r="230" spans="1:43" s="118" customFormat="1" ht="13.5" customHeight="1">
      <c r="A230" s="119">
        <v>237</v>
      </c>
      <c r="B230" s="76" t="s">
        <v>569</v>
      </c>
      <c r="C230" s="75" t="s">
        <v>882</v>
      </c>
      <c r="D230" s="77" t="s">
        <v>883</v>
      </c>
      <c r="E230" s="77" t="s">
        <v>940</v>
      </c>
      <c r="F230" s="120" t="s">
        <v>961</v>
      </c>
      <c r="G230" s="76" t="s">
        <v>570</v>
      </c>
      <c r="H230" s="121" t="s">
        <v>843</v>
      </c>
      <c r="I230" s="122"/>
      <c r="J230" s="123" t="s">
        <v>888</v>
      </c>
      <c r="K230" s="124">
        <v>2</v>
      </c>
      <c r="L230" s="117">
        <v>1</v>
      </c>
      <c r="M230" s="117">
        <v>1</v>
      </c>
      <c r="N230" s="116">
        <v>5</v>
      </c>
      <c r="O230" s="116">
        <v>3</v>
      </c>
      <c r="P230" s="116">
        <v>0</v>
      </c>
      <c r="Q230" s="116">
        <v>0</v>
      </c>
      <c r="R230" s="116">
        <v>0</v>
      </c>
      <c r="S230" s="116">
        <v>0</v>
      </c>
      <c r="T230" s="116">
        <v>0</v>
      </c>
      <c r="U230" s="116">
        <v>0</v>
      </c>
      <c r="V230" s="116">
        <v>0</v>
      </c>
      <c r="W230" s="116">
        <v>0</v>
      </c>
      <c r="X230" s="116">
        <v>0</v>
      </c>
      <c r="Y230" s="116">
        <v>0</v>
      </c>
      <c r="Z230" s="116">
        <v>4</v>
      </c>
      <c r="AA230" s="116">
        <v>2</v>
      </c>
      <c r="AB230" s="116">
        <v>0</v>
      </c>
      <c r="AC230" s="116">
        <v>0</v>
      </c>
      <c r="AD230" s="116">
        <v>0</v>
      </c>
      <c r="AE230" s="116">
        <v>0</v>
      </c>
      <c r="AF230" s="116">
        <v>0</v>
      </c>
      <c r="AG230" s="116">
        <v>0</v>
      </c>
      <c r="AH230" s="116">
        <v>0</v>
      </c>
      <c r="AI230" s="116">
        <v>1</v>
      </c>
      <c r="AJ230" s="117">
        <v>0</v>
      </c>
      <c r="AK230" s="117">
        <v>3</v>
      </c>
      <c r="AL230" s="117">
        <v>0</v>
      </c>
      <c r="AM230" s="117">
        <v>0</v>
      </c>
      <c r="AN230" s="117">
        <v>30</v>
      </c>
      <c r="AO230" s="117">
        <v>0</v>
      </c>
      <c r="AP230" s="117">
        <v>3</v>
      </c>
      <c r="AQ230" s="117">
        <v>30</v>
      </c>
    </row>
    <row r="231" spans="1:43" s="118" customFormat="1" ht="13.5" customHeight="1">
      <c r="A231" s="119">
        <v>238</v>
      </c>
      <c r="B231" s="76" t="s">
        <v>759</v>
      </c>
      <c r="C231" s="75" t="s">
        <v>882</v>
      </c>
      <c r="D231" s="77" t="s">
        <v>883</v>
      </c>
      <c r="E231" s="77" t="s">
        <v>940</v>
      </c>
      <c r="F231" s="120" t="s">
        <v>960</v>
      </c>
      <c r="G231" s="76" t="s">
        <v>760</v>
      </c>
      <c r="H231" s="121" t="s">
        <v>843</v>
      </c>
      <c r="I231" s="122"/>
      <c r="J231" s="123" t="s">
        <v>888</v>
      </c>
      <c r="K231" s="124">
        <v>2</v>
      </c>
      <c r="L231" s="117">
        <v>1</v>
      </c>
      <c r="M231" s="117">
        <v>1</v>
      </c>
      <c r="N231" s="116">
        <v>8</v>
      </c>
      <c r="O231" s="116">
        <v>4</v>
      </c>
      <c r="P231" s="116">
        <v>0</v>
      </c>
      <c r="Q231" s="116">
        <v>2</v>
      </c>
      <c r="R231" s="116">
        <v>1</v>
      </c>
      <c r="S231" s="116">
        <v>0</v>
      </c>
      <c r="T231" s="116">
        <v>2</v>
      </c>
      <c r="U231" s="116">
        <v>1</v>
      </c>
      <c r="V231" s="116">
        <v>0</v>
      </c>
      <c r="W231" s="116">
        <v>0</v>
      </c>
      <c r="X231" s="116">
        <v>0</v>
      </c>
      <c r="Y231" s="116">
        <v>0</v>
      </c>
      <c r="Z231" s="116">
        <v>7</v>
      </c>
      <c r="AA231" s="116">
        <v>3</v>
      </c>
      <c r="AB231" s="116">
        <v>0</v>
      </c>
      <c r="AC231" s="116">
        <v>0</v>
      </c>
      <c r="AD231" s="116">
        <v>0</v>
      </c>
      <c r="AE231" s="116">
        <v>0</v>
      </c>
      <c r="AF231" s="116">
        <v>0</v>
      </c>
      <c r="AG231" s="116">
        <v>0</v>
      </c>
      <c r="AH231" s="116">
        <v>0</v>
      </c>
      <c r="AI231" s="116">
        <v>1</v>
      </c>
      <c r="AJ231" s="117">
        <v>0</v>
      </c>
      <c r="AK231" s="117">
        <v>4</v>
      </c>
      <c r="AL231" s="117">
        <v>1</v>
      </c>
      <c r="AM231" s="117">
        <v>7</v>
      </c>
      <c r="AN231" s="117">
        <v>16</v>
      </c>
      <c r="AO231" s="117">
        <v>3</v>
      </c>
      <c r="AP231" s="117">
        <v>2</v>
      </c>
      <c r="AQ231" s="117">
        <v>24</v>
      </c>
    </row>
    <row r="232" spans="1:43" s="118" customFormat="1" ht="13.5" customHeight="1">
      <c r="A232" s="119">
        <v>239</v>
      </c>
      <c r="B232" s="76" t="s">
        <v>761</v>
      </c>
      <c r="C232" s="75" t="s">
        <v>882</v>
      </c>
      <c r="D232" s="77" t="s">
        <v>883</v>
      </c>
      <c r="E232" s="77" t="s">
        <v>940</v>
      </c>
      <c r="F232" s="120" t="s">
        <v>961</v>
      </c>
      <c r="G232" s="76" t="s">
        <v>762</v>
      </c>
      <c r="H232" s="121" t="s">
        <v>843</v>
      </c>
      <c r="I232" s="122"/>
      <c r="J232" s="123" t="s">
        <v>885</v>
      </c>
      <c r="K232" s="124">
        <v>2</v>
      </c>
      <c r="L232" s="117">
        <v>2</v>
      </c>
      <c r="M232" s="117">
        <v>2</v>
      </c>
      <c r="N232" s="116">
        <v>6</v>
      </c>
      <c r="O232" s="116">
        <v>2</v>
      </c>
      <c r="P232" s="116">
        <v>0</v>
      </c>
      <c r="Q232" s="116">
        <v>9</v>
      </c>
      <c r="R232" s="116">
        <v>4</v>
      </c>
      <c r="S232" s="116">
        <v>0</v>
      </c>
      <c r="T232" s="116">
        <v>0</v>
      </c>
      <c r="U232" s="116">
        <v>0</v>
      </c>
      <c r="V232" s="116">
        <v>0</v>
      </c>
      <c r="W232" s="116">
        <v>1</v>
      </c>
      <c r="X232" s="116">
        <v>1</v>
      </c>
      <c r="Y232" s="116">
        <v>0</v>
      </c>
      <c r="Z232" s="116">
        <v>13</v>
      </c>
      <c r="AA232" s="116">
        <v>4</v>
      </c>
      <c r="AB232" s="116">
        <v>0</v>
      </c>
      <c r="AC232" s="116">
        <v>0</v>
      </c>
      <c r="AD232" s="116">
        <v>0</v>
      </c>
      <c r="AE232" s="116">
        <v>0</v>
      </c>
      <c r="AF232" s="116">
        <v>0</v>
      </c>
      <c r="AG232" s="116">
        <v>0</v>
      </c>
      <c r="AH232" s="116">
        <v>0</v>
      </c>
      <c r="AI232" s="116">
        <v>1</v>
      </c>
      <c r="AJ232" s="117">
        <v>1</v>
      </c>
      <c r="AK232" s="117">
        <v>1</v>
      </c>
      <c r="AL232" s="117">
        <v>0</v>
      </c>
      <c r="AM232" s="117">
        <v>13</v>
      </c>
      <c r="AN232" s="117">
        <v>7</v>
      </c>
      <c r="AO232" s="117">
        <v>0</v>
      </c>
      <c r="AP232" s="117">
        <v>1</v>
      </c>
      <c r="AQ232" s="117">
        <v>21</v>
      </c>
    </row>
    <row r="233" spans="1:43" s="118" customFormat="1" ht="13.5" customHeight="1">
      <c r="A233" s="119">
        <v>240</v>
      </c>
      <c r="B233" s="76" t="s">
        <v>371</v>
      </c>
      <c r="C233" s="75" t="s">
        <v>882</v>
      </c>
      <c r="D233" s="77" t="s">
        <v>883</v>
      </c>
      <c r="E233" s="77" t="s">
        <v>940</v>
      </c>
      <c r="F233" s="120" t="s">
        <v>960</v>
      </c>
      <c r="G233" s="76" t="s">
        <v>372</v>
      </c>
      <c r="H233" s="121" t="s">
        <v>843</v>
      </c>
      <c r="I233" s="122"/>
      <c r="J233" s="123" t="s">
        <v>888</v>
      </c>
      <c r="K233" s="124">
        <v>2</v>
      </c>
      <c r="L233" s="117">
        <v>1</v>
      </c>
      <c r="M233" s="117">
        <v>1</v>
      </c>
      <c r="N233" s="116">
        <v>6</v>
      </c>
      <c r="O233" s="116">
        <v>2</v>
      </c>
      <c r="P233" s="116">
        <v>0</v>
      </c>
      <c r="Q233" s="116">
        <v>5</v>
      </c>
      <c r="R233" s="116">
        <v>4</v>
      </c>
      <c r="S233" s="116">
        <v>0</v>
      </c>
      <c r="T233" s="116">
        <v>0</v>
      </c>
      <c r="U233" s="116">
        <v>0</v>
      </c>
      <c r="V233" s="116">
        <v>0</v>
      </c>
      <c r="W233" s="116">
        <v>0</v>
      </c>
      <c r="X233" s="116">
        <v>0</v>
      </c>
      <c r="Y233" s="116">
        <v>0</v>
      </c>
      <c r="Z233" s="116">
        <v>0</v>
      </c>
      <c r="AA233" s="116">
        <v>0</v>
      </c>
      <c r="AB233" s="116">
        <v>0</v>
      </c>
      <c r="AC233" s="116">
        <v>10</v>
      </c>
      <c r="AD233" s="116">
        <v>5</v>
      </c>
      <c r="AE233" s="116">
        <v>0</v>
      </c>
      <c r="AF233" s="116">
        <v>0</v>
      </c>
      <c r="AG233" s="116">
        <v>0</v>
      </c>
      <c r="AH233" s="116">
        <v>0</v>
      </c>
      <c r="AI233" s="116">
        <v>1</v>
      </c>
      <c r="AJ233" s="117">
        <v>0</v>
      </c>
      <c r="AK233" s="117">
        <v>6</v>
      </c>
      <c r="AL233" s="117">
        <v>0</v>
      </c>
      <c r="AM233" s="117">
        <v>0</v>
      </c>
      <c r="AN233" s="117">
        <v>40</v>
      </c>
      <c r="AO233" s="117">
        <v>2</v>
      </c>
      <c r="AP233" s="117">
        <v>4</v>
      </c>
      <c r="AQ233" s="117">
        <v>43</v>
      </c>
    </row>
    <row r="234" spans="1:43" s="118" customFormat="1" ht="13.5" customHeight="1">
      <c r="A234" s="119">
        <v>241</v>
      </c>
      <c r="B234" s="76" t="s">
        <v>763</v>
      </c>
      <c r="C234" s="75" t="s">
        <v>882</v>
      </c>
      <c r="D234" s="77" t="s">
        <v>883</v>
      </c>
      <c r="E234" s="77" t="s">
        <v>940</v>
      </c>
      <c r="F234" s="120" t="s">
        <v>961</v>
      </c>
      <c r="G234" s="76" t="s">
        <v>764</v>
      </c>
      <c r="H234" s="121" t="s">
        <v>843</v>
      </c>
      <c r="I234" s="122"/>
      <c r="J234" s="123" t="s">
        <v>888</v>
      </c>
      <c r="K234" s="124">
        <v>2</v>
      </c>
      <c r="L234" s="117">
        <v>1</v>
      </c>
      <c r="M234" s="117">
        <v>1</v>
      </c>
      <c r="N234" s="116">
        <v>6</v>
      </c>
      <c r="O234" s="116">
        <v>1</v>
      </c>
      <c r="P234" s="116">
        <v>0</v>
      </c>
      <c r="Q234" s="116">
        <v>3</v>
      </c>
      <c r="R234" s="116">
        <v>5</v>
      </c>
      <c r="S234" s="116">
        <v>0</v>
      </c>
      <c r="T234" s="116">
        <v>0</v>
      </c>
      <c r="U234" s="116">
        <v>0</v>
      </c>
      <c r="V234" s="116">
        <v>0</v>
      </c>
      <c r="W234" s="116">
        <v>0</v>
      </c>
      <c r="X234" s="116">
        <v>0</v>
      </c>
      <c r="Y234" s="116">
        <v>0</v>
      </c>
      <c r="Z234" s="116">
        <v>8</v>
      </c>
      <c r="AA234" s="116">
        <v>5</v>
      </c>
      <c r="AB234" s="116">
        <v>0</v>
      </c>
      <c r="AC234" s="116">
        <v>0</v>
      </c>
      <c r="AD234" s="116">
        <v>0</v>
      </c>
      <c r="AE234" s="116">
        <v>0</v>
      </c>
      <c r="AF234" s="116">
        <v>0</v>
      </c>
      <c r="AG234" s="116">
        <v>0</v>
      </c>
      <c r="AH234" s="116">
        <v>0</v>
      </c>
      <c r="AI234" s="116">
        <v>1</v>
      </c>
      <c r="AJ234" s="117">
        <v>1</v>
      </c>
      <c r="AK234" s="117">
        <v>5</v>
      </c>
      <c r="AL234" s="117">
        <v>1</v>
      </c>
      <c r="AM234" s="117">
        <v>10</v>
      </c>
      <c r="AN234" s="117">
        <v>16</v>
      </c>
      <c r="AO234" s="117">
        <v>0</v>
      </c>
      <c r="AP234" s="117">
        <v>2</v>
      </c>
      <c r="AQ234" s="117">
        <v>31</v>
      </c>
    </row>
    <row r="235" spans="1:43" s="118" customFormat="1" ht="13.5" customHeight="1">
      <c r="A235" s="119">
        <v>242</v>
      </c>
      <c r="B235" s="76" t="s">
        <v>96</v>
      </c>
      <c r="C235" s="75" t="s">
        <v>882</v>
      </c>
      <c r="D235" s="77" t="s">
        <v>883</v>
      </c>
      <c r="E235" s="77" t="s">
        <v>940</v>
      </c>
      <c r="F235" s="120" t="s">
        <v>962</v>
      </c>
      <c r="G235" s="76" t="s">
        <v>97</v>
      </c>
      <c r="H235" s="121" t="s">
        <v>843</v>
      </c>
      <c r="I235" s="122" t="s">
        <v>842</v>
      </c>
      <c r="J235" s="123" t="s">
        <v>888</v>
      </c>
      <c r="K235" s="124">
        <v>2</v>
      </c>
      <c r="L235" s="117">
        <v>1</v>
      </c>
      <c r="M235" s="117">
        <v>3</v>
      </c>
      <c r="N235" s="116">
        <v>4</v>
      </c>
      <c r="O235" s="116">
        <v>2</v>
      </c>
      <c r="P235" s="116">
        <v>0</v>
      </c>
      <c r="Q235" s="116">
        <v>7</v>
      </c>
      <c r="R235" s="116">
        <v>2</v>
      </c>
      <c r="S235" s="116">
        <v>0</v>
      </c>
      <c r="T235" s="116">
        <v>0</v>
      </c>
      <c r="U235" s="116">
        <v>0</v>
      </c>
      <c r="V235" s="116">
        <v>0</v>
      </c>
      <c r="W235" s="116">
        <v>0</v>
      </c>
      <c r="X235" s="116">
        <v>0</v>
      </c>
      <c r="Y235" s="116">
        <v>0</v>
      </c>
      <c r="Z235" s="116">
        <v>0</v>
      </c>
      <c r="AA235" s="116">
        <v>0</v>
      </c>
      <c r="AB235" s="116">
        <v>0</v>
      </c>
      <c r="AC235" s="116">
        <v>0</v>
      </c>
      <c r="AD235" s="116">
        <v>0</v>
      </c>
      <c r="AE235" s="116">
        <v>0</v>
      </c>
      <c r="AF235" s="116">
        <v>10</v>
      </c>
      <c r="AG235" s="116">
        <v>3</v>
      </c>
      <c r="AH235" s="116">
        <v>0</v>
      </c>
      <c r="AI235" s="116">
        <v>1</v>
      </c>
      <c r="AJ235" s="117">
        <v>0</v>
      </c>
      <c r="AK235" s="117">
        <v>6</v>
      </c>
      <c r="AL235" s="117">
        <v>0</v>
      </c>
      <c r="AM235" s="117">
        <v>11</v>
      </c>
      <c r="AN235" s="117">
        <v>42</v>
      </c>
      <c r="AO235" s="117">
        <v>0</v>
      </c>
      <c r="AP235" s="117">
        <v>4</v>
      </c>
      <c r="AQ235" s="117">
        <v>55</v>
      </c>
    </row>
    <row r="236" spans="1:43" s="118" customFormat="1" ht="13.5" customHeight="1">
      <c r="A236" s="119">
        <v>243</v>
      </c>
      <c r="B236" s="76" t="s">
        <v>374</v>
      </c>
      <c r="C236" s="75" t="s">
        <v>882</v>
      </c>
      <c r="D236" s="77" t="s">
        <v>883</v>
      </c>
      <c r="E236" s="77" t="s">
        <v>940</v>
      </c>
      <c r="F236" s="120" t="s">
        <v>960</v>
      </c>
      <c r="G236" s="76" t="s">
        <v>375</v>
      </c>
      <c r="H236" s="121" t="s">
        <v>843</v>
      </c>
      <c r="I236" s="122" t="s">
        <v>842</v>
      </c>
      <c r="J236" s="123" t="s">
        <v>885</v>
      </c>
      <c r="K236" s="124">
        <v>2</v>
      </c>
      <c r="L236" s="117">
        <v>1</v>
      </c>
      <c r="M236" s="117">
        <v>3</v>
      </c>
      <c r="N236" s="116">
        <v>7</v>
      </c>
      <c r="O236" s="116">
        <v>1</v>
      </c>
      <c r="P236" s="116">
        <v>0</v>
      </c>
      <c r="Q236" s="116">
        <v>1</v>
      </c>
      <c r="R236" s="116">
        <v>2</v>
      </c>
      <c r="S236" s="116">
        <v>0</v>
      </c>
      <c r="T236" s="116">
        <v>0</v>
      </c>
      <c r="U236" s="116">
        <v>0</v>
      </c>
      <c r="V236" s="116">
        <v>0</v>
      </c>
      <c r="W236" s="116">
        <v>0</v>
      </c>
      <c r="X236" s="116">
        <v>0</v>
      </c>
      <c r="Y236" s="116">
        <v>0</v>
      </c>
      <c r="Z236" s="116">
        <v>7</v>
      </c>
      <c r="AA236" s="116">
        <v>2</v>
      </c>
      <c r="AB236" s="116">
        <v>0</v>
      </c>
      <c r="AC236" s="116">
        <v>0</v>
      </c>
      <c r="AD236" s="116">
        <v>0</v>
      </c>
      <c r="AE236" s="116">
        <v>0</v>
      </c>
      <c r="AF236" s="116">
        <v>0</v>
      </c>
      <c r="AG236" s="116">
        <v>0</v>
      </c>
      <c r="AH236" s="116">
        <v>0</v>
      </c>
      <c r="AI236" s="116">
        <v>1</v>
      </c>
      <c r="AJ236" s="117">
        <v>0</v>
      </c>
      <c r="AK236" s="117">
        <v>7</v>
      </c>
      <c r="AL236" s="117">
        <v>0</v>
      </c>
      <c r="AM236" s="117">
        <v>2</v>
      </c>
      <c r="AN236" s="117">
        <v>41</v>
      </c>
      <c r="AO236" s="117">
        <v>0</v>
      </c>
      <c r="AP236" s="117">
        <v>5</v>
      </c>
      <c r="AQ236" s="117">
        <v>45</v>
      </c>
    </row>
    <row r="237" spans="1:43" s="118" customFormat="1" ht="13.5" customHeight="1">
      <c r="A237" s="119">
        <v>244</v>
      </c>
      <c r="B237" s="76" t="s">
        <v>503</v>
      </c>
      <c r="C237" s="75" t="s">
        <v>882</v>
      </c>
      <c r="D237" s="77" t="s">
        <v>883</v>
      </c>
      <c r="E237" s="77" t="s">
        <v>940</v>
      </c>
      <c r="F237" s="120" t="s">
        <v>961</v>
      </c>
      <c r="G237" s="76" t="s">
        <v>504</v>
      </c>
      <c r="H237" s="121" t="s">
        <v>843</v>
      </c>
      <c r="I237" s="122" t="s">
        <v>842</v>
      </c>
      <c r="J237" s="123" t="s">
        <v>885</v>
      </c>
      <c r="K237" s="124">
        <v>2</v>
      </c>
      <c r="L237" s="117">
        <v>1</v>
      </c>
      <c r="M237" s="117">
        <v>1</v>
      </c>
      <c r="N237" s="116">
        <v>6</v>
      </c>
      <c r="O237" s="116">
        <v>5</v>
      </c>
      <c r="P237" s="116">
        <v>0</v>
      </c>
      <c r="Q237" s="116">
        <v>8</v>
      </c>
      <c r="R237" s="116">
        <v>0</v>
      </c>
      <c r="S237" s="116">
        <v>0</v>
      </c>
      <c r="T237" s="116">
        <v>1</v>
      </c>
      <c r="U237" s="116">
        <v>0</v>
      </c>
      <c r="V237" s="116">
        <v>0</v>
      </c>
      <c r="W237" s="116">
        <v>0</v>
      </c>
      <c r="X237" s="116">
        <v>0</v>
      </c>
      <c r="Y237" s="116">
        <v>0</v>
      </c>
      <c r="Z237" s="116">
        <v>12</v>
      </c>
      <c r="AA237" s="116">
        <v>4</v>
      </c>
      <c r="AB237" s="116">
        <v>0</v>
      </c>
      <c r="AC237" s="116">
        <v>0</v>
      </c>
      <c r="AD237" s="116">
        <v>0</v>
      </c>
      <c r="AE237" s="116">
        <v>0</v>
      </c>
      <c r="AF237" s="116">
        <v>0</v>
      </c>
      <c r="AG237" s="116">
        <v>0</v>
      </c>
      <c r="AH237" s="116">
        <v>0</v>
      </c>
      <c r="AI237" s="116">
        <v>1</v>
      </c>
      <c r="AJ237" s="117">
        <v>0</v>
      </c>
      <c r="AK237" s="117">
        <v>9</v>
      </c>
      <c r="AL237" s="117">
        <v>0</v>
      </c>
      <c r="AM237" s="117">
        <v>16</v>
      </c>
      <c r="AN237" s="117">
        <v>36</v>
      </c>
      <c r="AO237" s="117">
        <v>0</v>
      </c>
      <c r="AP237" s="117">
        <v>7</v>
      </c>
      <c r="AQ237" s="117">
        <v>54</v>
      </c>
    </row>
    <row r="238" spans="1:43" s="118" customFormat="1" ht="13.5" customHeight="1">
      <c r="A238" s="119">
        <v>245</v>
      </c>
      <c r="B238" s="76" t="s">
        <v>765</v>
      </c>
      <c r="C238" s="75" t="s">
        <v>882</v>
      </c>
      <c r="D238" s="77" t="s">
        <v>883</v>
      </c>
      <c r="E238" s="77" t="s">
        <v>940</v>
      </c>
      <c r="F238" s="120" t="s">
        <v>962</v>
      </c>
      <c r="G238" s="76" t="s">
        <v>766</v>
      </c>
      <c r="H238" s="121" t="s">
        <v>843</v>
      </c>
      <c r="I238" s="122"/>
      <c r="J238" s="123" t="s">
        <v>888</v>
      </c>
      <c r="K238" s="124">
        <v>2</v>
      </c>
      <c r="L238" s="117">
        <v>2</v>
      </c>
      <c r="M238" s="117">
        <v>0</v>
      </c>
      <c r="N238" s="116">
        <v>18</v>
      </c>
      <c r="O238" s="116">
        <v>16</v>
      </c>
      <c r="P238" s="116">
        <v>1</v>
      </c>
      <c r="Q238" s="116">
        <v>2</v>
      </c>
      <c r="R238" s="116">
        <v>1</v>
      </c>
      <c r="S238" s="116">
        <v>0</v>
      </c>
      <c r="T238" s="116">
        <v>0</v>
      </c>
      <c r="U238" s="116">
        <v>0</v>
      </c>
      <c r="V238" s="116">
        <v>0</v>
      </c>
      <c r="W238" s="116">
        <v>0</v>
      </c>
      <c r="X238" s="116">
        <v>0</v>
      </c>
      <c r="Y238" s="116">
        <v>0</v>
      </c>
      <c r="Z238" s="116">
        <v>14</v>
      </c>
      <c r="AA238" s="116">
        <v>12</v>
      </c>
      <c r="AB238" s="116">
        <v>12</v>
      </c>
      <c r="AC238" s="116">
        <v>0</v>
      </c>
      <c r="AD238" s="116">
        <v>0</v>
      </c>
      <c r="AE238" s="116">
        <v>0</v>
      </c>
      <c r="AF238" s="116">
        <v>0</v>
      </c>
      <c r="AG238" s="116">
        <v>0</v>
      </c>
      <c r="AH238" s="116">
        <v>0</v>
      </c>
      <c r="AI238" s="116">
        <v>1</v>
      </c>
      <c r="AJ238" s="117">
        <v>0</v>
      </c>
      <c r="AK238" s="117">
        <v>9</v>
      </c>
      <c r="AL238" s="117">
        <v>0</v>
      </c>
      <c r="AM238" s="117">
        <v>0</v>
      </c>
      <c r="AN238" s="117">
        <v>69</v>
      </c>
      <c r="AO238" s="117">
        <v>0</v>
      </c>
      <c r="AP238" s="117">
        <v>9</v>
      </c>
      <c r="AQ238" s="117">
        <v>69</v>
      </c>
    </row>
    <row r="239" spans="1:43" s="118" customFormat="1" ht="13.5" customHeight="1">
      <c r="A239" s="119">
        <v>246</v>
      </c>
      <c r="B239" s="76" t="s">
        <v>560</v>
      </c>
      <c r="C239" s="75" t="s">
        <v>882</v>
      </c>
      <c r="D239" s="77" t="s">
        <v>883</v>
      </c>
      <c r="E239" s="77" t="s">
        <v>940</v>
      </c>
      <c r="F239" s="120" t="s">
        <v>961</v>
      </c>
      <c r="G239" s="76" t="s">
        <v>561</v>
      </c>
      <c r="H239" s="121" t="s">
        <v>843</v>
      </c>
      <c r="I239" s="122" t="s">
        <v>842</v>
      </c>
      <c r="J239" s="123" t="s">
        <v>885</v>
      </c>
      <c r="K239" s="124">
        <v>2</v>
      </c>
      <c r="L239" s="117">
        <v>1</v>
      </c>
      <c r="M239" s="117">
        <v>1</v>
      </c>
      <c r="N239" s="116">
        <v>9</v>
      </c>
      <c r="O239" s="116">
        <v>8</v>
      </c>
      <c r="P239" s="116">
        <v>0</v>
      </c>
      <c r="Q239" s="116">
        <v>0</v>
      </c>
      <c r="R239" s="116">
        <v>0</v>
      </c>
      <c r="S239" s="116">
        <v>0</v>
      </c>
      <c r="T239" s="116">
        <v>0</v>
      </c>
      <c r="U239" s="116">
        <v>0</v>
      </c>
      <c r="V239" s="116">
        <v>0</v>
      </c>
      <c r="W239" s="116">
        <v>7</v>
      </c>
      <c r="X239" s="116">
        <v>6</v>
      </c>
      <c r="Y239" s="116">
        <v>0</v>
      </c>
      <c r="Z239" s="116">
        <v>1</v>
      </c>
      <c r="AA239" s="116">
        <v>1</v>
      </c>
      <c r="AB239" s="116">
        <v>0</v>
      </c>
      <c r="AC239" s="116">
        <v>0</v>
      </c>
      <c r="AD239" s="116">
        <v>0</v>
      </c>
      <c r="AE239" s="116">
        <v>0</v>
      </c>
      <c r="AF239" s="116">
        <v>0</v>
      </c>
      <c r="AG239" s="116">
        <v>0</v>
      </c>
      <c r="AH239" s="116">
        <v>0</v>
      </c>
      <c r="AI239" s="116">
        <v>1</v>
      </c>
      <c r="AJ239" s="117">
        <v>0</v>
      </c>
      <c r="AK239" s="117">
        <v>11</v>
      </c>
      <c r="AL239" s="117">
        <v>0</v>
      </c>
      <c r="AM239" s="117">
        <v>17</v>
      </c>
      <c r="AN239" s="117">
        <v>32</v>
      </c>
      <c r="AO239" s="117">
        <v>0</v>
      </c>
      <c r="AP239" s="117">
        <v>6</v>
      </c>
      <c r="AQ239" s="117">
        <v>54</v>
      </c>
    </row>
    <row r="240" spans="1:43" s="118" customFormat="1" ht="13.5" customHeight="1">
      <c r="A240" s="119">
        <v>247</v>
      </c>
      <c r="B240" s="76" t="s">
        <v>100</v>
      </c>
      <c r="C240" s="75" t="s">
        <v>882</v>
      </c>
      <c r="D240" s="77" t="s">
        <v>883</v>
      </c>
      <c r="E240" s="77" t="s">
        <v>940</v>
      </c>
      <c r="F240" s="120" t="s">
        <v>962</v>
      </c>
      <c r="G240" s="76" t="s">
        <v>101</v>
      </c>
      <c r="H240" s="121" t="s">
        <v>843</v>
      </c>
      <c r="I240" s="122" t="s">
        <v>842</v>
      </c>
      <c r="J240" s="123" t="s">
        <v>888</v>
      </c>
      <c r="K240" s="124">
        <v>2</v>
      </c>
      <c r="L240" s="117">
        <v>3</v>
      </c>
      <c r="M240" s="117">
        <v>1</v>
      </c>
      <c r="N240" s="116">
        <v>12</v>
      </c>
      <c r="O240" s="116">
        <v>2</v>
      </c>
      <c r="P240" s="116">
        <v>0</v>
      </c>
      <c r="Q240" s="116">
        <v>13</v>
      </c>
      <c r="R240" s="116">
        <v>2</v>
      </c>
      <c r="S240" s="116">
        <v>0</v>
      </c>
      <c r="T240" s="116">
        <v>12</v>
      </c>
      <c r="U240" s="116">
        <v>1</v>
      </c>
      <c r="V240" s="116">
        <v>0</v>
      </c>
      <c r="W240" s="116">
        <v>0</v>
      </c>
      <c r="X240" s="116">
        <v>0</v>
      </c>
      <c r="Y240" s="116">
        <v>0</v>
      </c>
      <c r="Z240" s="116">
        <v>13</v>
      </c>
      <c r="AA240" s="116">
        <v>2</v>
      </c>
      <c r="AB240" s="116">
        <v>0</v>
      </c>
      <c r="AC240" s="116">
        <v>0</v>
      </c>
      <c r="AD240" s="116">
        <v>0</v>
      </c>
      <c r="AE240" s="116">
        <v>0</v>
      </c>
      <c r="AF240" s="116">
        <v>0</v>
      </c>
      <c r="AG240" s="116">
        <v>0</v>
      </c>
      <c r="AH240" s="116">
        <v>0</v>
      </c>
      <c r="AI240" s="116">
        <v>1</v>
      </c>
      <c r="AJ240" s="117">
        <v>0</v>
      </c>
      <c r="AK240" s="117">
        <v>9</v>
      </c>
      <c r="AL240" s="117">
        <v>0</v>
      </c>
      <c r="AM240" s="117">
        <v>0</v>
      </c>
      <c r="AN240" s="117">
        <v>60</v>
      </c>
      <c r="AO240" s="117">
        <v>0</v>
      </c>
      <c r="AP240" s="117">
        <v>7</v>
      </c>
      <c r="AQ240" s="117">
        <v>62</v>
      </c>
    </row>
    <row r="241" spans="1:43" s="118" customFormat="1" ht="13.5" customHeight="1">
      <c r="A241" s="119">
        <v>248</v>
      </c>
      <c r="B241" s="76" t="s">
        <v>777</v>
      </c>
      <c r="C241" s="75" t="s">
        <v>882</v>
      </c>
      <c r="D241" s="77" t="s">
        <v>883</v>
      </c>
      <c r="E241" s="77" t="s">
        <v>940</v>
      </c>
      <c r="F241" s="120" t="s">
        <v>960</v>
      </c>
      <c r="G241" s="76" t="s">
        <v>778</v>
      </c>
      <c r="H241" s="121" t="s">
        <v>843</v>
      </c>
      <c r="I241" s="122" t="s">
        <v>842</v>
      </c>
      <c r="J241" s="123" t="s">
        <v>888</v>
      </c>
      <c r="K241" s="124">
        <v>2</v>
      </c>
      <c r="L241" s="117">
        <v>1</v>
      </c>
      <c r="M241" s="117">
        <v>1</v>
      </c>
      <c r="N241" s="116">
        <v>13</v>
      </c>
      <c r="O241" s="116">
        <v>6</v>
      </c>
      <c r="P241" s="116">
        <v>0</v>
      </c>
      <c r="Q241" s="116">
        <v>0</v>
      </c>
      <c r="R241" s="116">
        <v>0</v>
      </c>
      <c r="S241" s="116">
        <v>0</v>
      </c>
      <c r="T241" s="116">
        <v>0</v>
      </c>
      <c r="U241" s="116">
        <v>0</v>
      </c>
      <c r="V241" s="116">
        <v>0</v>
      </c>
      <c r="W241" s="116">
        <v>0</v>
      </c>
      <c r="X241" s="116">
        <v>0</v>
      </c>
      <c r="Y241" s="116">
        <v>0</v>
      </c>
      <c r="Z241" s="116">
        <v>12</v>
      </c>
      <c r="AA241" s="116">
        <v>5</v>
      </c>
      <c r="AB241" s="116">
        <v>0</v>
      </c>
      <c r="AC241" s="116">
        <v>0</v>
      </c>
      <c r="AD241" s="116">
        <v>0</v>
      </c>
      <c r="AE241" s="116">
        <v>0</v>
      </c>
      <c r="AF241" s="116">
        <v>0</v>
      </c>
      <c r="AG241" s="116">
        <v>0</v>
      </c>
      <c r="AH241" s="116">
        <v>0</v>
      </c>
      <c r="AI241" s="116">
        <v>1</v>
      </c>
      <c r="AJ241" s="117">
        <v>0</v>
      </c>
      <c r="AK241" s="117">
        <v>8</v>
      </c>
      <c r="AL241" s="117">
        <v>0</v>
      </c>
      <c r="AM241" s="117">
        <v>0</v>
      </c>
      <c r="AN241" s="117">
        <v>52</v>
      </c>
      <c r="AO241" s="117">
        <v>0</v>
      </c>
      <c r="AP241" s="117">
        <v>8</v>
      </c>
      <c r="AQ241" s="117">
        <v>53</v>
      </c>
    </row>
    <row r="242" spans="1:43" s="118" customFormat="1" ht="13.5" customHeight="1">
      <c r="A242" s="119">
        <v>249</v>
      </c>
      <c r="B242" s="76" t="s">
        <v>506</v>
      </c>
      <c r="C242" s="75" t="s">
        <v>882</v>
      </c>
      <c r="D242" s="77" t="s">
        <v>883</v>
      </c>
      <c r="E242" s="77" t="s">
        <v>940</v>
      </c>
      <c r="F242" s="120" t="s">
        <v>961</v>
      </c>
      <c r="G242" s="76" t="s">
        <v>507</v>
      </c>
      <c r="H242" s="121" t="s">
        <v>843</v>
      </c>
      <c r="I242" s="122" t="s">
        <v>842</v>
      </c>
      <c r="J242" s="123" t="s">
        <v>888</v>
      </c>
      <c r="K242" s="124">
        <v>2</v>
      </c>
      <c r="L242" s="117">
        <v>0</v>
      </c>
      <c r="M242" s="117">
        <v>0</v>
      </c>
      <c r="N242" s="116">
        <v>13</v>
      </c>
      <c r="O242" s="116">
        <v>4</v>
      </c>
      <c r="P242" s="116">
        <v>1</v>
      </c>
      <c r="Q242" s="116">
        <v>0</v>
      </c>
      <c r="R242" s="116">
        <v>0</v>
      </c>
      <c r="S242" s="116">
        <v>0</v>
      </c>
      <c r="T242" s="116">
        <v>0</v>
      </c>
      <c r="U242" s="116">
        <v>0</v>
      </c>
      <c r="V242" s="116">
        <v>0</v>
      </c>
      <c r="W242" s="116">
        <v>0</v>
      </c>
      <c r="X242" s="116">
        <v>0</v>
      </c>
      <c r="Y242" s="116">
        <v>0</v>
      </c>
      <c r="Z242" s="116">
        <v>11</v>
      </c>
      <c r="AA242" s="116">
        <v>3</v>
      </c>
      <c r="AB242" s="116">
        <v>4</v>
      </c>
      <c r="AC242" s="116">
        <v>0</v>
      </c>
      <c r="AD242" s="116">
        <v>0</v>
      </c>
      <c r="AE242" s="116">
        <v>0</v>
      </c>
      <c r="AF242" s="116">
        <v>0</v>
      </c>
      <c r="AG242" s="116">
        <v>0</v>
      </c>
      <c r="AH242" s="116">
        <v>0</v>
      </c>
      <c r="AI242" s="116">
        <v>1</v>
      </c>
      <c r="AJ242" s="117">
        <v>0</v>
      </c>
      <c r="AK242" s="117">
        <v>6</v>
      </c>
      <c r="AL242" s="117">
        <v>0</v>
      </c>
      <c r="AM242" s="117">
        <v>25</v>
      </c>
      <c r="AN242" s="117">
        <v>27</v>
      </c>
      <c r="AO242" s="117">
        <v>0</v>
      </c>
      <c r="AP242" s="117">
        <v>3</v>
      </c>
      <c r="AQ242" s="117">
        <v>53</v>
      </c>
    </row>
    <row r="243" spans="1:43" s="118" customFormat="1" ht="13.5" customHeight="1">
      <c r="A243" s="119">
        <v>250</v>
      </c>
      <c r="B243" s="76" t="s">
        <v>33</v>
      </c>
      <c r="C243" s="75" t="s">
        <v>882</v>
      </c>
      <c r="D243" s="77" t="s">
        <v>883</v>
      </c>
      <c r="E243" s="77" t="s">
        <v>940</v>
      </c>
      <c r="F243" s="120" t="s">
        <v>962</v>
      </c>
      <c r="G243" s="76" t="s">
        <v>34</v>
      </c>
      <c r="H243" s="121" t="s">
        <v>843</v>
      </c>
      <c r="I243" s="122"/>
      <c r="J243" s="123" t="s">
        <v>885</v>
      </c>
      <c r="K243" s="124">
        <v>2</v>
      </c>
      <c r="L243" s="117">
        <v>1</v>
      </c>
      <c r="M243" s="117">
        <v>1</v>
      </c>
      <c r="N243" s="116">
        <v>13</v>
      </c>
      <c r="O243" s="116">
        <v>6</v>
      </c>
      <c r="P243" s="116">
        <v>0</v>
      </c>
      <c r="Q243" s="116">
        <v>12</v>
      </c>
      <c r="R243" s="116">
        <v>1</v>
      </c>
      <c r="S243" s="116">
        <v>0</v>
      </c>
      <c r="T243" s="116">
        <v>3</v>
      </c>
      <c r="U243" s="116">
        <v>0</v>
      </c>
      <c r="V243" s="116">
        <v>0</v>
      </c>
      <c r="W243" s="116">
        <v>4</v>
      </c>
      <c r="X243" s="116">
        <v>1</v>
      </c>
      <c r="Y243" s="116">
        <v>0</v>
      </c>
      <c r="Z243" s="116">
        <v>0</v>
      </c>
      <c r="AA243" s="116">
        <v>0</v>
      </c>
      <c r="AB243" s="116">
        <v>0</v>
      </c>
      <c r="AC243" s="116">
        <v>17</v>
      </c>
      <c r="AD243" s="116">
        <v>5</v>
      </c>
      <c r="AE243" s="116">
        <v>0</v>
      </c>
      <c r="AF243" s="116">
        <v>0</v>
      </c>
      <c r="AG243" s="116">
        <v>0</v>
      </c>
      <c r="AH243" s="116">
        <v>0</v>
      </c>
      <c r="AI243" s="116">
        <v>1</v>
      </c>
      <c r="AJ243" s="117">
        <v>0</v>
      </c>
      <c r="AK243" s="117">
        <v>2</v>
      </c>
      <c r="AL243" s="117">
        <v>0</v>
      </c>
      <c r="AM243" s="117">
        <v>0</v>
      </c>
      <c r="AN243" s="117">
        <v>10</v>
      </c>
      <c r="AO243" s="117">
        <v>0</v>
      </c>
      <c r="AP243" s="117">
        <v>1</v>
      </c>
      <c r="AQ243" s="117">
        <v>11</v>
      </c>
    </row>
    <row r="244" spans="1:43" s="118" customFormat="1" ht="13.5" customHeight="1">
      <c r="A244" s="119">
        <v>251</v>
      </c>
      <c r="B244" s="76" t="s">
        <v>377</v>
      </c>
      <c r="C244" s="75" t="s">
        <v>882</v>
      </c>
      <c r="D244" s="77" t="s">
        <v>883</v>
      </c>
      <c r="E244" s="77" t="s">
        <v>940</v>
      </c>
      <c r="F244" s="120" t="s">
        <v>960</v>
      </c>
      <c r="G244" s="76" t="s">
        <v>378</v>
      </c>
      <c r="H244" s="121"/>
      <c r="I244" s="122"/>
      <c r="J244" s="123" t="s">
        <v>885</v>
      </c>
      <c r="K244" s="124">
        <v>0</v>
      </c>
      <c r="L244" s="117">
        <v>1</v>
      </c>
      <c r="M244" s="117">
        <v>1</v>
      </c>
      <c r="N244" s="116">
        <v>13</v>
      </c>
      <c r="O244" s="116">
        <v>6</v>
      </c>
      <c r="P244" s="116">
        <v>0</v>
      </c>
      <c r="Q244" s="116">
        <v>12</v>
      </c>
      <c r="R244" s="116">
        <v>1</v>
      </c>
      <c r="S244" s="116">
        <v>0</v>
      </c>
      <c r="T244" s="116">
        <v>3</v>
      </c>
      <c r="U244" s="116">
        <v>0</v>
      </c>
      <c r="V244" s="116">
        <v>0</v>
      </c>
      <c r="W244" s="116">
        <v>4</v>
      </c>
      <c r="X244" s="116">
        <v>1</v>
      </c>
      <c r="Y244" s="116">
        <v>0</v>
      </c>
      <c r="Z244" s="116">
        <v>0</v>
      </c>
      <c r="AA244" s="116">
        <v>0</v>
      </c>
      <c r="AB244" s="116">
        <v>0</v>
      </c>
      <c r="AC244" s="116">
        <v>17</v>
      </c>
      <c r="AD244" s="116">
        <v>5</v>
      </c>
      <c r="AE244" s="116">
        <v>0</v>
      </c>
      <c r="AF244" s="116">
        <v>0</v>
      </c>
      <c r="AG244" s="116">
        <v>0</v>
      </c>
      <c r="AH244" s="116">
        <v>0</v>
      </c>
      <c r="AI244" s="116">
        <v>0</v>
      </c>
      <c r="AJ244" s="117">
        <v>0</v>
      </c>
      <c r="AK244" s="117">
        <v>1</v>
      </c>
      <c r="AL244" s="117">
        <v>0</v>
      </c>
      <c r="AM244" s="117">
        <v>0</v>
      </c>
      <c r="AN244" s="117">
        <v>4</v>
      </c>
      <c r="AO244" s="117">
        <v>0</v>
      </c>
      <c r="AP244" s="117">
        <v>0</v>
      </c>
      <c r="AQ244" s="117">
        <v>5</v>
      </c>
    </row>
    <row r="245" spans="1:43" s="118" customFormat="1" ht="13.5" customHeight="1">
      <c r="A245" s="119">
        <v>252</v>
      </c>
      <c r="B245" s="76" t="s">
        <v>383</v>
      </c>
      <c r="C245" s="75" t="s">
        <v>882</v>
      </c>
      <c r="D245" s="77" t="s">
        <v>883</v>
      </c>
      <c r="E245" s="77" t="s">
        <v>940</v>
      </c>
      <c r="F245" s="120" t="s">
        <v>960</v>
      </c>
      <c r="G245" s="76" t="s">
        <v>384</v>
      </c>
      <c r="H245" s="121" t="s">
        <v>843</v>
      </c>
      <c r="I245" s="122" t="s">
        <v>842</v>
      </c>
      <c r="J245" s="123" t="s">
        <v>888</v>
      </c>
      <c r="K245" s="124">
        <v>2</v>
      </c>
      <c r="L245" s="117">
        <v>1</v>
      </c>
      <c r="M245" s="117">
        <v>0</v>
      </c>
      <c r="N245" s="116">
        <v>11</v>
      </c>
      <c r="O245" s="116">
        <v>7</v>
      </c>
      <c r="P245" s="116">
        <v>1</v>
      </c>
      <c r="Q245" s="116">
        <v>1</v>
      </c>
      <c r="R245" s="116">
        <v>0</v>
      </c>
      <c r="S245" s="116">
        <v>0</v>
      </c>
      <c r="T245" s="116">
        <v>3</v>
      </c>
      <c r="U245" s="116">
        <v>4</v>
      </c>
      <c r="V245" s="116">
        <v>0</v>
      </c>
      <c r="W245" s="116">
        <v>0</v>
      </c>
      <c r="X245" s="116">
        <v>0</v>
      </c>
      <c r="Y245" s="116">
        <v>0</v>
      </c>
      <c r="Z245" s="116">
        <v>7</v>
      </c>
      <c r="AA245" s="116">
        <v>2</v>
      </c>
      <c r="AB245" s="116">
        <v>3</v>
      </c>
      <c r="AC245" s="116">
        <v>0</v>
      </c>
      <c r="AD245" s="116">
        <v>0</v>
      </c>
      <c r="AE245" s="116">
        <v>0</v>
      </c>
      <c r="AF245" s="116">
        <v>0</v>
      </c>
      <c r="AG245" s="116">
        <v>0</v>
      </c>
      <c r="AH245" s="116">
        <v>0</v>
      </c>
      <c r="AI245" s="116">
        <v>1</v>
      </c>
      <c r="AJ245" s="117">
        <v>0</v>
      </c>
      <c r="AK245" s="117">
        <v>7</v>
      </c>
      <c r="AL245" s="117">
        <v>0</v>
      </c>
      <c r="AM245" s="117">
        <v>0</v>
      </c>
      <c r="AN245" s="117">
        <v>34</v>
      </c>
      <c r="AO245" s="117">
        <v>0</v>
      </c>
      <c r="AP245" s="117">
        <v>2</v>
      </c>
      <c r="AQ245" s="117">
        <v>37</v>
      </c>
    </row>
    <row r="246" spans="1:43" s="118" customFormat="1" ht="13.5" customHeight="1">
      <c r="A246" s="119">
        <v>253</v>
      </c>
      <c r="B246" s="76" t="s">
        <v>512</v>
      </c>
      <c r="C246" s="75" t="s">
        <v>882</v>
      </c>
      <c r="D246" s="77" t="s">
        <v>883</v>
      </c>
      <c r="E246" s="77" t="s">
        <v>940</v>
      </c>
      <c r="F246" s="120" t="s">
        <v>961</v>
      </c>
      <c r="G246" s="76" t="s">
        <v>513</v>
      </c>
      <c r="H246" s="121" t="s">
        <v>843</v>
      </c>
      <c r="I246" s="122"/>
      <c r="J246" s="123" t="s">
        <v>888</v>
      </c>
      <c r="K246" s="124">
        <v>2</v>
      </c>
      <c r="L246" s="117">
        <v>1</v>
      </c>
      <c r="M246" s="117">
        <v>0</v>
      </c>
      <c r="N246" s="116">
        <v>9</v>
      </c>
      <c r="O246" s="116">
        <v>3</v>
      </c>
      <c r="P246" s="116">
        <v>1</v>
      </c>
      <c r="Q246" s="116">
        <v>1</v>
      </c>
      <c r="R246" s="116">
        <v>0</v>
      </c>
      <c r="S246" s="116">
        <v>0</v>
      </c>
      <c r="T246" s="116">
        <v>2</v>
      </c>
      <c r="U246" s="116">
        <v>0</v>
      </c>
      <c r="V246" s="116">
        <v>0</v>
      </c>
      <c r="W246" s="116">
        <v>1</v>
      </c>
      <c r="X246" s="116">
        <v>1</v>
      </c>
      <c r="Y246" s="116">
        <v>1</v>
      </c>
      <c r="Z246" s="116">
        <v>0</v>
      </c>
      <c r="AA246" s="116">
        <v>0</v>
      </c>
      <c r="AB246" s="116">
        <v>0</v>
      </c>
      <c r="AC246" s="116">
        <v>5</v>
      </c>
      <c r="AD246" s="116">
        <v>2</v>
      </c>
      <c r="AE246" s="116">
        <v>3</v>
      </c>
      <c r="AF246" s="116">
        <v>0</v>
      </c>
      <c r="AG246" s="116">
        <v>0</v>
      </c>
      <c r="AH246" s="116">
        <v>0</v>
      </c>
      <c r="AI246" s="116">
        <v>1</v>
      </c>
      <c r="AJ246" s="117">
        <v>1</v>
      </c>
      <c r="AK246" s="117">
        <v>6</v>
      </c>
      <c r="AL246" s="117">
        <v>0</v>
      </c>
      <c r="AM246" s="117">
        <v>17</v>
      </c>
      <c r="AN246" s="117">
        <v>36</v>
      </c>
      <c r="AO246" s="117">
        <v>0</v>
      </c>
      <c r="AP246" s="117">
        <v>5</v>
      </c>
      <c r="AQ246" s="117">
        <v>55</v>
      </c>
    </row>
    <row r="247" spans="1:43" s="118" customFormat="1" ht="13.5" customHeight="1">
      <c r="A247" s="119">
        <v>254</v>
      </c>
      <c r="B247" s="76" t="s">
        <v>515</v>
      </c>
      <c r="C247" s="75" t="s">
        <v>882</v>
      </c>
      <c r="D247" s="77" t="s">
        <v>883</v>
      </c>
      <c r="E247" s="77" t="s">
        <v>940</v>
      </c>
      <c r="F247" s="120" t="s">
        <v>961</v>
      </c>
      <c r="G247" s="76" t="s">
        <v>516</v>
      </c>
      <c r="H247" s="121" t="s">
        <v>843</v>
      </c>
      <c r="I247" s="122"/>
      <c r="J247" s="123" t="s">
        <v>885</v>
      </c>
      <c r="K247" s="124">
        <v>2</v>
      </c>
      <c r="L247" s="117">
        <v>1</v>
      </c>
      <c r="M247" s="117">
        <v>1</v>
      </c>
      <c r="N247" s="116">
        <v>5</v>
      </c>
      <c r="O247" s="116">
        <v>2</v>
      </c>
      <c r="P247" s="116">
        <v>0</v>
      </c>
      <c r="Q247" s="116">
        <v>3</v>
      </c>
      <c r="R247" s="116">
        <v>4</v>
      </c>
      <c r="S247" s="116">
        <v>0</v>
      </c>
      <c r="T247" s="116">
        <v>0</v>
      </c>
      <c r="U247" s="116">
        <v>0</v>
      </c>
      <c r="V247" s="116">
        <v>0</v>
      </c>
      <c r="W247" s="116">
        <v>0</v>
      </c>
      <c r="X247" s="116">
        <v>0</v>
      </c>
      <c r="Y247" s="116">
        <v>0</v>
      </c>
      <c r="Z247" s="116">
        <v>7</v>
      </c>
      <c r="AA247" s="116">
        <v>5</v>
      </c>
      <c r="AB247" s="116">
        <v>0</v>
      </c>
      <c r="AC247" s="116">
        <v>0</v>
      </c>
      <c r="AD247" s="116">
        <v>0</v>
      </c>
      <c r="AE247" s="116">
        <v>0</v>
      </c>
      <c r="AF247" s="116">
        <v>0</v>
      </c>
      <c r="AG247" s="116">
        <v>0</v>
      </c>
      <c r="AH247" s="116">
        <v>0</v>
      </c>
      <c r="AI247" s="116">
        <v>1</v>
      </c>
      <c r="AJ247" s="117">
        <v>1</v>
      </c>
      <c r="AK247" s="117">
        <v>2</v>
      </c>
      <c r="AL247" s="117">
        <v>0</v>
      </c>
      <c r="AM247" s="117">
        <v>4</v>
      </c>
      <c r="AN247" s="117">
        <v>17</v>
      </c>
      <c r="AO247" s="117">
        <v>0</v>
      </c>
      <c r="AP247" s="117">
        <v>1</v>
      </c>
      <c r="AQ247" s="117">
        <v>23</v>
      </c>
    </row>
    <row r="248" spans="1:43" s="118" customFormat="1" ht="13.5" customHeight="1">
      <c r="A248" s="119">
        <v>255</v>
      </c>
      <c r="B248" s="76" t="s">
        <v>793</v>
      </c>
      <c r="C248" s="75" t="s">
        <v>882</v>
      </c>
      <c r="D248" s="77" t="s">
        <v>883</v>
      </c>
      <c r="E248" s="77" t="s">
        <v>940</v>
      </c>
      <c r="F248" s="120" t="s">
        <v>961</v>
      </c>
      <c r="G248" s="76" t="s">
        <v>794</v>
      </c>
      <c r="H248" s="121" t="s">
        <v>843</v>
      </c>
      <c r="I248" s="122"/>
      <c r="J248" s="123" t="s">
        <v>885</v>
      </c>
      <c r="K248" s="124">
        <v>2</v>
      </c>
      <c r="L248" s="117">
        <v>7</v>
      </c>
      <c r="M248" s="117">
        <v>1</v>
      </c>
      <c r="N248" s="116">
        <v>13</v>
      </c>
      <c r="O248" s="116">
        <v>2</v>
      </c>
      <c r="P248" s="116">
        <v>0</v>
      </c>
      <c r="Q248" s="116">
        <v>4</v>
      </c>
      <c r="R248" s="116">
        <v>1</v>
      </c>
      <c r="S248" s="116">
        <v>0</v>
      </c>
      <c r="T248" s="116">
        <v>0</v>
      </c>
      <c r="U248" s="116">
        <v>0</v>
      </c>
      <c r="V248" s="116">
        <v>0</v>
      </c>
      <c r="W248" s="116">
        <v>0</v>
      </c>
      <c r="X248" s="116">
        <v>0</v>
      </c>
      <c r="Y248" s="116">
        <v>0</v>
      </c>
      <c r="Z248" s="116">
        <v>6</v>
      </c>
      <c r="AA248" s="116">
        <v>0</v>
      </c>
      <c r="AB248" s="116">
        <v>0</v>
      </c>
      <c r="AC248" s="116">
        <v>10</v>
      </c>
      <c r="AD248" s="116">
        <v>2</v>
      </c>
      <c r="AE248" s="116">
        <v>0</v>
      </c>
      <c r="AF248" s="116">
        <v>0</v>
      </c>
      <c r="AG248" s="116">
        <v>0</v>
      </c>
      <c r="AH248" s="116">
        <v>0</v>
      </c>
      <c r="AI248" s="116">
        <v>1</v>
      </c>
      <c r="AJ248" s="117">
        <v>1</v>
      </c>
      <c r="AK248" s="117">
        <v>5</v>
      </c>
      <c r="AL248" s="117">
        <v>0</v>
      </c>
      <c r="AM248" s="117">
        <v>18</v>
      </c>
      <c r="AN248" s="117">
        <v>17</v>
      </c>
      <c r="AO248" s="117">
        <v>0</v>
      </c>
      <c r="AP248" s="117">
        <v>5</v>
      </c>
      <c r="AQ248" s="117">
        <v>36</v>
      </c>
    </row>
    <row r="249" spans="1:43" s="118" customFormat="1" ht="13.5" customHeight="1">
      <c r="A249" s="119">
        <v>256</v>
      </c>
      <c r="B249" s="76" t="s">
        <v>795</v>
      </c>
      <c r="C249" s="75" t="s">
        <v>882</v>
      </c>
      <c r="D249" s="77" t="s">
        <v>883</v>
      </c>
      <c r="E249" s="77" t="s">
        <v>940</v>
      </c>
      <c r="F249" s="120" t="s">
        <v>961</v>
      </c>
      <c r="G249" s="76" t="s">
        <v>796</v>
      </c>
      <c r="H249" s="121" t="s">
        <v>843</v>
      </c>
      <c r="I249" s="122"/>
      <c r="J249" s="123" t="s">
        <v>885</v>
      </c>
      <c r="K249" s="124">
        <v>2</v>
      </c>
      <c r="L249" s="117">
        <v>0</v>
      </c>
      <c r="M249" s="117">
        <v>0</v>
      </c>
      <c r="N249" s="116">
        <v>3</v>
      </c>
      <c r="O249" s="116">
        <v>2</v>
      </c>
      <c r="P249" s="116">
        <v>6</v>
      </c>
      <c r="Q249" s="116">
        <v>0</v>
      </c>
      <c r="R249" s="116">
        <v>0</v>
      </c>
      <c r="S249" s="116">
        <v>0</v>
      </c>
      <c r="T249" s="116">
        <v>0</v>
      </c>
      <c r="U249" s="116">
        <v>0</v>
      </c>
      <c r="V249" s="116">
        <v>5</v>
      </c>
      <c r="W249" s="116">
        <v>0</v>
      </c>
      <c r="X249" s="116">
        <v>0</v>
      </c>
      <c r="Y249" s="116">
        <v>0</v>
      </c>
      <c r="Z249" s="116">
        <v>2</v>
      </c>
      <c r="AA249" s="116">
        <v>1</v>
      </c>
      <c r="AB249" s="116">
        <v>2</v>
      </c>
      <c r="AC249" s="116">
        <v>0</v>
      </c>
      <c r="AD249" s="116">
        <v>0</v>
      </c>
      <c r="AE249" s="116">
        <v>0</v>
      </c>
      <c r="AF249" s="116">
        <v>0</v>
      </c>
      <c r="AG249" s="116">
        <v>0</v>
      </c>
      <c r="AH249" s="116">
        <v>0</v>
      </c>
      <c r="AI249" s="116">
        <v>1</v>
      </c>
      <c r="AJ249" s="117">
        <v>1</v>
      </c>
      <c r="AK249" s="117">
        <v>2</v>
      </c>
      <c r="AL249" s="117">
        <v>0</v>
      </c>
      <c r="AM249" s="117">
        <v>5</v>
      </c>
      <c r="AN249" s="117">
        <v>7</v>
      </c>
      <c r="AO249" s="117">
        <v>0</v>
      </c>
      <c r="AP249" s="117">
        <v>2</v>
      </c>
      <c r="AQ249" s="117">
        <v>13</v>
      </c>
    </row>
    <row r="250" spans="1:43" s="118" customFormat="1" ht="13.5" customHeight="1">
      <c r="A250" s="119">
        <v>257</v>
      </c>
      <c r="B250" s="76" t="s">
        <v>386</v>
      </c>
      <c r="C250" s="75" t="s">
        <v>882</v>
      </c>
      <c r="D250" s="77" t="s">
        <v>883</v>
      </c>
      <c r="E250" s="77" t="s">
        <v>940</v>
      </c>
      <c r="F250" s="120" t="s">
        <v>960</v>
      </c>
      <c r="G250" s="76" t="s">
        <v>387</v>
      </c>
      <c r="H250" s="121" t="s">
        <v>843</v>
      </c>
      <c r="I250" s="122"/>
      <c r="J250" s="123" t="s">
        <v>885</v>
      </c>
      <c r="K250" s="124">
        <v>2</v>
      </c>
      <c r="L250" s="117">
        <v>0</v>
      </c>
      <c r="M250" s="117">
        <v>0</v>
      </c>
      <c r="N250" s="116">
        <v>12</v>
      </c>
      <c r="O250" s="116">
        <v>1</v>
      </c>
      <c r="P250" s="116">
        <v>0</v>
      </c>
      <c r="Q250" s="116">
        <v>0</v>
      </c>
      <c r="R250" s="116">
        <v>0</v>
      </c>
      <c r="S250" s="116">
        <v>0</v>
      </c>
      <c r="T250" s="116">
        <v>0</v>
      </c>
      <c r="U250" s="116">
        <v>0</v>
      </c>
      <c r="V250" s="116">
        <v>0</v>
      </c>
      <c r="W250" s="116">
        <v>1</v>
      </c>
      <c r="X250" s="116">
        <v>0</v>
      </c>
      <c r="Y250" s="116">
        <v>0</v>
      </c>
      <c r="Z250" s="116">
        <v>11</v>
      </c>
      <c r="AA250" s="116">
        <v>1</v>
      </c>
      <c r="AB250" s="116">
        <v>0</v>
      </c>
      <c r="AC250" s="116">
        <v>0</v>
      </c>
      <c r="AD250" s="116">
        <v>0</v>
      </c>
      <c r="AE250" s="116">
        <v>0</v>
      </c>
      <c r="AF250" s="116">
        <v>0</v>
      </c>
      <c r="AG250" s="116">
        <v>0</v>
      </c>
      <c r="AH250" s="116">
        <v>0</v>
      </c>
      <c r="AI250" s="116">
        <v>1</v>
      </c>
      <c r="AJ250" s="117">
        <v>0</v>
      </c>
      <c r="AK250" s="117">
        <v>6</v>
      </c>
      <c r="AL250" s="117">
        <v>0</v>
      </c>
      <c r="AM250" s="117">
        <v>0</v>
      </c>
      <c r="AN250" s="117">
        <v>23</v>
      </c>
      <c r="AO250" s="117">
        <v>0</v>
      </c>
      <c r="AP250" s="117">
        <v>5</v>
      </c>
      <c r="AQ250" s="117">
        <v>24</v>
      </c>
    </row>
    <row r="251" spans="1:43" s="118" customFormat="1" ht="13.5" customHeight="1">
      <c r="A251" s="119">
        <v>258</v>
      </c>
      <c r="B251" s="76" t="s">
        <v>518</v>
      </c>
      <c r="C251" s="75" t="s">
        <v>882</v>
      </c>
      <c r="D251" s="77" t="s">
        <v>883</v>
      </c>
      <c r="E251" s="77" t="s">
        <v>940</v>
      </c>
      <c r="F251" s="120" t="s">
        <v>961</v>
      </c>
      <c r="G251" s="76" t="s">
        <v>519</v>
      </c>
      <c r="H251" s="121" t="s">
        <v>843</v>
      </c>
      <c r="I251" s="122" t="s">
        <v>842</v>
      </c>
      <c r="J251" s="123" t="s">
        <v>888</v>
      </c>
      <c r="K251" s="124">
        <v>2</v>
      </c>
      <c r="L251" s="117">
        <v>1</v>
      </c>
      <c r="M251" s="117">
        <v>1</v>
      </c>
      <c r="N251" s="116">
        <v>17</v>
      </c>
      <c r="O251" s="116">
        <v>5</v>
      </c>
      <c r="P251" s="116">
        <v>0</v>
      </c>
      <c r="Q251" s="116">
        <v>0</v>
      </c>
      <c r="R251" s="116">
        <v>0</v>
      </c>
      <c r="S251" s="116">
        <v>0</v>
      </c>
      <c r="T251" s="116">
        <v>5</v>
      </c>
      <c r="U251" s="116">
        <v>1</v>
      </c>
      <c r="V251" s="116">
        <v>0</v>
      </c>
      <c r="W251" s="116">
        <v>0</v>
      </c>
      <c r="X251" s="116">
        <v>0</v>
      </c>
      <c r="Y251" s="116">
        <v>0</v>
      </c>
      <c r="Z251" s="116">
        <v>11</v>
      </c>
      <c r="AA251" s="116">
        <v>3</v>
      </c>
      <c r="AB251" s="116">
        <v>0</v>
      </c>
      <c r="AC251" s="116">
        <v>0</v>
      </c>
      <c r="AD251" s="116">
        <v>0</v>
      </c>
      <c r="AE251" s="116">
        <v>0</v>
      </c>
      <c r="AF251" s="116">
        <v>0</v>
      </c>
      <c r="AG251" s="116">
        <v>0</v>
      </c>
      <c r="AH251" s="116">
        <v>0</v>
      </c>
      <c r="AI251" s="116">
        <v>1</v>
      </c>
      <c r="AJ251" s="117">
        <v>1</v>
      </c>
      <c r="AK251" s="117">
        <v>5</v>
      </c>
      <c r="AL251" s="117">
        <v>0</v>
      </c>
      <c r="AM251" s="117">
        <v>14</v>
      </c>
      <c r="AN251" s="117">
        <v>41</v>
      </c>
      <c r="AO251" s="117">
        <v>1</v>
      </c>
      <c r="AP251" s="117">
        <v>4</v>
      </c>
      <c r="AQ251" s="117">
        <v>57</v>
      </c>
    </row>
    <row r="252" spans="1:43" s="118" customFormat="1" ht="13.5" customHeight="1">
      <c r="A252" s="119">
        <v>259</v>
      </c>
      <c r="B252" s="76" t="s">
        <v>42</v>
      </c>
      <c r="C252" s="75" t="s">
        <v>882</v>
      </c>
      <c r="D252" s="77" t="s">
        <v>883</v>
      </c>
      <c r="E252" s="77" t="s">
        <v>940</v>
      </c>
      <c r="F252" s="120" t="s">
        <v>962</v>
      </c>
      <c r="G252" s="76" t="s">
        <v>43</v>
      </c>
      <c r="H252" s="121" t="s">
        <v>843</v>
      </c>
      <c r="I252" s="122" t="s">
        <v>842</v>
      </c>
      <c r="J252" s="123" t="s">
        <v>888</v>
      </c>
      <c r="K252" s="124">
        <v>2</v>
      </c>
      <c r="L252" s="117">
        <v>0</v>
      </c>
      <c r="M252" s="117">
        <v>0</v>
      </c>
      <c r="N252" s="116">
        <v>15</v>
      </c>
      <c r="O252" s="116">
        <v>5</v>
      </c>
      <c r="P252" s="116">
        <v>1</v>
      </c>
      <c r="Q252" s="116">
        <v>2</v>
      </c>
      <c r="R252" s="116">
        <v>0</v>
      </c>
      <c r="S252" s="116">
        <v>0</v>
      </c>
      <c r="T252" s="116">
        <v>4</v>
      </c>
      <c r="U252" s="116">
        <v>1</v>
      </c>
      <c r="V252" s="116">
        <v>5</v>
      </c>
      <c r="W252" s="116">
        <v>0</v>
      </c>
      <c r="X252" s="116">
        <v>0</v>
      </c>
      <c r="Y252" s="116">
        <v>0</v>
      </c>
      <c r="Z252" s="116">
        <v>0</v>
      </c>
      <c r="AA252" s="116">
        <v>0</v>
      </c>
      <c r="AB252" s="116">
        <v>0</v>
      </c>
      <c r="AC252" s="116">
        <v>9</v>
      </c>
      <c r="AD252" s="116">
        <v>4</v>
      </c>
      <c r="AE252" s="116">
        <v>0</v>
      </c>
      <c r="AF252" s="116">
        <v>0</v>
      </c>
      <c r="AG252" s="116">
        <v>0</v>
      </c>
      <c r="AH252" s="116">
        <v>0</v>
      </c>
      <c r="AI252" s="116">
        <v>1</v>
      </c>
      <c r="AJ252" s="117">
        <v>0</v>
      </c>
      <c r="AK252" s="117">
        <v>8</v>
      </c>
      <c r="AL252" s="117">
        <v>0</v>
      </c>
      <c r="AM252" s="117">
        <v>0</v>
      </c>
      <c r="AN252" s="117">
        <v>51</v>
      </c>
      <c r="AO252" s="117">
        <v>0</v>
      </c>
      <c r="AP252" s="117">
        <v>8</v>
      </c>
      <c r="AQ252" s="117">
        <v>51</v>
      </c>
    </row>
    <row r="253" spans="1:43" s="118" customFormat="1" ht="13.5" customHeight="1">
      <c r="A253" s="119">
        <v>260</v>
      </c>
      <c r="B253" s="76" t="s">
        <v>84</v>
      </c>
      <c r="C253" s="75" t="s">
        <v>882</v>
      </c>
      <c r="D253" s="77" t="s">
        <v>883</v>
      </c>
      <c r="E253" s="77" t="s">
        <v>940</v>
      </c>
      <c r="F253" s="120" t="s">
        <v>962</v>
      </c>
      <c r="G253" s="76" t="s">
        <v>85</v>
      </c>
      <c r="H253" s="121" t="s">
        <v>843</v>
      </c>
      <c r="I253" s="122"/>
      <c r="J253" s="123" t="s">
        <v>888</v>
      </c>
      <c r="K253" s="124">
        <v>2</v>
      </c>
      <c r="L253" s="117">
        <v>0</v>
      </c>
      <c r="M253" s="117">
        <v>0</v>
      </c>
      <c r="N253" s="116">
        <v>20</v>
      </c>
      <c r="O253" s="116">
        <v>14</v>
      </c>
      <c r="P253" s="116">
        <v>1</v>
      </c>
      <c r="Q253" s="116">
        <v>0</v>
      </c>
      <c r="R253" s="116">
        <v>0</v>
      </c>
      <c r="S253" s="116">
        <v>0</v>
      </c>
      <c r="T253" s="116">
        <v>6</v>
      </c>
      <c r="U253" s="116">
        <v>2</v>
      </c>
      <c r="V253" s="116">
        <v>0</v>
      </c>
      <c r="W253" s="116">
        <v>1</v>
      </c>
      <c r="X253" s="116">
        <v>1</v>
      </c>
      <c r="Y253" s="116">
        <v>0</v>
      </c>
      <c r="Z253" s="116">
        <v>0</v>
      </c>
      <c r="AA253" s="116">
        <v>0</v>
      </c>
      <c r="AB253" s="116">
        <v>0</v>
      </c>
      <c r="AC253" s="116">
        <v>11</v>
      </c>
      <c r="AD253" s="116">
        <v>10</v>
      </c>
      <c r="AE253" s="116">
        <v>4</v>
      </c>
      <c r="AF253" s="116">
        <v>0</v>
      </c>
      <c r="AG253" s="116">
        <v>0</v>
      </c>
      <c r="AH253" s="116">
        <v>0</v>
      </c>
      <c r="AI253" s="116">
        <v>1</v>
      </c>
      <c r="AJ253" s="117">
        <v>0</v>
      </c>
      <c r="AK253" s="117">
        <v>12</v>
      </c>
      <c r="AL253" s="117">
        <v>0</v>
      </c>
      <c r="AM253" s="117">
        <v>0</v>
      </c>
      <c r="AN253" s="117">
        <v>69</v>
      </c>
      <c r="AO253" s="117">
        <v>0</v>
      </c>
      <c r="AP253" s="117">
        <v>10</v>
      </c>
      <c r="AQ253" s="117">
        <v>72</v>
      </c>
    </row>
    <row r="254" spans="1:43" s="118" customFormat="1" ht="13.5" customHeight="1">
      <c r="A254" s="119">
        <v>261</v>
      </c>
      <c r="B254" s="76" t="s">
        <v>69</v>
      </c>
      <c r="C254" s="75" t="s">
        <v>882</v>
      </c>
      <c r="D254" s="77" t="s">
        <v>883</v>
      </c>
      <c r="E254" s="77" t="s">
        <v>940</v>
      </c>
      <c r="F254" s="120" t="s">
        <v>962</v>
      </c>
      <c r="G254" s="76" t="s">
        <v>70</v>
      </c>
      <c r="H254" s="121" t="s">
        <v>843</v>
      </c>
      <c r="I254" s="122"/>
      <c r="J254" s="123" t="s">
        <v>888</v>
      </c>
      <c r="K254" s="124">
        <v>2</v>
      </c>
      <c r="L254" s="117">
        <v>1</v>
      </c>
      <c r="M254" s="117">
        <v>0</v>
      </c>
      <c r="N254" s="116">
        <v>12</v>
      </c>
      <c r="O254" s="116">
        <v>4</v>
      </c>
      <c r="P254" s="116">
        <v>1</v>
      </c>
      <c r="Q254" s="116">
        <v>1</v>
      </c>
      <c r="R254" s="116">
        <v>0</v>
      </c>
      <c r="S254" s="116">
        <v>0</v>
      </c>
      <c r="T254" s="116">
        <v>0</v>
      </c>
      <c r="U254" s="116">
        <v>0</v>
      </c>
      <c r="V254" s="116">
        <v>0</v>
      </c>
      <c r="W254" s="116">
        <v>1</v>
      </c>
      <c r="X254" s="116">
        <v>0</v>
      </c>
      <c r="Y254" s="116">
        <v>0</v>
      </c>
      <c r="Z254" s="116">
        <v>9</v>
      </c>
      <c r="AA254" s="116">
        <v>4</v>
      </c>
      <c r="AB254" s="116">
        <v>4</v>
      </c>
      <c r="AC254" s="116">
        <v>0</v>
      </c>
      <c r="AD254" s="116">
        <v>0</v>
      </c>
      <c r="AE254" s="116">
        <v>0</v>
      </c>
      <c r="AF254" s="116">
        <v>0</v>
      </c>
      <c r="AG254" s="116">
        <v>0</v>
      </c>
      <c r="AH254" s="116">
        <v>0</v>
      </c>
      <c r="AI254" s="116">
        <v>1</v>
      </c>
      <c r="AJ254" s="117">
        <v>0</v>
      </c>
      <c r="AK254" s="117">
        <v>9</v>
      </c>
      <c r="AL254" s="117">
        <v>0</v>
      </c>
      <c r="AM254" s="117">
        <v>0</v>
      </c>
      <c r="AN254" s="117">
        <v>50</v>
      </c>
      <c r="AO254" s="117">
        <v>0</v>
      </c>
      <c r="AP254" s="117">
        <v>9</v>
      </c>
      <c r="AQ254" s="117">
        <v>50</v>
      </c>
    </row>
    <row r="255" spans="1:43" s="118" customFormat="1" ht="13.5" customHeight="1">
      <c r="A255" s="119">
        <v>262</v>
      </c>
      <c r="B255" s="76" t="s">
        <v>389</v>
      </c>
      <c r="C255" s="75" t="s">
        <v>882</v>
      </c>
      <c r="D255" s="77" t="s">
        <v>883</v>
      </c>
      <c r="E255" s="77" t="s">
        <v>940</v>
      </c>
      <c r="F255" s="120" t="s">
        <v>960</v>
      </c>
      <c r="G255" s="76" t="s">
        <v>390</v>
      </c>
      <c r="H255" s="121" t="s">
        <v>843</v>
      </c>
      <c r="I255" s="122" t="s">
        <v>842</v>
      </c>
      <c r="J255" s="123" t="s">
        <v>888</v>
      </c>
      <c r="K255" s="124">
        <v>2</v>
      </c>
      <c r="L255" s="117">
        <v>3</v>
      </c>
      <c r="M255" s="117">
        <v>1</v>
      </c>
      <c r="N255" s="116">
        <v>16</v>
      </c>
      <c r="O255" s="116">
        <v>5</v>
      </c>
      <c r="P255" s="116">
        <v>0</v>
      </c>
      <c r="Q255" s="116">
        <v>2</v>
      </c>
      <c r="R255" s="116">
        <v>0</v>
      </c>
      <c r="S255" s="116">
        <v>0</v>
      </c>
      <c r="T255" s="116">
        <v>0</v>
      </c>
      <c r="U255" s="116">
        <v>1</v>
      </c>
      <c r="V255" s="116">
        <v>0</v>
      </c>
      <c r="W255" s="116">
        <v>0</v>
      </c>
      <c r="X255" s="116">
        <v>0</v>
      </c>
      <c r="Y255" s="116">
        <v>0</v>
      </c>
      <c r="Z255" s="116">
        <v>15</v>
      </c>
      <c r="AA255" s="116">
        <v>0</v>
      </c>
      <c r="AB255" s="116">
        <v>0</v>
      </c>
      <c r="AC255" s="116">
        <v>3</v>
      </c>
      <c r="AD255" s="116">
        <v>4</v>
      </c>
      <c r="AE255" s="116">
        <v>0</v>
      </c>
      <c r="AF255" s="116">
        <v>0</v>
      </c>
      <c r="AG255" s="116">
        <v>0</v>
      </c>
      <c r="AH255" s="116">
        <v>0</v>
      </c>
      <c r="AI255" s="116">
        <v>1</v>
      </c>
      <c r="AJ255" s="117">
        <v>0</v>
      </c>
      <c r="AK255" s="117">
        <v>7</v>
      </c>
      <c r="AL255" s="117">
        <v>1</v>
      </c>
      <c r="AM255" s="117">
        <v>7</v>
      </c>
      <c r="AN255" s="117">
        <v>46</v>
      </c>
      <c r="AO255" s="117">
        <v>0</v>
      </c>
      <c r="AP255" s="117">
        <v>4</v>
      </c>
      <c r="AQ255" s="117">
        <v>58</v>
      </c>
    </row>
    <row r="256" spans="1:43" s="118" customFormat="1" ht="13.5" customHeight="1">
      <c r="A256" s="119">
        <v>263</v>
      </c>
      <c r="B256" s="76" t="s">
        <v>521</v>
      </c>
      <c r="C256" s="75" t="s">
        <v>882</v>
      </c>
      <c r="D256" s="77" t="s">
        <v>883</v>
      </c>
      <c r="E256" s="77" t="s">
        <v>940</v>
      </c>
      <c r="F256" s="120" t="s">
        <v>961</v>
      </c>
      <c r="G256" s="76" t="s">
        <v>522</v>
      </c>
      <c r="H256" s="121" t="s">
        <v>843</v>
      </c>
      <c r="I256" s="122"/>
      <c r="J256" s="123" t="s">
        <v>885</v>
      </c>
      <c r="K256" s="124">
        <v>2</v>
      </c>
      <c r="L256" s="117">
        <v>0</v>
      </c>
      <c r="M256" s="117">
        <v>1</v>
      </c>
      <c r="N256" s="116">
        <v>8</v>
      </c>
      <c r="O256" s="116">
        <v>4</v>
      </c>
      <c r="P256" s="116">
        <v>1</v>
      </c>
      <c r="Q256" s="116">
        <v>2</v>
      </c>
      <c r="R256" s="116">
        <v>2</v>
      </c>
      <c r="S256" s="116">
        <v>0</v>
      </c>
      <c r="T256" s="116">
        <v>0</v>
      </c>
      <c r="U256" s="116">
        <v>0</v>
      </c>
      <c r="V256" s="116">
        <v>0</v>
      </c>
      <c r="W256" s="116">
        <v>1</v>
      </c>
      <c r="X256" s="116">
        <v>1</v>
      </c>
      <c r="Y256" s="116">
        <v>0</v>
      </c>
      <c r="Z256" s="116">
        <v>8</v>
      </c>
      <c r="AA256" s="116">
        <v>3</v>
      </c>
      <c r="AB256" s="116">
        <v>4</v>
      </c>
      <c r="AC256" s="116">
        <v>0</v>
      </c>
      <c r="AD256" s="116">
        <v>0</v>
      </c>
      <c r="AE256" s="116">
        <v>0</v>
      </c>
      <c r="AF256" s="116">
        <v>0</v>
      </c>
      <c r="AG256" s="116">
        <v>0</v>
      </c>
      <c r="AH256" s="116">
        <v>0</v>
      </c>
      <c r="AI256" s="116">
        <v>1</v>
      </c>
      <c r="AJ256" s="117">
        <v>1</v>
      </c>
      <c r="AK256" s="117">
        <v>3</v>
      </c>
      <c r="AL256" s="117">
        <v>0</v>
      </c>
      <c r="AM256" s="117">
        <v>4</v>
      </c>
      <c r="AN256" s="117">
        <v>12</v>
      </c>
      <c r="AO256" s="117">
        <v>0</v>
      </c>
      <c r="AP256" s="117">
        <v>2</v>
      </c>
      <c r="AQ256" s="117">
        <v>17</v>
      </c>
    </row>
    <row r="257" spans="1:43" s="118" customFormat="1" ht="13.5" customHeight="1">
      <c r="A257" s="119">
        <v>264</v>
      </c>
      <c r="B257" s="76" t="s">
        <v>72</v>
      </c>
      <c r="C257" s="75" t="s">
        <v>882</v>
      </c>
      <c r="D257" s="77" t="s">
        <v>883</v>
      </c>
      <c r="E257" s="77" t="s">
        <v>940</v>
      </c>
      <c r="F257" s="120" t="s">
        <v>962</v>
      </c>
      <c r="G257" s="76" t="s">
        <v>73</v>
      </c>
      <c r="H257" s="121" t="s">
        <v>843</v>
      </c>
      <c r="I257" s="122" t="s">
        <v>842</v>
      </c>
      <c r="J257" s="123" t="s">
        <v>888</v>
      </c>
      <c r="K257" s="124">
        <v>2</v>
      </c>
      <c r="L257" s="117">
        <v>1</v>
      </c>
      <c r="M257" s="117">
        <v>1</v>
      </c>
      <c r="N257" s="116">
        <v>18</v>
      </c>
      <c r="O257" s="116">
        <v>3</v>
      </c>
      <c r="P257" s="116">
        <v>0</v>
      </c>
      <c r="Q257" s="116">
        <v>0</v>
      </c>
      <c r="R257" s="116">
        <v>0</v>
      </c>
      <c r="S257" s="116">
        <v>0</v>
      </c>
      <c r="T257" s="116">
        <v>1</v>
      </c>
      <c r="U257" s="116">
        <v>0</v>
      </c>
      <c r="V257" s="116">
        <v>0</v>
      </c>
      <c r="W257" s="116">
        <v>2</v>
      </c>
      <c r="X257" s="116">
        <v>0</v>
      </c>
      <c r="Y257" s="116">
        <v>0</v>
      </c>
      <c r="Z257" s="116">
        <v>14</v>
      </c>
      <c r="AA257" s="116">
        <v>2</v>
      </c>
      <c r="AB257" s="116">
        <v>0</v>
      </c>
      <c r="AC257" s="116">
        <v>0</v>
      </c>
      <c r="AD257" s="116">
        <v>0</v>
      </c>
      <c r="AE257" s="116">
        <v>0</v>
      </c>
      <c r="AF257" s="116">
        <v>0</v>
      </c>
      <c r="AG257" s="116">
        <v>0</v>
      </c>
      <c r="AH257" s="116">
        <v>0</v>
      </c>
      <c r="AI257" s="116">
        <v>1</v>
      </c>
      <c r="AJ257" s="117">
        <v>0</v>
      </c>
      <c r="AK257" s="117">
        <v>7</v>
      </c>
      <c r="AL257" s="117">
        <v>0</v>
      </c>
      <c r="AM257" s="117">
        <v>0</v>
      </c>
      <c r="AN257" s="117">
        <v>46</v>
      </c>
      <c r="AO257" s="117">
        <v>0</v>
      </c>
      <c r="AP257" s="117">
        <v>4</v>
      </c>
      <c r="AQ257" s="117">
        <v>46</v>
      </c>
    </row>
    <row r="258" spans="1:43" s="118" customFormat="1" ht="13.5" customHeight="1">
      <c r="A258" s="119">
        <v>265</v>
      </c>
      <c r="B258" s="76" t="s">
        <v>392</v>
      </c>
      <c r="C258" s="75" t="s">
        <v>882</v>
      </c>
      <c r="D258" s="77" t="s">
        <v>883</v>
      </c>
      <c r="E258" s="77" t="s">
        <v>940</v>
      </c>
      <c r="F258" s="120" t="s">
        <v>960</v>
      </c>
      <c r="G258" s="76" t="s">
        <v>393</v>
      </c>
      <c r="H258" s="121" t="s">
        <v>843</v>
      </c>
      <c r="I258" s="122"/>
      <c r="J258" s="123" t="s">
        <v>888</v>
      </c>
      <c r="K258" s="124">
        <v>2</v>
      </c>
      <c r="L258" s="117">
        <v>1</v>
      </c>
      <c r="M258" s="117">
        <v>1</v>
      </c>
      <c r="N258" s="116">
        <v>7</v>
      </c>
      <c r="O258" s="116">
        <v>2</v>
      </c>
      <c r="P258" s="116">
        <v>0</v>
      </c>
      <c r="Q258" s="116">
        <v>4</v>
      </c>
      <c r="R258" s="116">
        <v>4</v>
      </c>
      <c r="S258" s="116">
        <v>0</v>
      </c>
      <c r="T258" s="116">
        <v>0</v>
      </c>
      <c r="U258" s="116">
        <v>0</v>
      </c>
      <c r="V258" s="116">
        <v>0</v>
      </c>
      <c r="W258" s="116">
        <v>1</v>
      </c>
      <c r="X258" s="116">
        <v>1</v>
      </c>
      <c r="Y258" s="116">
        <v>0</v>
      </c>
      <c r="Z258" s="116">
        <v>9</v>
      </c>
      <c r="AA258" s="116">
        <v>4</v>
      </c>
      <c r="AB258" s="116">
        <v>0</v>
      </c>
      <c r="AC258" s="116">
        <v>0</v>
      </c>
      <c r="AD258" s="116">
        <v>0</v>
      </c>
      <c r="AE258" s="116">
        <v>0</v>
      </c>
      <c r="AF258" s="116">
        <v>0</v>
      </c>
      <c r="AG258" s="116">
        <v>0</v>
      </c>
      <c r="AH258" s="116">
        <v>0</v>
      </c>
      <c r="AI258" s="116">
        <v>1</v>
      </c>
      <c r="AJ258" s="117">
        <v>0</v>
      </c>
      <c r="AK258" s="117">
        <v>7</v>
      </c>
      <c r="AL258" s="117">
        <v>0</v>
      </c>
      <c r="AM258" s="117">
        <v>2</v>
      </c>
      <c r="AN258" s="117">
        <v>36</v>
      </c>
      <c r="AO258" s="117">
        <v>0</v>
      </c>
      <c r="AP258" s="117">
        <v>7</v>
      </c>
      <c r="AQ258" s="117">
        <v>40</v>
      </c>
    </row>
    <row r="259" spans="1:43" s="118" customFormat="1" ht="13.5" customHeight="1">
      <c r="A259" s="119">
        <v>266</v>
      </c>
      <c r="B259" s="76" t="s">
        <v>817</v>
      </c>
      <c r="C259" s="75" t="s">
        <v>882</v>
      </c>
      <c r="D259" s="77" t="s">
        <v>883</v>
      </c>
      <c r="E259" s="77" t="s">
        <v>940</v>
      </c>
      <c r="F259" s="120" t="s">
        <v>961</v>
      </c>
      <c r="G259" s="76" t="s">
        <v>818</v>
      </c>
      <c r="H259" s="121" t="s">
        <v>843</v>
      </c>
      <c r="I259" s="122" t="s">
        <v>842</v>
      </c>
      <c r="J259" s="123" t="s">
        <v>888</v>
      </c>
      <c r="K259" s="124">
        <v>2</v>
      </c>
      <c r="L259" s="117">
        <v>1</v>
      </c>
      <c r="M259" s="117">
        <v>1</v>
      </c>
      <c r="N259" s="116">
        <v>11</v>
      </c>
      <c r="O259" s="116">
        <v>6</v>
      </c>
      <c r="P259" s="116">
        <v>0</v>
      </c>
      <c r="Q259" s="116">
        <v>3</v>
      </c>
      <c r="R259" s="116">
        <v>0</v>
      </c>
      <c r="S259" s="116">
        <v>0</v>
      </c>
      <c r="T259" s="116">
        <v>0</v>
      </c>
      <c r="U259" s="116">
        <v>0</v>
      </c>
      <c r="V259" s="116">
        <v>0</v>
      </c>
      <c r="W259" s="116">
        <v>1</v>
      </c>
      <c r="X259" s="116">
        <v>2</v>
      </c>
      <c r="Y259" s="116">
        <v>0</v>
      </c>
      <c r="Z259" s="116">
        <v>5</v>
      </c>
      <c r="AA259" s="116">
        <v>2</v>
      </c>
      <c r="AB259" s="116">
        <v>0</v>
      </c>
      <c r="AC259" s="116">
        <v>6</v>
      </c>
      <c r="AD259" s="116">
        <v>4</v>
      </c>
      <c r="AE259" s="116">
        <v>0</v>
      </c>
      <c r="AF259" s="116">
        <v>0</v>
      </c>
      <c r="AG259" s="116">
        <v>0</v>
      </c>
      <c r="AH259" s="116">
        <v>0</v>
      </c>
      <c r="AI259" s="116">
        <v>1</v>
      </c>
      <c r="AJ259" s="117">
        <v>1</v>
      </c>
      <c r="AK259" s="117">
        <v>8</v>
      </c>
      <c r="AL259" s="117">
        <v>0</v>
      </c>
      <c r="AM259" s="117">
        <v>16</v>
      </c>
      <c r="AN259" s="117">
        <v>37</v>
      </c>
      <c r="AO259" s="117">
        <v>0</v>
      </c>
      <c r="AP259" s="117">
        <v>7</v>
      </c>
      <c r="AQ259" s="117">
        <v>55</v>
      </c>
    </row>
    <row r="260" spans="1:43" s="118" customFormat="1" ht="13.5" customHeight="1">
      <c r="A260" s="119">
        <v>267</v>
      </c>
      <c r="B260" s="76" t="s">
        <v>524</v>
      </c>
      <c r="C260" s="75" t="s">
        <v>882</v>
      </c>
      <c r="D260" s="77" t="s">
        <v>883</v>
      </c>
      <c r="E260" s="77" t="s">
        <v>940</v>
      </c>
      <c r="F260" s="120" t="s">
        <v>961</v>
      </c>
      <c r="G260" s="76" t="s">
        <v>525</v>
      </c>
      <c r="H260" s="121" t="s">
        <v>843</v>
      </c>
      <c r="I260" s="122"/>
      <c r="J260" s="123" t="s">
        <v>885</v>
      </c>
      <c r="K260" s="124">
        <v>2</v>
      </c>
      <c r="L260" s="117">
        <v>1</v>
      </c>
      <c r="M260" s="117">
        <v>1</v>
      </c>
      <c r="N260" s="116">
        <v>4</v>
      </c>
      <c r="O260" s="116">
        <v>4</v>
      </c>
      <c r="P260" s="116">
        <v>0</v>
      </c>
      <c r="Q260" s="116">
        <v>1</v>
      </c>
      <c r="R260" s="116">
        <v>0</v>
      </c>
      <c r="S260" s="116">
        <v>0</v>
      </c>
      <c r="T260" s="116">
        <v>0</v>
      </c>
      <c r="U260" s="116">
        <v>0</v>
      </c>
      <c r="V260" s="116">
        <v>0</v>
      </c>
      <c r="W260" s="116">
        <v>0</v>
      </c>
      <c r="X260" s="116">
        <v>0</v>
      </c>
      <c r="Y260" s="116">
        <v>0</v>
      </c>
      <c r="Z260" s="116">
        <v>4</v>
      </c>
      <c r="AA260" s="116">
        <v>3</v>
      </c>
      <c r="AB260" s="116">
        <v>0</v>
      </c>
      <c r="AC260" s="116">
        <v>0</v>
      </c>
      <c r="AD260" s="116">
        <v>0</v>
      </c>
      <c r="AE260" s="116">
        <v>0</v>
      </c>
      <c r="AF260" s="116">
        <v>0</v>
      </c>
      <c r="AG260" s="116">
        <v>0</v>
      </c>
      <c r="AH260" s="116">
        <v>0</v>
      </c>
      <c r="AI260" s="116">
        <v>1</v>
      </c>
      <c r="AJ260" s="117">
        <v>1</v>
      </c>
      <c r="AK260" s="117">
        <v>0</v>
      </c>
      <c r="AL260" s="117">
        <v>0</v>
      </c>
      <c r="AM260" s="117">
        <v>1</v>
      </c>
      <c r="AN260" s="117">
        <v>10</v>
      </c>
      <c r="AO260" s="117">
        <v>0</v>
      </c>
      <c r="AP260" s="117">
        <v>1</v>
      </c>
      <c r="AQ260" s="117">
        <v>11</v>
      </c>
    </row>
    <row r="261" spans="1:43" s="118" customFormat="1" ht="13.5" customHeight="1">
      <c r="A261" s="119">
        <v>268</v>
      </c>
      <c r="B261" s="76" t="s">
        <v>530</v>
      </c>
      <c r="C261" s="75" t="s">
        <v>882</v>
      </c>
      <c r="D261" s="77" t="s">
        <v>883</v>
      </c>
      <c r="E261" s="77" t="s">
        <v>940</v>
      </c>
      <c r="F261" s="120" t="s">
        <v>961</v>
      </c>
      <c r="G261" s="76" t="s">
        <v>531</v>
      </c>
      <c r="H261" s="121" t="s">
        <v>843</v>
      </c>
      <c r="I261" s="122" t="s">
        <v>842</v>
      </c>
      <c r="J261" s="123" t="s">
        <v>885</v>
      </c>
      <c r="K261" s="124">
        <v>2</v>
      </c>
      <c r="L261" s="117">
        <v>1</v>
      </c>
      <c r="M261" s="117">
        <v>1</v>
      </c>
      <c r="N261" s="116">
        <v>8</v>
      </c>
      <c r="O261" s="116">
        <v>2</v>
      </c>
      <c r="P261" s="116">
        <v>0</v>
      </c>
      <c r="Q261" s="116">
        <v>5</v>
      </c>
      <c r="R261" s="116">
        <v>2</v>
      </c>
      <c r="S261" s="116">
        <v>0</v>
      </c>
      <c r="T261" s="116">
        <v>2</v>
      </c>
      <c r="U261" s="116">
        <v>1</v>
      </c>
      <c r="V261" s="116">
        <v>0</v>
      </c>
      <c r="W261" s="116">
        <v>0</v>
      </c>
      <c r="X261" s="116">
        <v>0</v>
      </c>
      <c r="Y261" s="116">
        <v>0</v>
      </c>
      <c r="Z261" s="116">
        <v>0</v>
      </c>
      <c r="AA261" s="116">
        <v>0</v>
      </c>
      <c r="AB261" s="116">
        <v>0</v>
      </c>
      <c r="AC261" s="116">
        <v>10</v>
      </c>
      <c r="AD261" s="116">
        <v>2</v>
      </c>
      <c r="AE261" s="116">
        <v>0</v>
      </c>
      <c r="AF261" s="116">
        <v>0</v>
      </c>
      <c r="AG261" s="116">
        <v>0</v>
      </c>
      <c r="AH261" s="116">
        <v>0</v>
      </c>
      <c r="AI261" s="116">
        <v>1</v>
      </c>
      <c r="AJ261" s="117">
        <v>0</v>
      </c>
      <c r="AK261" s="117">
        <v>9</v>
      </c>
      <c r="AL261" s="117">
        <v>0</v>
      </c>
      <c r="AM261" s="117">
        <v>4</v>
      </c>
      <c r="AN261" s="117">
        <v>50</v>
      </c>
      <c r="AO261" s="117">
        <v>0</v>
      </c>
      <c r="AP261" s="117">
        <v>5</v>
      </c>
      <c r="AQ261" s="117">
        <v>58</v>
      </c>
    </row>
    <row r="262" spans="1:43" s="118" customFormat="1" ht="13.5" customHeight="1">
      <c r="A262" s="119">
        <v>269</v>
      </c>
      <c r="B262" s="76" t="s">
        <v>595</v>
      </c>
      <c r="C262" s="75" t="s">
        <v>882</v>
      </c>
      <c r="D262" s="77" t="s">
        <v>883</v>
      </c>
      <c r="E262" s="77" t="s">
        <v>950</v>
      </c>
      <c r="F262" s="120" t="s">
        <v>962</v>
      </c>
      <c r="G262" s="76" t="s">
        <v>596</v>
      </c>
      <c r="H262" s="121" t="s">
        <v>843</v>
      </c>
      <c r="I262" s="122" t="s">
        <v>842</v>
      </c>
      <c r="J262" s="123" t="s">
        <v>888</v>
      </c>
      <c r="K262" s="124">
        <v>2</v>
      </c>
      <c r="L262" s="117">
        <v>1</v>
      </c>
      <c r="M262" s="117">
        <v>1</v>
      </c>
      <c r="N262" s="116">
        <v>16</v>
      </c>
      <c r="O262" s="116">
        <v>7</v>
      </c>
      <c r="P262" s="116">
        <v>1</v>
      </c>
      <c r="Q262" s="116">
        <v>1</v>
      </c>
      <c r="R262" s="116">
        <v>1</v>
      </c>
      <c r="S262" s="116">
        <v>0</v>
      </c>
      <c r="T262" s="116">
        <v>0</v>
      </c>
      <c r="U262" s="116">
        <v>0</v>
      </c>
      <c r="V262" s="116">
        <v>0</v>
      </c>
      <c r="W262" s="116">
        <v>0</v>
      </c>
      <c r="X262" s="116">
        <v>0</v>
      </c>
      <c r="Y262" s="116">
        <v>0</v>
      </c>
      <c r="Z262" s="116">
        <v>0</v>
      </c>
      <c r="AA262" s="116">
        <v>0</v>
      </c>
      <c r="AB262" s="116">
        <v>0</v>
      </c>
      <c r="AC262" s="116">
        <v>15</v>
      </c>
      <c r="AD262" s="116">
        <v>6</v>
      </c>
      <c r="AE262" s="116">
        <v>5</v>
      </c>
      <c r="AF262" s="116">
        <v>0</v>
      </c>
      <c r="AG262" s="116">
        <v>0</v>
      </c>
      <c r="AH262" s="116">
        <v>0</v>
      </c>
      <c r="AI262" s="116">
        <v>1</v>
      </c>
      <c r="AJ262" s="117">
        <v>0</v>
      </c>
      <c r="AK262" s="117">
        <v>8</v>
      </c>
      <c r="AL262" s="117">
        <v>0</v>
      </c>
      <c r="AM262" s="117">
        <v>0</v>
      </c>
      <c r="AN262" s="117">
        <v>47</v>
      </c>
      <c r="AO262" s="117">
        <v>0</v>
      </c>
      <c r="AP262" s="117">
        <v>8</v>
      </c>
      <c r="AQ262" s="117">
        <v>47</v>
      </c>
    </row>
    <row r="263" spans="1:43" s="118" customFormat="1" ht="13.5" customHeight="1">
      <c r="A263" s="119">
        <v>270</v>
      </c>
      <c r="B263" s="76" t="s">
        <v>615</v>
      </c>
      <c r="C263" s="75" t="s">
        <v>882</v>
      </c>
      <c r="D263" s="77" t="s">
        <v>883</v>
      </c>
      <c r="E263" s="77" t="s">
        <v>950</v>
      </c>
      <c r="F263" s="120" t="s">
        <v>962</v>
      </c>
      <c r="G263" s="76" t="s">
        <v>616</v>
      </c>
      <c r="H263" s="121" t="s">
        <v>843</v>
      </c>
      <c r="I263" s="122" t="s">
        <v>842</v>
      </c>
      <c r="J263" s="123" t="s">
        <v>885</v>
      </c>
      <c r="K263" s="124">
        <v>2</v>
      </c>
      <c r="L263" s="117">
        <v>2</v>
      </c>
      <c r="M263" s="117">
        <v>0</v>
      </c>
      <c r="N263" s="116">
        <v>12</v>
      </c>
      <c r="O263" s="116">
        <v>11</v>
      </c>
      <c r="P263" s="116">
        <v>1</v>
      </c>
      <c r="Q263" s="116">
        <v>2</v>
      </c>
      <c r="R263" s="116">
        <v>0</v>
      </c>
      <c r="S263" s="116">
        <v>0</v>
      </c>
      <c r="T263" s="116">
        <v>0</v>
      </c>
      <c r="U263" s="116">
        <v>1</v>
      </c>
      <c r="V263" s="116">
        <v>0</v>
      </c>
      <c r="W263" s="116">
        <v>0</v>
      </c>
      <c r="X263" s="116">
        <v>1</v>
      </c>
      <c r="Y263" s="116">
        <v>0</v>
      </c>
      <c r="Z263" s="116">
        <v>11</v>
      </c>
      <c r="AA263" s="116">
        <v>6</v>
      </c>
      <c r="AB263" s="116">
        <v>7</v>
      </c>
      <c r="AC263" s="116">
        <v>0</v>
      </c>
      <c r="AD263" s="116">
        <v>0</v>
      </c>
      <c r="AE263" s="116">
        <v>0</v>
      </c>
      <c r="AF263" s="116">
        <v>0</v>
      </c>
      <c r="AG263" s="116">
        <v>0</v>
      </c>
      <c r="AH263" s="116">
        <v>0</v>
      </c>
      <c r="AI263" s="116">
        <v>1</v>
      </c>
      <c r="AJ263" s="117">
        <v>0</v>
      </c>
      <c r="AK263" s="117">
        <v>10</v>
      </c>
      <c r="AL263" s="117">
        <v>0</v>
      </c>
      <c r="AM263" s="117">
        <v>0</v>
      </c>
      <c r="AN263" s="117">
        <v>66</v>
      </c>
      <c r="AO263" s="117">
        <v>0</v>
      </c>
      <c r="AP263" s="117">
        <v>7</v>
      </c>
      <c r="AQ263" s="117">
        <v>69</v>
      </c>
    </row>
    <row r="264" spans="1:43" s="118" customFormat="1" ht="13.5" customHeight="1">
      <c r="A264" s="119">
        <v>272</v>
      </c>
      <c r="B264" s="76" t="s">
        <v>121</v>
      </c>
      <c r="C264" s="75" t="s">
        <v>882</v>
      </c>
      <c r="D264" s="77" t="s">
        <v>883</v>
      </c>
      <c r="E264" s="77" t="s">
        <v>950</v>
      </c>
      <c r="F264" s="120" t="s">
        <v>962</v>
      </c>
      <c r="G264" s="76" t="s">
        <v>122</v>
      </c>
      <c r="H264" s="121" t="s">
        <v>843</v>
      </c>
      <c r="I264" s="122"/>
      <c r="J264" s="123" t="s">
        <v>888</v>
      </c>
      <c r="K264" s="124">
        <v>2</v>
      </c>
      <c r="L264" s="117">
        <v>1</v>
      </c>
      <c r="M264" s="117">
        <v>1</v>
      </c>
      <c r="N264" s="116">
        <v>13</v>
      </c>
      <c r="O264" s="116">
        <v>6</v>
      </c>
      <c r="P264" s="116">
        <v>0</v>
      </c>
      <c r="Q264" s="116">
        <v>4</v>
      </c>
      <c r="R264" s="116">
        <v>2</v>
      </c>
      <c r="S264" s="116">
        <v>0</v>
      </c>
      <c r="T264" s="116">
        <v>0</v>
      </c>
      <c r="U264" s="116">
        <v>0</v>
      </c>
      <c r="V264" s="116">
        <v>0</v>
      </c>
      <c r="W264" s="116">
        <v>3</v>
      </c>
      <c r="X264" s="116">
        <v>3</v>
      </c>
      <c r="Y264" s="116">
        <v>0</v>
      </c>
      <c r="Z264" s="116">
        <v>13</v>
      </c>
      <c r="AA264" s="116">
        <v>4</v>
      </c>
      <c r="AB264" s="116">
        <v>0</v>
      </c>
      <c r="AC264" s="116">
        <v>0</v>
      </c>
      <c r="AD264" s="116">
        <v>0</v>
      </c>
      <c r="AE264" s="116">
        <v>0</v>
      </c>
      <c r="AF264" s="116">
        <v>0</v>
      </c>
      <c r="AG264" s="116">
        <v>0</v>
      </c>
      <c r="AH264" s="116">
        <v>0</v>
      </c>
      <c r="AI264" s="116">
        <v>1</v>
      </c>
      <c r="AJ264" s="117">
        <v>0</v>
      </c>
      <c r="AK264" s="117">
        <v>5</v>
      </c>
      <c r="AL264" s="117">
        <v>0</v>
      </c>
      <c r="AM264" s="117">
        <v>0</v>
      </c>
      <c r="AN264" s="117">
        <v>31</v>
      </c>
      <c r="AO264" s="117">
        <v>0</v>
      </c>
      <c r="AP264" s="117">
        <v>5</v>
      </c>
      <c r="AQ264" s="117">
        <v>31</v>
      </c>
    </row>
    <row r="265" spans="1:43" s="118" customFormat="1" ht="13.5" customHeight="1">
      <c r="A265" s="119">
        <v>273</v>
      </c>
      <c r="B265" s="76" t="s">
        <v>145</v>
      </c>
      <c r="C265" s="75" t="s">
        <v>882</v>
      </c>
      <c r="D265" s="77" t="s">
        <v>883</v>
      </c>
      <c r="E265" s="77" t="s">
        <v>950</v>
      </c>
      <c r="F265" s="120" t="s">
        <v>960</v>
      </c>
      <c r="G265" s="76" t="s">
        <v>146</v>
      </c>
      <c r="H265" s="121" t="s">
        <v>843</v>
      </c>
      <c r="I265" s="122" t="s">
        <v>842</v>
      </c>
      <c r="J265" s="123" t="s">
        <v>885</v>
      </c>
      <c r="K265" s="124">
        <v>2</v>
      </c>
      <c r="L265" s="117">
        <v>3</v>
      </c>
      <c r="M265" s="117">
        <v>1</v>
      </c>
      <c r="N265" s="116">
        <v>8</v>
      </c>
      <c r="O265" s="116">
        <v>2</v>
      </c>
      <c r="P265" s="116">
        <v>0</v>
      </c>
      <c r="Q265" s="116">
        <v>3</v>
      </c>
      <c r="R265" s="116">
        <v>1</v>
      </c>
      <c r="S265" s="116">
        <v>0</v>
      </c>
      <c r="T265" s="116">
        <v>2</v>
      </c>
      <c r="U265" s="116">
        <v>1</v>
      </c>
      <c r="V265" s="116">
        <v>0</v>
      </c>
      <c r="W265" s="116">
        <v>0</v>
      </c>
      <c r="X265" s="116">
        <v>0</v>
      </c>
      <c r="Y265" s="116">
        <v>0</v>
      </c>
      <c r="Z265" s="116">
        <v>8</v>
      </c>
      <c r="AA265" s="116">
        <v>1</v>
      </c>
      <c r="AB265" s="116">
        <v>0</v>
      </c>
      <c r="AC265" s="116">
        <v>0</v>
      </c>
      <c r="AD265" s="116">
        <v>0</v>
      </c>
      <c r="AE265" s="116">
        <v>0</v>
      </c>
      <c r="AF265" s="116">
        <v>0</v>
      </c>
      <c r="AG265" s="116">
        <v>0</v>
      </c>
      <c r="AH265" s="116">
        <v>0</v>
      </c>
      <c r="AI265" s="116">
        <v>1</v>
      </c>
      <c r="AJ265" s="117">
        <v>0</v>
      </c>
      <c r="AK265" s="117">
        <v>6</v>
      </c>
      <c r="AL265" s="117">
        <v>0</v>
      </c>
      <c r="AM265" s="117">
        <v>0</v>
      </c>
      <c r="AN265" s="117">
        <v>48</v>
      </c>
      <c r="AO265" s="117">
        <v>0</v>
      </c>
      <c r="AP265" s="117">
        <v>5</v>
      </c>
      <c r="AQ265" s="117">
        <v>49</v>
      </c>
    </row>
    <row r="266" spans="1:43" s="118" customFormat="1" ht="13.5" customHeight="1">
      <c r="A266" s="119">
        <v>274</v>
      </c>
      <c r="B266" s="76" t="s">
        <v>617</v>
      </c>
      <c r="C266" s="75" t="s">
        <v>882</v>
      </c>
      <c r="D266" s="77" t="s">
        <v>883</v>
      </c>
      <c r="E266" s="77" t="s">
        <v>950</v>
      </c>
      <c r="F266" s="120" t="s">
        <v>961</v>
      </c>
      <c r="G266" s="76" t="s">
        <v>618</v>
      </c>
      <c r="H266" s="121" t="s">
        <v>843</v>
      </c>
      <c r="I266" s="122" t="s">
        <v>842</v>
      </c>
      <c r="J266" s="123" t="s">
        <v>888</v>
      </c>
      <c r="K266" s="124">
        <v>2</v>
      </c>
      <c r="L266" s="117">
        <v>2</v>
      </c>
      <c r="M266" s="117">
        <v>2</v>
      </c>
      <c r="N266" s="116">
        <v>7</v>
      </c>
      <c r="O266" s="116">
        <v>2</v>
      </c>
      <c r="P266" s="116">
        <v>0</v>
      </c>
      <c r="Q266" s="116">
        <v>7</v>
      </c>
      <c r="R266" s="116">
        <v>5</v>
      </c>
      <c r="S266" s="116">
        <v>0</v>
      </c>
      <c r="T266" s="116">
        <v>1</v>
      </c>
      <c r="U266" s="116">
        <v>1</v>
      </c>
      <c r="V266" s="116">
        <v>0</v>
      </c>
      <c r="W266" s="116">
        <v>0</v>
      </c>
      <c r="X266" s="116">
        <v>0</v>
      </c>
      <c r="Y266" s="116">
        <v>0</v>
      </c>
      <c r="Z266" s="116">
        <v>0</v>
      </c>
      <c r="AA266" s="116">
        <v>1</v>
      </c>
      <c r="AB266" s="116">
        <v>0</v>
      </c>
      <c r="AC266" s="116">
        <v>0</v>
      </c>
      <c r="AD266" s="116">
        <v>0</v>
      </c>
      <c r="AE266" s="116">
        <v>0</v>
      </c>
      <c r="AF266" s="116">
        <v>12</v>
      </c>
      <c r="AG266" s="116">
        <v>5</v>
      </c>
      <c r="AH266" s="116">
        <v>0</v>
      </c>
      <c r="AI266" s="116">
        <v>1</v>
      </c>
      <c r="AJ266" s="117">
        <v>1</v>
      </c>
      <c r="AK266" s="117">
        <v>12</v>
      </c>
      <c r="AL266" s="117">
        <v>0</v>
      </c>
      <c r="AM266" s="117">
        <v>9</v>
      </c>
      <c r="AN266" s="117">
        <v>53</v>
      </c>
      <c r="AO266" s="117">
        <v>0</v>
      </c>
      <c r="AP266" s="117">
        <v>9</v>
      </c>
      <c r="AQ266" s="117">
        <v>66</v>
      </c>
    </row>
    <row r="267" spans="1:43" s="118" customFormat="1" ht="13.5" customHeight="1">
      <c r="A267" s="119">
        <v>275</v>
      </c>
      <c r="B267" s="76" t="s">
        <v>148</v>
      </c>
      <c r="C267" s="75" t="s">
        <v>882</v>
      </c>
      <c r="D267" s="77" t="s">
        <v>883</v>
      </c>
      <c r="E267" s="77" t="s">
        <v>950</v>
      </c>
      <c r="F267" s="120" t="s">
        <v>960</v>
      </c>
      <c r="G267" s="76" t="s">
        <v>149</v>
      </c>
      <c r="H267" s="121" t="s">
        <v>843</v>
      </c>
      <c r="I267" s="122"/>
      <c r="J267" s="123" t="s">
        <v>888</v>
      </c>
      <c r="K267" s="124">
        <v>2</v>
      </c>
      <c r="L267" s="117">
        <v>2</v>
      </c>
      <c r="M267" s="117">
        <v>2</v>
      </c>
      <c r="N267" s="116">
        <v>5</v>
      </c>
      <c r="O267" s="116">
        <v>2</v>
      </c>
      <c r="P267" s="116">
        <v>0</v>
      </c>
      <c r="Q267" s="116">
        <v>2</v>
      </c>
      <c r="R267" s="116">
        <v>3</v>
      </c>
      <c r="S267" s="116">
        <v>0</v>
      </c>
      <c r="T267" s="116">
        <v>0</v>
      </c>
      <c r="U267" s="116">
        <v>0</v>
      </c>
      <c r="V267" s="116">
        <v>0</v>
      </c>
      <c r="W267" s="116">
        <v>0</v>
      </c>
      <c r="X267" s="116">
        <v>0</v>
      </c>
      <c r="Y267" s="116">
        <v>0</v>
      </c>
      <c r="Z267" s="116">
        <v>0</v>
      </c>
      <c r="AA267" s="116">
        <v>0</v>
      </c>
      <c r="AB267" s="116">
        <v>0</v>
      </c>
      <c r="AC267" s="116">
        <v>0</v>
      </c>
      <c r="AD267" s="116">
        <v>0</v>
      </c>
      <c r="AE267" s="116">
        <v>0</v>
      </c>
      <c r="AF267" s="116">
        <v>6</v>
      </c>
      <c r="AG267" s="116">
        <v>4</v>
      </c>
      <c r="AH267" s="116">
        <v>0</v>
      </c>
      <c r="AI267" s="116">
        <v>1</v>
      </c>
      <c r="AJ267" s="117">
        <v>0</v>
      </c>
      <c r="AK267" s="117">
        <v>5</v>
      </c>
      <c r="AL267" s="117">
        <v>0</v>
      </c>
      <c r="AM267" s="117">
        <v>0</v>
      </c>
      <c r="AN267" s="117">
        <v>24</v>
      </c>
      <c r="AO267" s="117">
        <v>0</v>
      </c>
      <c r="AP267" s="117">
        <v>4</v>
      </c>
      <c r="AQ267" s="117">
        <v>25</v>
      </c>
    </row>
    <row r="268" spans="1:43" s="118" customFormat="1" ht="13.5" customHeight="1">
      <c r="A268" s="119">
        <v>276</v>
      </c>
      <c r="B268" s="76" t="s">
        <v>623</v>
      </c>
      <c r="C268" s="75" t="s">
        <v>882</v>
      </c>
      <c r="D268" s="77" t="s">
        <v>883</v>
      </c>
      <c r="E268" s="77" t="s">
        <v>950</v>
      </c>
      <c r="F268" s="120" t="s">
        <v>961</v>
      </c>
      <c r="G268" s="76" t="s">
        <v>624</v>
      </c>
      <c r="H268" s="121" t="s">
        <v>843</v>
      </c>
      <c r="I268" s="122"/>
      <c r="J268" s="123" t="s">
        <v>888</v>
      </c>
      <c r="K268" s="124">
        <v>2</v>
      </c>
      <c r="L268" s="117">
        <v>0</v>
      </c>
      <c r="M268" s="117">
        <v>0</v>
      </c>
      <c r="N268" s="116">
        <v>8</v>
      </c>
      <c r="O268" s="116">
        <v>1</v>
      </c>
      <c r="P268" s="116">
        <v>1</v>
      </c>
      <c r="Q268" s="116">
        <v>1</v>
      </c>
      <c r="R268" s="116">
        <v>0</v>
      </c>
      <c r="S268" s="116">
        <v>0</v>
      </c>
      <c r="T268" s="116">
        <v>0</v>
      </c>
      <c r="U268" s="116">
        <v>0</v>
      </c>
      <c r="V268" s="116">
        <v>0</v>
      </c>
      <c r="W268" s="116">
        <v>0</v>
      </c>
      <c r="X268" s="116">
        <v>0</v>
      </c>
      <c r="Y268" s="116">
        <v>0</v>
      </c>
      <c r="Z268" s="116">
        <v>0</v>
      </c>
      <c r="AA268" s="116">
        <v>0</v>
      </c>
      <c r="AB268" s="116">
        <v>0</v>
      </c>
      <c r="AC268" s="116">
        <v>7</v>
      </c>
      <c r="AD268" s="116">
        <v>1</v>
      </c>
      <c r="AE268" s="116">
        <v>3</v>
      </c>
      <c r="AF268" s="116">
        <v>0</v>
      </c>
      <c r="AG268" s="116">
        <v>0</v>
      </c>
      <c r="AH268" s="116">
        <v>0</v>
      </c>
      <c r="AI268" s="116">
        <v>1</v>
      </c>
      <c r="AJ268" s="117">
        <v>0</v>
      </c>
      <c r="AK268" s="117">
        <v>8</v>
      </c>
      <c r="AL268" s="117">
        <v>0</v>
      </c>
      <c r="AM268" s="117">
        <v>16</v>
      </c>
      <c r="AN268" s="117">
        <v>14</v>
      </c>
      <c r="AO268" s="117">
        <v>0</v>
      </c>
      <c r="AP268" s="117">
        <v>5</v>
      </c>
      <c r="AQ268" s="117">
        <v>33</v>
      </c>
    </row>
    <row r="269" spans="1:43" s="118" customFormat="1" ht="13.5" customHeight="1">
      <c r="A269" s="119">
        <v>277</v>
      </c>
      <c r="B269" s="76" t="s">
        <v>136</v>
      </c>
      <c r="C269" s="75" t="s">
        <v>882</v>
      </c>
      <c r="D269" s="77" t="s">
        <v>883</v>
      </c>
      <c r="E269" s="77" t="s">
        <v>950</v>
      </c>
      <c r="F269" s="120" t="s">
        <v>962</v>
      </c>
      <c r="G269" s="76" t="s">
        <v>137</v>
      </c>
      <c r="H269" s="121" t="s">
        <v>843</v>
      </c>
      <c r="I269" s="122" t="s">
        <v>842</v>
      </c>
      <c r="J269" s="123" t="s">
        <v>888</v>
      </c>
      <c r="K269" s="124">
        <v>2</v>
      </c>
      <c r="L269" s="117">
        <v>1</v>
      </c>
      <c r="M269" s="117">
        <v>1</v>
      </c>
      <c r="N269" s="116">
        <v>14</v>
      </c>
      <c r="O269" s="116">
        <v>3</v>
      </c>
      <c r="P269" s="116">
        <v>0</v>
      </c>
      <c r="Q269" s="116">
        <v>2</v>
      </c>
      <c r="R269" s="116">
        <v>0</v>
      </c>
      <c r="S269" s="116">
        <v>0</v>
      </c>
      <c r="T269" s="116">
        <v>0</v>
      </c>
      <c r="U269" s="116">
        <v>0</v>
      </c>
      <c r="V269" s="116">
        <v>0</v>
      </c>
      <c r="W269" s="116">
        <v>6</v>
      </c>
      <c r="X269" s="116">
        <v>1</v>
      </c>
      <c r="Y269" s="116">
        <v>0</v>
      </c>
      <c r="Z269" s="116">
        <v>9</v>
      </c>
      <c r="AA269" s="116">
        <v>2</v>
      </c>
      <c r="AB269" s="116">
        <v>0</v>
      </c>
      <c r="AC269" s="116">
        <v>0</v>
      </c>
      <c r="AD269" s="116">
        <v>0</v>
      </c>
      <c r="AE269" s="116">
        <v>0</v>
      </c>
      <c r="AF269" s="116">
        <v>0</v>
      </c>
      <c r="AG269" s="116">
        <v>0</v>
      </c>
      <c r="AH269" s="116">
        <v>0</v>
      </c>
      <c r="AI269" s="116">
        <v>1</v>
      </c>
      <c r="AJ269" s="117">
        <v>0</v>
      </c>
      <c r="AK269" s="117">
        <v>9</v>
      </c>
      <c r="AL269" s="117">
        <v>0</v>
      </c>
      <c r="AM269" s="117">
        <v>0</v>
      </c>
      <c r="AN269" s="117">
        <v>55</v>
      </c>
      <c r="AO269" s="117">
        <v>0</v>
      </c>
      <c r="AP269" s="117">
        <v>3</v>
      </c>
      <c r="AQ269" s="117">
        <v>58</v>
      </c>
    </row>
    <row r="270" spans="1:43" s="118" customFormat="1" ht="13.5" customHeight="1">
      <c r="A270" s="119">
        <v>278</v>
      </c>
      <c r="B270" s="76" t="s">
        <v>277</v>
      </c>
      <c r="C270" s="75" t="s">
        <v>882</v>
      </c>
      <c r="D270" s="77" t="s">
        <v>883</v>
      </c>
      <c r="E270" s="77" t="s">
        <v>950</v>
      </c>
      <c r="F270" s="120" t="s">
        <v>960</v>
      </c>
      <c r="G270" s="76" t="s">
        <v>278</v>
      </c>
      <c r="H270" s="121" t="s">
        <v>843</v>
      </c>
      <c r="I270" s="122"/>
      <c r="J270" s="123" t="s">
        <v>888</v>
      </c>
      <c r="K270" s="124">
        <v>2</v>
      </c>
      <c r="L270" s="117">
        <v>2</v>
      </c>
      <c r="M270" s="117">
        <v>1</v>
      </c>
      <c r="N270" s="116">
        <v>5</v>
      </c>
      <c r="O270" s="116">
        <v>1</v>
      </c>
      <c r="P270" s="116">
        <v>0</v>
      </c>
      <c r="Q270" s="116">
        <v>2</v>
      </c>
      <c r="R270" s="116">
        <v>2</v>
      </c>
      <c r="S270" s="116">
        <v>0</v>
      </c>
      <c r="T270" s="116">
        <v>1</v>
      </c>
      <c r="U270" s="116">
        <v>0</v>
      </c>
      <c r="V270" s="116">
        <v>0</v>
      </c>
      <c r="W270" s="116">
        <v>0</v>
      </c>
      <c r="X270" s="116">
        <v>0</v>
      </c>
      <c r="Y270" s="116">
        <v>0</v>
      </c>
      <c r="Z270" s="116">
        <v>5</v>
      </c>
      <c r="AA270" s="116">
        <v>3</v>
      </c>
      <c r="AB270" s="116">
        <v>0</v>
      </c>
      <c r="AC270" s="116">
        <v>0</v>
      </c>
      <c r="AD270" s="116">
        <v>0</v>
      </c>
      <c r="AE270" s="116">
        <v>0</v>
      </c>
      <c r="AF270" s="116">
        <v>0</v>
      </c>
      <c r="AG270" s="116">
        <v>0</v>
      </c>
      <c r="AH270" s="116">
        <v>0</v>
      </c>
      <c r="AI270" s="116">
        <v>1</v>
      </c>
      <c r="AJ270" s="117">
        <v>0</v>
      </c>
      <c r="AK270" s="117">
        <v>5</v>
      </c>
      <c r="AL270" s="117">
        <v>0</v>
      </c>
      <c r="AM270" s="117">
        <v>0</v>
      </c>
      <c r="AN270" s="117">
        <v>26</v>
      </c>
      <c r="AO270" s="117">
        <v>0</v>
      </c>
      <c r="AP270" s="117">
        <v>4</v>
      </c>
      <c r="AQ270" s="117">
        <v>27</v>
      </c>
    </row>
    <row r="271" spans="1:43" s="118" customFormat="1" ht="13.5" customHeight="1">
      <c r="A271" s="119">
        <v>279</v>
      </c>
      <c r="B271" s="76" t="s">
        <v>627</v>
      </c>
      <c r="C271" s="75" t="s">
        <v>882</v>
      </c>
      <c r="D271" s="77" t="s">
        <v>883</v>
      </c>
      <c r="E271" s="77" t="s">
        <v>950</v>
      </c>
      <c r="F271" s="120" t="s">
        <v>961</v>
      </c>
      <c r="G271" s="76" t="s">
        <v>628</v>
      </c>
      <c r="H271" s="121" t="s">
        <v>843</v>
      </c>
      <c r="I271" s="122"/>
      <c r="J271" s="123" t="s">
        <v>888</v>
      </c>
      <c r="K271" s="124">
        <v>2</v>
      </c>
      <c r="L271" s="117">
        <v>1</v>
      </c>
      <c r="M271" s="117">
        <v>1</v>
      </c>
      <c r="N271" s="116">
        <v>5</v>
      </c>
      <c r="O271" s="116">
        <v>2</v>
      </c>
      <c r="P271" s="116">
        <v>0</v>
      </c>
      <c r="Q271" s="116">
        <v>0</v>
      </c>
      <c r="R271" s="116">
        <v>4</v>
      </c>
      <c r="S271" s="116">
        <v>0</v>
      </c>
      <c r="T271" s="116">
        <v>0</v>
      </c>
      <c r="U271" s="116">
        <v>0</v>
      </c>
      <c r="V271" s="116">
        <v>0</v>
      </c>
      <c r="W271" s="116">
        <v>0</v>
      </c>
      <c r="X271" s="116">
        <v>0</v>
      </c>
      <c r="Y271" s="116">
        <v>0</v>
      </c>
      <c r="Z271" s="116">
        <v>0</v>
      </c>
      <c r="AA271" s="116">
        <v>0</v>
      </c>
      <c r="AB271" s="116">
        <v>0</v>
      </c>
      <c r="AC271" s="116">
        <v>0</v>
      </c>
      <c r="AD271" s="116">
        <v>0</v>
      </c>
      <c r="AE271" s="116">
        <v>0</v>
      </c>
      <c r="AF271" s="116">
        <v>4</v>
      </c>
      <c r="AG271" s="116">
        <v>5</v>
      </c>
      <c r="AH271" s="116">
        <v>0</v>
      </c>
      <c r="AI271" s="116">
        <v>1</v>
      </c>
      <c r="AJ271" s="117">
        <v>1</v>
      </c>
      <c r="AK271" s="117">
        <v>4</v>
      </c>
      <c r="AL271" s="117">
        <v>0</v>
      </c>
      <c r="AM271" s="117">
        <v>4</v>
      </c>
      <c r="AN271" s="117">
        <v>11</v>
      </c>
      <c r="AO271" s="117">
        <v>0</v>
      </c>
      <c r="AP271" s="117">
        <v>3</v>
      </c>
      <c r="AQ271" s="117">
        <v>17</v>
      </c>
    </row>
    <row r="272" spans="1:43" s="118" customFormat="1" ht="13.5" customHeight="1">
      <c r="A272" s="119">
        <v>280</v>
      </c>
      <c r="B272" s="76" t="s">
        <v>637</v>
      </c>
      <c r="C272" s="75" t="s">
        <v>882</v>
      </c>
      <c r="D272" s="77" t="s">
        <v>883</v>
      </c>
      <c r="E272" s="77" t="s">
        <v>950</v>
      </c>
      <c r="F272" s="120" t="s">
        <v>961</v>
      </c>
      <c r="G272" s="76" t="s">
        <v>638</v>
      </c>
      <c r="H272" s="121" t="s">
        <v>843</v>
      </c>
      <c r="I272" s="122" t="s">
        <v>842</v>
      </c>
      <c r="J272" s="123" t="s">
        <v>888</v>
      </c>
      <c r="K272" s="124">
        <v>2</v>
      </c>
      <c r="L272" s="117">
        <v>1</v>
      </c>
      <c r="M272" s="117">
        <v>1</v>
      </c>
      <c r="N272" s="116">
        <v>8</v>
      </c>
      <c r="O272" s="116">
        <v>1</v>
      </c>
      <c r="P272" s="116">
        <v>0</v>
      </c>
      <c r="Q272" s="116">
        <v>3</v>
      </c>
      <c r="R272" s="116">
        <v>2</v>
      </c>
      <c r="S272" s="116">
        <v>0</v>
      </c>
      <c r="T272" s="116">
        <v>0</v>
      </c>
      <c r="U272" s="116">
        <v>0</v>
      </c>
      <c r="V272" s="116">
        <v>0</v>
      </c>
      <c r="W272" s="116">
        <v>0</v>
      </c>
      <c r="X272" s="116">
        <v>0</v>
      </c>
      <c r="Y272" s="116">
        <v>0</v>
      </c>
      <c r="Z272" s="116">
        <v>10</v>
      </c>
      <c r="AA272" s="116">
        <v>2</v>
      </c>
      <c r="AB272" s="116">
        <v>0</v>
      </c>
      <c r="AC272" s="116">
        <v>0</v>
      </c>
      <c r="AD272" s="116">
        <v>0</v>
      </c>
      <c r="AE272" s="116">
        <v>0</v>
      </c>
      <c r="AF272" s="116">
        <v>0</v>
      </c>
      <c r="AG272" s="116">
        <v>0</v>
      </c>
      <c r="AH272" s="116">
        <v>0</v>
      </c>
      <c r="AI272" s="116">
        <v>1</v>
      </c>
      <c r="AJ272" s="117">
        <v>1</v>
      </c>
      <c r="AK272" s="117">
        <v>4</v>
      </c>
      <c r="AL272" s="117">
        <v>1</v>
      </c>
      <c r="AM272" s="117">
        <v>12</v>
      </c>
      <c r="AN272" s="117">
        <v>20</v>
      </c>
      <c r="AO272" s="117">
        <v>0</v>
      </c>
      <c r="AP272" s="117">
        <v>3</v>
      </c>
      <c r="AQ272" s="117">
        <v>47</v>
      </c>
    </row>
    <row r="273" spans="1:43" s="118" customFormat="1" ht="13.5" customHeight="1">
      <c r="A273" s="119">
        <v>281</v>
      </c>
      <c r="B273" s="76" t="s">
        <v>211</v>
      </c>
      <c r="C273" s="75" t="s">
        <v>882</v>
      </c>
      <c r="D273" s="77" t="s">
        <v>883</v>
      </c>
      <c r="E273" s="77" t="s">
        <v>950</v>
      </c>
      <c r="F273" s="120" t="s">
        <v>961</v>
      </c>
      <c r="G273" s="76" t="s">
        <v>212</v>
      </c>
      <c r="H273" s="121" t="s">
        <v>843</v>
      </c>
      <c r="I273" s="122"/>
      <c r="J273" s="123" t="s">
        <v>888</v>
      </c>
      <c r="K273" s="124">
        <v>2</v>
      </c>
      <c r="L273" s="117">
        <v>3</v>
      </c>
      <c r="M273" s="117">
        <v>1</v>
      </c>
      <c r="N273" s="116">
        <v>6</v>
      </c>
      <c r="O273" s="116">
        <v>4</v>
      </c>
      <c r="P273" s="116">
        <v>0</v>
      </c>
      <c r="Q273" s="116">
        <v>5</v>
      </c>
      <c r="R273" s="116">
        <v>2</v>
      </c>
      <c r="S273" s="116">
        <v>0</v>
      </c>
      <c r="T273" s="116">
        <v>1</v>
      </c>
      <c r="U273" s="116">
        <v>0</v>
      </c>
      <c r="V273" s="116">
        <v>0</v>
      </c>
      <c r="W273" s="116">
        <v>0</v>
      </c>
      <c r="X273" s="116">
        <v>0</v>
      </c>
      <c r="Y273" s="116">
        <v>0</v>
      </c>
      <c r="Z273" s="116">
        <v>0</v>
      </c>
      <c r="AA273" s="116">
        <v>0</v>
      </c>
      <c r="AB273" s="116">
        <v>0</v>
      </c>
      <c r="AC273" s="116">
        <v>0</v>
      </c>
      <c r="AD273" s="116">
        <v>0</v>
      </c>
      <c r="AE273" s="116">
        <v>0</v>
      </c>
      <c r="AF273" s="116">
        <v>9</v>
      </c>
      <c r="AG273" s="116">
        <v>5</v>
      </c>
      <c r="AH273" s="116">
        <v>0</v>
      </c>
      <c r="AI273" s="116">
        <v>1</v>
      </c>
      <c r="AJ273" s="117">
        <v>0</v>
      </c>
      <c r="AK273" s="117">
        <v>4</v>
      </c>
      <c r="AL273" s="117">
        <v>0</v>
      </c>
      <c r="AM273" s="117">
        <v>14</v>
      </c>
      <c r="AN273" s="117">
        <v>12</v>
      </c>
      <c r="AO273" s="117">
        <v>0</v>
      </c>
      <c r="AP273" s="117">
        <v>2</v>
      </c>
      <c r="AQ273" s="117">
        <v>28</v>
      </c>
    </row>
    <row r="274" spans="1:43" s="118" customFormat="1" ht="13.5" customHeight="1">
      <c r="A274" s="119">
        <v>282</v>
      </c>
      <c r="B274" s="76" t="s">
        <v>48</v>
      </c>
      <c r="C274" s="75" t="s">
        <v>882</v>
      </c>
      <c r="D274" s="77" t="s">
        <v>883</v>
      </c>
      <c r="E274" s="77" t="s">
        <v>950</v>
      </c>
      <c r="F274" s="120" t="s">
        <v>962</v>
      </c>
      <c r="G274" s="76" t="s">
        <v>49</v>
      </c>
      <c r="H274" s="121" t="s">
        <v>843</v>
      </c>
      <c r="I274" s="122" t="s">
        <v>842</v>
      </c>
      <c r="J274" s="123" t="s">
        <v>885</v>
      </c>
      <c r="K274" s="124">
        <v>2</v>
      </c>
      <c r="L274" s="117">
        <v>2</v>
      </c>
      <c r="M274" s="117">
        <v>1</v>
      </c>
      <c r="N274" s="116">
        <v>14</v>
      </c>
      <c r="O274" s="116">
        <v>6</v>
      </c>
      <c r="P274" s="116">
        <v>0</v>
      </c>
      <c r="Q274" s="116">
        <v>1</v>
      </c>
      <c r="R274" s="116">
        <v>0</v>
      </c>
      <c r="S274" s="116">
        <v>0</v>
      </c>
      <c r="T274" s="116">
        <v>0</v>
      </c>
      <c r="U274" s="116">
        <v>0</v>
      </c>
      <c r="V274" s="116">
        <v>0</v>
      </c>
      <c r="W274" s="116">
        <v>1</v>
      </c>
      <c r="X274" s="116">
        <v>1</v>
      </c>
      <c r="Y274" s="116">
        <v>0</v>
      </c>
      <c r="Z274" s="116">
        <v>13</v>
      </c>
      <c r="AA274" s="116">
        <v>4</v>
      </c>
      <c r="AB274" s="116">
        <v>0</v>
      </c>
      <c r="AC274" s="116">
        <v>0</v>
      </c>
      <c r="AD274" s="116">
        <v>0</v>
      </c>
      <c r="AE274" s="116">
        <v>0</v>
      </c>
      <c r="AF274" s="116">
        <v>0</v>
      </c>
      <c r="AG274" s="116">
        <v>0</v>
      </c>
      <c r="AH274" s="116">
        <v>0</v>
      </c>
      <c r="AI274" s="116">
        <v>1</v>
      </c>
      <c r="AJ274" s="117">
        <v>0</v>
      </c>
      <c r="AK274" s="117">
        <v>7</v>
      </c>
      <c r="AL274" s="117">
        <v>0</v>
      </c>
      <c r="AM274" s="117">
        <v>0</v>
      </c>
      <c r="AN274" s="117">
        <v>58</v>
      </c>
      <c r="AO274" s="117">
        <v>0</v>
      </c>
      <c r="AP274" s="117">
        <v>7</v>
      </c>
      <c r="AQ274" s="117">
        <v>58</v>
      </c>
    </row>
    <row r="275" spans="1:43" s="118" customFormat="1" ht="13.5" customHeight="1">
      <c r="A275" s="119">
        <v>283</v>
      </c>
      <c r="B275" s="76" t="s">
        <v>643</v>
      </c>
      <c r="C275" s="75" t="s">
        <v>882</v>
      </c>
      <c r="D275" s="77" t="s">
        <v>883</v>
      </c>
      <c r="E275" s="77" t="s">
        <v>950</v>
      </c>
      <c r="F275" s="120" t="s">
        <v>960</v>
      </c>
      <c r="G275" s="76" t="s">
        <v>644</v>
      </c>
      <c r="H275" s="121" t="s">
        <v>843</v>
      </c>
      <c r="I275" s="122"/>
      <c r="J275" s="123" t="s">
        <v>888</v>
      </c>
      <c r="K275" s="124">
        <v>2</v>
      </c>
      <c r="L275" s="117">
        <v>3</v>
      </c>
      <c r="M275" s="117">
        <v>1</v>
      </c>
      <c r="N275" s="116">
        <v>5</v>
      </c>
      <c r="O275" s="116">
        <v>2</v>
      </c>
      <c r="P275" s="116">
        <v>0</v>
      </c>
      <c r="Q275" s="116">
        <v>2</v>
      </c>
      <c r="R275" s="116">
        <v>2</v>
      </c>
      <c r="S275" s="116">
        <v>0</v>
      </c>
      <c r="T275" s="116">
        <v>0</v>
      </c>
      <c r="U275" s="116">
        <v>0</v>
      </c>
      <c r="V275" s="116">
        <v>0</v>
      </c>
      <c r="W275" s="116">
        <v>0</v>
      </c>
      <c r="X275" s="116">
        <v>0</v>
      </c>
      <c r="Y275" s="116">
        <v>0</v>
      </c>
      <c r="Z275" s="116">
        <v>6</v>
      </c>
      <c r="AA275" s="116">
        <v>3</v>
      </c>
      <c r="AB275" s="116">
        <v>0</v>
      </c>
      <c r="AC275" s="116">
        <v>0</v>
      </c>
      <c r="AD275" s="116">
        <v>0</v>
      </c>
      <c r="AE275" s="116">
        <v>0</v>
      </c>
      <c r="AF275" s="116">
        <v>0</v>
      </c>
      <c r="AG275" s="116">
        <v>0</v>
      </c>
      <c r="AH275" s="116">
        <v>0</v>
      </c>
      <c r="AI275" s="116">
        <v>1</v>
      </c>
      <c r="AJ275" s="117">
        <v>0</v>
      </c>
      <c r="AK275" s="117">
        <v>5</v>
      </c>
      <c r="AL275" s="117">
        <v>0</v>
      </c>
      <c r="AM275" s="117">
        <v>0</v>
      </c>
      <c r="AN275" s="117">
        <v>32</v>
      </c>
      <c r="AO275" s="117">
        <v>0</v>
      </c>
      <c r="AP275" s="117">
        <v>5</v>
      </c>
      <c r="AQ275" s="117">
        <v>32</v>
      </c>
    </row>
    <row r="276" spans="1:43" s="118" customFormat="1" ht="13.5" customHeight="1">
      <c r="A276" s="119">
        <v>284</v>
      </c>
      <c r="B276" s="76" t="s">
        <v>663</v>
      </c>
      <c r="C276" s="75" t="s">
        <v>882</v>
      </c>
      <c r="D276" s="77" t="s">
        <v>883</v>
      </c>
      <c r="E276" s="77" t="s">
        <v>950</v>
      </c>
      <c r="F276" s="120" t="s">
        <v>961</v>
      </c>
      <c r="G276" s="76" t="s">
        <v>664</v>
      </c>
      <c r="H276" s="121" t="s">
        <v>843</v>
      </c>
      <c r="I276" s="122" t="s">
        <v>842</v>
      </c>
      <c r="J276" s="123" t="s">
        <v>885</v>
      </c>
      <c r="K276" s="124">
        <v>2</v>
      </c>
      <c r="L276" s="117">
        <v>2</v>
      </c>
      <c r="M276" s="117">
        <v>1</v>
      </c>
      <c r="N276" s="116">
        <v>5</v>
      </c>
      <c r="O276" s="116">
        <v>1</v>
      </c>
      <c r="P276" s="116">
        <v>0</v>
      </c>
      <c r="Q276" s="116">
        <v>5</v>
      </c>
      <c r="R276" s="116">
        <v>2</v>
      </c>
      <c r="S276" s="116">
        <v>0</v>
      </c>
      <c r="T276" s="116">
        <v>0</v>
      </c>
      <c r="U276" s="116">
        <v>0</v>
      </c>
      <c r="V276" s="116">
        <v>0</v>
      </c>
      <c r="W276" s="116">
        <v>0</v>
      </c>
      <c r="X276" s="116">
        <v>0</v>
      </c>
      <c r="Y276" s="116">
        <v>0</v>
      </c>
      <c r="Z276" s="116">
        <v>0</v>
      </c>
      <c r="AA276" s="116">
        <v>0</v>
      </c>
      <c r="AB276" s="116">
        <v>0</v>
      </c>
      <c r="AC276" s="116">
        <v>0</v>
      </c>
      <c r="AD276" s="116">
        <v>0</v>
      </c>
      <c r="AE276" s="116">
        <v>0</v>
      </c>
      <c r="AF276" s="116">
        <v>9</v>
      </c>
      <c r="AG276" s="116">
        <v>2</v>
      </c>
      <c r="AH276" s="116">
        <v>0</v>
      </c>
      <c r="AI276" s="116">
        <v>1</v>
      </c>
      <c r="AJ276" s="117">
        <v>3</v>
      </c>
      <c r="AK276" s="117">
        <v>7</v>
      </c>
      <c r="AL276" s="117">
        <v>0</v>
      </c>
      <c r="AM276" s="117">
        <v>2</v>
      </c>
      <c r="AN276" s="117">
        <v>48</v>
      </c>
      <c r="AO276" s="117">
        <v>0</v>
      </c>
      <c r="AP276" s="117">
        <v>8</v>
      </c>
      <c r="AQ276" s="117">
        <v>52</v>
      </c>
    </row>
    <row r="277" spans="1:43" s="118" customFormat="1" ht="13.5" customHeight="1">
      <c r="A277" s="119">
        <v>285</v>
      </c>
      <c r="B277" s="76" t="s">
        <v>217</v>
      </c>
      <c r="C277" s="75" t="s">
        <v>882</v>
      </c>
      <c r="D277" s="77" t="s">
        <v>883</v>
      </c>
      <c r="E277" s="77" t="s">
        <v>950</v>
      </c>
      <c r="F277" s="120" t="s">
        <v>961</v>
      </c>
      <c r="G277" s="76" t="s">
        <v>218</v>
      </c>
      <c r="H277" s="121" t="s">
        <v>843</v>
      </c>
      <c r="I277" s="122" t="s">
        <v>842</v>
      </c>
      <c r="J277" s="123" t="s">
        <v>888</v>
      </c>
      <c r="K277" s="124">
        <v>2</v>
      </c>
      <c r="L277" s="117">
        <v>3</v>
      </c>
      <c r="M277" s="117">
        <v>1</v>
      </c>
      <c r="N277" s="116">
        <v>8</v>
      </c>
      <c r="O277" s="116">
        <v>4</v>
      </c>
      <c r="P277" s="116">
        <v>0</v>
      </c>
      <c r="Q277" s="116">
        <v>11</v>
      </c>
      <c r="R277" s="116">
        <v>1</v>
      </c>
      <c r="S277" s="116">
        <v>0</v>
      </c>
      <c r="T277" s="116">
        <v>3</v>
      </c>
      <c r="U277" s="116">
        <v>1</v>
      </c>
      <c r="V277" s="116">
        <v>0</v>
      </c>
      <c r="W277" s="116">
        <v>0</v>
      </c>
      <c r="X277" s="116">
        <v>0</v>
      </c>
      <c r="Y277" s="116">
        <v>0</v>
      </c>
      <c r="Z277" s="116">
        <v>0</v>
      </c>
      <c r="AA277" s="116">
        <v>0</v>
      </c>
      <c r="AB277" s="116">
        <v>0</v>
      </c>
      <c r="AC277" s="116">
        <v>15</v>
      </c>
      <c r="AD277" s="116">
        <v>3</v>
      </c>
      <c r="AE277" s="116">
        <v>0</v>
      </c>
      <c r="AF277" s="116">
        <v>0</v>
      </c>
      <c r="AG277" s="116">
        <v>0</v>
      </c>
      <c r="AH277" s="116">
        <v>0</v>
      </c>
      <c r="AI277" s="116">
        <v>1</v>
      </c>
      <c r="AJ277" s="117">
        <v>2</v>
      </c>
      <c r="AK277" s="117">
        <v>7</v>
      </c>
      <c r="AL277" s="117">
        <v>0</v>
      </c>
      <c r="AM277" s="117">
        <v>0</v>
      </c>
      <c r="AN277" s="117">
        <v>56</v>
      </c>
      <c r="AO277" s="117">
        <v>1</v>
      </c>
      <c r="AP277" s="117">
        <v>7</v>
      </c>
      <c r="AQ277" s="117">
        <v>57</v>
      </c>
    </row>
    <row r="278" spans="1:43" s="118" customFormat="1" ht="13.5" customHeight="1">
      <c r="A278" s="119">
        <v>286</v>
      </c>
      <c r="B278" s="76" t="s">
        <v>667</v>
      </c>
      <c r="C278" s="75" t="s">
        <v>882</v>
      </c>
      <c r="D278" s="77" t="s">
        <v>883</v>
      </c>
      <c r="E278" s="77" t="s">
        <v>950</v>
      </c>
      <c r="F278" s="120" t="s">
        <v>961</v>
      </c>
      <c r="G278" s="76" t="s">
        <v>668</v>
      </c>
      <c r="H278" s="121" t="s">
        <v>843</v>
      </c>
      <c r="I278" s="122"/>
      <c r="J278" s="123" t="s">
        <v>888</v>
      </c>
      <c r="K278" s="124">
        <v>2</v>
      </c>
      <c r="L278" s="117">
        <v>1</v>
      </c>
      <c r="M278" s="117">
        <v>3</v>
      </c>
      <c r="N278" s="116">
        <v>6</v>
      </c>
      <c r="O278" s="116">
        <v>1</v>
      </c>
      <c r="P278" s="116">
        <v>0</v>
      </c>
      <c r="Q278" s="116">
        <v>5</v>
      </c>
      <c r="R278" s="116">
        <v>5</v>
      </c>
      <c r="S278" s="116">
        <v>0</v>
      </c>
      <c r="T278" s="116">
        <v>0</v>
      </c>
      <c r="U278" s="116">
        <v>0</v>
      </c>
      <c r="V278" s="116">
        <v>0</v>
      </c>
      <c r="W278" s="116">
        <v>1</v>
      </c>
      <c r="X278" s="116">
        <v>1</v>
      </c>
      <c r="Y278" s="116">
        <v>0</v>
      </c>
      <c r="Z278" s="116">
        <v>9</v>
      </c>
      <c r="AA278" s="116">
        <v>4</v>
      </c>
      <c r="AB278" s="116">
        <v>0</v>
      </c>
      <c r="AC278" s="116">
        <v>0</v>
      </c>
      <c r="AD278" s="116">
        <v>0</v>
      </c>
      <c r="AE278" s="116">
        <v>0</v>
      </c>
      <c r="AF278" s="116">
        <v>0</v>
      </c>
      <c r="AG278" s="116">
        <v>0</v>
      </c>
      <c r="AH278" s="116">
        <v>0</v>
      </c>
      <c r="AI278" s="116">
        <v>1</v>
      </c>
      <c r="AJ278" s="117">
        <v>0</v>
      </c>
      <c r="AK278" s="117">
        <v>5</v>
      </c>
      <c r="AL278" s="117">
        <v>0</v>
      </c>
      <c r="AM278" s="117">
        <v>6</v>
      </c>
      <c r="AN278" s="117">
        <v>18</v>
      </c>
      <c r="AO278" s="117">
        <v>0</v>
      </c>
      <c r="AP278" s="117">
        <v>4</v>
      </c>
      <c r="AQ278" s="117">
        <v>25</v>
      </c>
    </row>
    <row r="279" spans="1:43" s="118" customFormat="1" ht="13.5" customHeight="1">
      <c r="A279" s="119">
        <v>287</v>
      </c>
      <c r="B279" s="76" t="s">
        <v>220</v>
      </c>
      <c r="C279" s="75" t="s">
        <v>882</v>
      </c>
      <c r="D279" s="77" t="s">
        <v>883</v>
      </c>
      <c r="E279" s="77" t="s">
        <v>950</v>
      </c>
      <c r="F279" s="120" t="s">
        <v>961</v>
      </c>
      <c r="G279" s="76" t="s">
        <v>221</v>
      </c>
      <c r="H279" s="121" t="s">
        <v>843</v>
      </c>
      <c r="I279" s="122"/>
      <c r="J279" s="123" t="s">
        <v>888</v>
      </c>
      <c r="K279" s="124">
        <v>2</v>
      </c>
      <c r="L279" s="117">
        <v>2</v>
      </c>
      <c r="M279" s="117">
        <v>1</v>
      </c>
      <c r="N279" s="116">
        <v>9</v>
      </c>
      <c r="O279" s="116">
        <v>4</v>
      </c>
      <c r="P279" s="116">
        <v>0</v>
      </c>
      <c r="Q279" s="116">
        <v>4</v>
      </c>
      <c r="R279" s="116">
        <v>0</v>
      </c>
      <c r="S279" s="116">
        <v>0</v>
      </c>
      <c r="T279" s="116">
        <v>0</v>
      </c>
      <c r="U279" s="116">
        <v>0</v>
      </c>
      <c r="V279" s="116">
        <v>0</v>
      </c>
      <c r="W279" s="116">
        <v>0</v>
      </c>
      <c r="X279" s="116">
        <v>0</v>
      </c>
      <c r="Y279" s="116">
        <v>0</v>
      </c>
      <c r="Z279" s="116">
        <v>12</v>
      </c>
      <c r="AA279" s="116">
        <v>3</v>
      </c>
      <c r="AB279" s="116">
        <v>0</v>
      </c>
      <c r="AC279" s="116">
        <v>0</v>
      </c>
      <c r="AD279" s="116">
        <v>0</v>
      </c>
      <c r="AE279" s="116">
        <v>0</v>
      </c>
      <c r="AF279" s="116">
        <v>0</v>
      </c>
      <c r="AG279" s="116">
        <v>0</v>
      </c>
      <c r="AH279" s="116">
        <v>0</v>
      </c>
      <c r="AI279" s="116">
        <v>1</v>
      </c>
      <c r="AJ279" s="117">
        <v>1</v>
      </c>
      <c r="AK279" s="117">
        <v>2</v>
      </c>
      <c r="AL279" s="117">
        <v>0</v>
      </c>
      <c r="AM279" s="117">
        <v>7</v>
      </c>
      <c r="AN279" s="117">
        <v>13</v>
      </c>
      <c r="AO279" s="117">
        <v>0</v>
      </c>
      <c r="AP279" s="117">
        <v>2</v>
      </c>
      <c r="AQ279" s="117">
        <v>21</v>
      </c>
    </row>
    <row r="280" spans="1:43" s="118" customFormat="1" ht="13.5" customHeight="1">
      <c r="A280" s="119">
        <v>288</v>
      </c>
      <c r="B280" s="76" t="s">
        <v>669</v>
      </c>
      <c r="C280" s="75" t="s">
        <v>882</v>
      </c>
      <c r="D280" s="77" t="s">
        <v>883</v>
      </c>
      <c r="E280" s="77" t="s">
        <v>950</v>
      </c>
      <c r="F280" s="120" t="s">
        <v>960</v>
      </c>
      <c r="G280" s="76" t="s">
        <v>670</v>
      </c>
      <c r="H280" s="121" t="s">
        <v>843</v>
      </c>
      <c r="I280" s="122"/>
      <c r="J280" s="123" t="s">
        <v>885</v>
      </c>
      <c r="K280" s="124">
        <v>2</v>
      </c>
      <c r="L280" s="117">
        <v>3</v>
      </c>
      <c r="M280" s="117">
        <v>1</v>
      </c>
      <c r="N280" s="116">
        <v>5</v>
      </c>
      <c r="O280" s="116">
        <v>5</v>
      </c>
      <c r="P280" s="116">
        <v>0</v>
      </c>
      <c r="Q280" s="116">
        <v>8</v>
      </c>
      <c r="R280" s="116">
        <v>3</v>
      </c>
      <c r="S280" s="116">
        <v>0</v>
      </c>
      <c r="T280" s="116">
        <v>0</v>
      </c>
      <c r="U280" s="116">
        <v>0</v>
      </c>
      <c r="V280" s="116">
        <v>0</v>
      </c>
      <c r="W280" s="116">
        <v>0</v>
      </c>
      <c r="X280" s="116">
        <v>0</v>
      </c>
      <c r="Y280" s="116">
        <v>0</v>
      </c>
      <c r="Z280" s="116">
        <v>12</v>
      </c>
      <c r="AA280" s="116">
        <v>7</v>
      </c>
      <c r="AB280" s="116">
        <v>0</v>
      </c>
      <c r="AC280" s="116">
        <v>0</v>
      </c>
      <c r="AD280" s="116">
        <v>0</v>
      </c>
      <c r="AE280" s="116">
        <v>0</v>
      </c>
      <c r="AF280" s="116">
        <v>0</v>
      </c>
      <c r="AG280" s="116">
        <v>0</v>
      </c>
      <c r="AH280" s="116">
        <v>0</v>
      </c>
      <c r="AI280" s="116">
        <v>1</v>
      </c>
      <c r="AJ280" s="117">
        <v>0</v>
      </c>
      <c r="AK280" s="117">
        <v>7</v>
      </c>
      <c r="AL280" s="117">
        <v>0</v>
      </c>
      <c r="AM280" s="117">
        <v>2</v>
      </c>
      <c r="AN280" s="117">
        <v>30</v>
      </c>
      <c r="AO280" s="117">
        <v>0</v>
      </c>
      <c r="AP280" s="117">
        <v>6</v>
      </c>
      <c r="AQ280" s="117">
        <v>31</v>
      </c>
    </row>
    <row r="281" spans="1:43" s="118" customFormat="1" ht="13.5" customHeight="1">
      <c r="A281" s="119">
        <v>289</v>
      </c>
      <c r="B281" s="76" t="s">
        <v>671</v>
      </c>
      <c r="C281" s="75" t="s">
        <v>882</v>
      </c>
      <c r="D281" s="77" t="s">
        <v>883</v>
      </c>
      <c r="E281" s="77" t="s">
        <v>950</v>
      </c>
      <c r="F281" s="120" t="s">
        <v>961</v>
      </c>
      <c r="G281" s="76" t="s">
        <v>672</v>
      </c>
      <c r="H281" s="121" t="s">
        <v>843</v>
      </c>
      <c r="I281" s="122"/>
      <c r="J281" s="123" t="s">
        <v>885</v>
      </c>
      <c r="K281" s="124">
        <v>2</v>
      </c>
      <c r="L281" s="117">
        <v>0</v>
      </c>
      <c r="M281" s="117">
        <v>0</v>
      </c>
      <c r="N281" s="116">
        <v>9</v>
      </c>
      <c r="O281" s="116">
        <v>5</v>
      </c>
      <c r="P281" s="116">
        <v>1</v>
      </c>
      <c r="Q281" s="116">
        <v>4</v>
      </c>
      <c r="R281" s="116">
        <v>0</v>
      </c>
      <c r="S281" s="116">
        <v>0</v>
      </c>
      <c r="T281" s="116">
        <v>0</v>
      </c>
      <c r="U281" s="116">
        <v>0</v>
      </c>
      <c r="V281" s="116">
        <v>0</v>
      </c>
      <c r="W281" s="116">
        <v>2</v>
      </c>
      <c r="X281" s="116">
        <v>1</v>
      </c>
      <c r="Y281" s="116">
        <v>0</v>
      </c>
      <c r="Z281" s="116">
        <v>7</v>
      </c>
      <c r="AA281" s="116">
        <v>3</v>
      </c>
      <c r="AB281" s="116">
        <v>6</v>
      </c>
      <c r="AC281" s="116">
        <v>0</v>
      </c>
      <c r="AD281" s="116">
        <v>0</v>
      </c>
      <c r="AE281" s="116">
        <v>0</v>
      </c>
      <c r="AF281" s="116">
        <v>0</v>
      </c>
      <c r="AG281" s="116">
        <v>0</v>
      </c>
      <c r="AH281" s="116">
        <v>0</v>
      </c>
      <c r="AI281" s="116">
        <v>1</v>
      </c>
      <c r="AJ281" s="117">
        <v>0</v>
      </c>
      <c r="AK281" s="117">
        <v>4</v>
      </c>
      <c r="AL281" s="117">
        <v>0</v>
      </c>
      <c r="AM281" s="117">
        <v>14</v>
      </c>
      <c r="AN281" s="117">
        <v>14</v>
      </c>
      <c r="AO281" s="117">
        <v>0</v>
      </c>
      <c r="AP281" s="117">
        <v>2</v>
      </c>
      <c r="AQ281" s="117">
        <v>30</v>
      </c>
    </row>
    <row r="282" spans="1:43" s="118" customFormat="1" ht="13.5" customHeight="1">
      <c r="A282" s="119">
        <v>290</v>
      </c>
      <c r="B282" s="76" t="s">
        <v>673</v>
      </c>
      <c r="C282" s="75" t="s">
        <v>882</v>
      </c>
      <c r="D282" s="77" t="s">
        <v>883</v>
      </c>
      <c r="E282" s="77" t="s">
        <v>950</v>
      </c>
      <c r="F282" s="120" t="s">
        <v>961</v>
      </c>
      <c r="G282" s="76" t="s">
        <v>674</v>
      </c>
      <c r="H282" s="121" t="s">
        <v>843</v>
      </c>
      <c r="I282" s="122" t="s">
        <v>842</v>
      </c>
      <c r="J282" s="123" t="s">
        <v>888</v>
      </c>
      <c r="K282" s="124">
        <v>2</v>
      </c>
      <c r="L282" s="117">
        <v>2</v>
      </c>
      <c r="M282" s="117">
        <v>1</v>
      </c>
      <c r="N282" s="116">
        <v>7</v>
      </c>
      <c r="O282" s="116">
        <v>2</v>
      </c>
      <c r="P282" s="116">
        <v>0</v>
      </c>
      <c r="Q282" s="116">
        <v>4</v>
      </c>
      <c r="R282" s="116">
        <v>3</v>
      </c>
      <c r="S282" s="116">
        <v>0</v>
      </c>
      <c r="T282" s="116">
        <v>0</v>
      </c>
      <c r="U282" s="116">
        <v>0</v>
      </c>
      <c r="V282" s="116">
        <v>0</v>
      </c>
      <c r="W282" s="116">
        <v>0</v>
      </c>
      <c r="X282" s="116">
        <v>0</v>
      </c>
      <c r="Y282" s="116">
        <v>0</v>
      </c>
      <c r="Z282" s="116">
        <v>10</v>
      </c>
      <c r="AA282" s="116">
        <v>4</v>
      </c>
      <c r="AB282" s="116">
        <v>0</v>
      </c>
      <c r="AC282" s="116">
        <v>0</v>
      </c>
      <c r="AD282" s="116">
        <v>0</v>
      </c>
      <c r="AE282" s="116">
        <v>0</v>
      </c>
      <c r="AF282" s="116">
        <v>0</v>
      </c>
      <c r="AG282" s="116">
        <v>0</v>
      </c>
      <c r="AH282" s="116">
        <v>0</v>
      </c>
      <c r="AI282" s="116">
        <v>1</v>
      </c>
      <c r="AJ282" s="117">
        <v>3</v>
      </c>
      <c r="AK282" s="117">
        <v>4</v>
      </c>
      <c r="AL282" s="117">
        <v>0</v>
      </c>
      <c r="AM282" s="117">
        <v>11</v>
      </c>
      <c r="AN282" s="117">
        <v>44</v>
      </c>
      <c r="AO282" s="117">
        <v>0</v>
      </c>
      <c r="AP282" s="117">
        <v>3</v>
      </c>
      <c r="AQ282" s="117">
        <v>57</v>
      </c>
    </row>
    <row r="283" spans="1:43" s="118" customFormat="1" ht="13.5" customHeight="1">
      <c r="A283" s="119">
        <v>291</v>
      </c>
      <c r="B283" s="76" t="s">
        <v>223</v>
      </c>
      <c r="C283" s="75" t="s">
        <v>882</v>
      </c>
      <c r="D283" s="77" t="s">
        <v>883</v>
      </c>
      <c r="E283" s="77" t="s">
        <v>950</v>
      </c>
      <c r="F283" s="120" t="s">
        <v>961</v>
      </c>
      <c r="G283" s="76" t="s">
        <v>224</v>
      </c>
      <c r="H283" s="121" t="s">
        <v>843</v>
      </c>
      <c r="I283" s="122"/>
      <c r="J283" s="123" t="s">
        <v>885</v>
      </c>
      <c r="K283" s="124">
        <v>2</v>
      </c>
      <c r="L283" s="117">
        <v>1</v>
      </c>
      <c r="M283" s="117">
        <v>1</v>
      </c>
      <c r="N283" s="116">
        <v>7</v>
      </c>
      <c r="O283" s="116">
        <v>5</v>
      </c>
      <c r="P283" s="116">
        <v>0</v>
      </c>
      <c r="Q283" s="116">
        <v>2</v>
      </c>
      <c r="R283" s="116">
        <v>1</v>
      </c>
      <c r="S283" s="116">
        <v>0</v>
      </c>
      <c r="T283" s="116">
        <v>0</v>
      </c>
      <c r="U283" s="116">
        <v>0</v>
      </c>
      <c r="V283" s="116">
        <v>0</v>
      </c>
      <c r="W283" s="116">
        <v>0</v>
      </c>
      <c r="X283" s="116">
        <v>0</v>
      </c>
      <c r="Y283" s="116">
        <v>0</v>
      </c>
      <c r="Z283" s="116">
        <v>8</v>
      </c>
      <c r="AA283" s="116">
        <v>5</v>
      </c>
      <c r="AB283" s="116">
        <v>0</v>
      </c>
      <c r="AC283" s="116">
        <v>0</v>
      </c>
      <c r="AD283" s="116">
        <v>0</v>
      </c>
      <c r="AE283" s="116">
        <v>0</v>
      </c>
      <c r="AF283" s="116">
        <v>0</v>
      </c>
      <c r="AG283" s="116">
        <v>0</v>
      </c>
      <c r="AH283" s="116">
        <v>0</v>
      </c>
      <c r="AI283" s="116">
        <v>1</v>
      </c>
      <c r="AJ283" s="117">
        <v>1</v>
      </c>
      <c r="AK283" s="117">
        <v>5</v>
      </c>
      <c r="AL283" s="117">
        <v>0</v>
      </c>
      <c r="AM283" s="117">
        <v>12</v>
      </c>
      <c r="AN283" s="117">
        <v>18</v>
      </c>
      <c r="AO283" s="117">
        <v>0</v>
      </c>
      <c r="AP283" s="117">
        <v>4</v>
      </c>
      <c r="AQ283" s="117">
        <v>32</v>
      </c>
    </row>
    <row r="284" spans="1:43" s="118" customFormat="1" ht="13.5" customHeight="1">
      <c r="A284" s="119">
        <v>292</v>
      </c>
      <c r="B284" s="76" t="s">
        <v>679</v>
      </c>
      <c r="C284" s="75" t="s">
        <v>882</v>
      </c>
      <c r="D284" s="77" t="s">
        <v>883</v>
      </c>
      <c r="E284" s="77" t="s">
        <v>950</v>
      </c>
      <c r="F284" s="120" t="s">
        <v>961</v>
      </c>
      <c r="G284" s="76" t="s">
        <v>680</v>
      </c>
      <c r="H284" s="121" t="s">
        <v>843</v>
      </c>
      <c r="I284" s="122"/>
      <c r="J284" s="123" t="s">
        <v>888</v>
      </c>
      <c r="K284" s="124">
        <v>2</v>
      </c>
      <c r="L284" s="117">
        <v>2</v>
      </c>
      <c r="M284" s="117">
        <v>1</v>
      </c>
      <c r="N284" s="116">
        <v>6</v>
      </c>
      <c r="O284" s="116">
        <v>2</v>
      </c>
      <c r="P284" s="116">
        <v>0</v>
      </c>
      <c r="Q284" s="116">
        <v>7</v>
      </c>
      <c r="R284" s="116">
        <v>2</v>
      </c>
      <c r="S284" s="116">
        <v>0</v>
      </c>
      <c r="T284" s="116">
        <v>0</v>
      </c>
      <c r="U284" s="116">
        <v>1</v>
      </c>
      <c r="V284" s="116">
        <v>0</v>
      </c>
      <c r="W284" s="116">
        <v>1</v>
      </c>
      <c r="X284" s="116">
        <v>0</v>
      </c>
      <c r="Y284" s="116">
        <v>0</v>
      </c>
      <c r="Z284" s="116">
        <v>11</v>
      </c>
      <c r="AA284" s="116">
        <v>3</v>
      </c>
      <c r="AB284" s="116">
        <v>0</v>
      </c>
      <c r="AC284" s="116">
        <v>0</v>
      </c>
      <c r="AD284" s="116">
        <v>0</v>
      </c>
      <c r="AE284" s="116">
        <v>0</v>
      </c>
      <c r="AF284" s="116">
        <v>0</v>
      </c>
      <c r="AG284" s="116">
        <v>0</v>
      </c>
      <c r="AH284" s="116">
        <v>0</v>
      </c>
      <c r="AI284" s="116">
        <v>1</v>
      </c>
      <c r="AJ284" s="117">
        <v>0</v>
      </c>
      <c r="AK284" s="117">
        <v>5</v>
      </c>
      <c r="AL284" s="117">
        <v>0</v>
      </c>
      <c r="AM284" s="117">
        <v>9</v>
      </c>
      <c r="AN284" s="117">
        <v>15</v>
      </c>
      <c r="AO284" s="117">
        <v>0</v>
      </c>
      <c r="AP284" s="117">
        <v>3</v>
      </c>
      <c r="AQ284" s="117">
        <v>21</v>
      </c>
    </row>
    <row r="285" spans="1:43" s="118" customFormat="1" ht="13.5" customHeight="1">
      <c r="A285" s="119">
        <v>293</v>
      </c>
      <c r="B285" s="76" t="s">
        <v>685</v>
      </c>
      <c r="C285" s="75" t="s">
        <v>882</v>
      </c>
      <c r="D285" s="77" t="s">
        <v>883</v>
      </c>
      <c r="E285" s="77" t="s">
        <v>950</v>
      </c>
      <c r="F285" s="120" t="s">
        <v>961</v>
      </c>
      <c r="G285" s="76" t="s">
        <v>686</v>
      </c>
      <c r="H285" s="121" t="s">
        <v>843</v>
      </c>
      <c r="I285" s="122" t="s">
        <v>842</v>
      </c>
      <c r="J285" s="123" t="s">
        <v>885</v>
      </c>
      <c r="K285" s="124">
        <v>2</v>
      </c>
      <c r="L285" s="117">
        <v>3</v>
      </c>
      <c r="M285" s="117">
        <v>1</v>
      </c>
      <c r="N285" s="116">
        <v>10</v>
      </c>
      <c r="O285" s="116">
        <v>3</v>
      </c>
      <c r="P285" s="116">
        <v>0</v>
      </c>
      <c r="Q285" s="116">
        <v>6</v>
      </c>
      <c r="R285" s="116">
        <v>3</v>
      </c>
      <c r="S285" s="116">
        <v>0</v>
      </c>
      <c r="T285" s="116">
        <v>0</v>
      </c>
      <c r="U285" s="116">
        <v>0</v>
      </c>
      <c r="V285" s="116">
        <v>0</v>
      </c>
      <c r="W285" s="116">
        <v>0</v>
      </c>
      <c r="X285" s="116">
        <v>0</v>
      </c>
      <c r="Y285" s="116">
        <v>0</v>
      </c>
      <c r="Z285" s="116">
        <v>15</v>
      </c>
      <c r="AA285" s="116">
        <v>5</v>
      </c>
      <c r="AB285" s="116">
        <v>0</v>
      </c>
      <c r="AC285" s="116">
        <v>0</v>
      </c>
      <c r="AD285" s="116">
        <v>0</v>
      </c>
      <c r="AE285" s="116">
        <v>0</v>
      </c>
      <c r="AF285" s="116">
        <v>0</v>
      </c>
      <c r="AG285" s="116">
        <v>0</v>
      </c>
      <c r="AH285" s="116">
        <v>0</v>
      </c>
      <c r="AI285" s="116">
        <v>1</v>
      </c>
      <c r="AJ285" s="117">
        <v>1</v>
      </c>
      <c r="AK285" s="117">
        <v>8</v>
      </c>
      <c r="AL285" s="117">
        <v>0</v>
      </c>
      <c r="AM285" s="117">
        <v>16</v>
      </c>
      <c r="AN285" s="117">
        <v>25</v>
      </c>
      <c r="AO285" s="117">
        <v>0</v>
      </c>
      <c r="AP285" s="117">
        <v>6</v>
      </c>
      <c r="AQ285" s="117">
        <v>44</v>
      </c>
    </row>
    <row r="286" spans="1:43" s="118" customFormat="1" ht="13.5" customHeight="1">
      <c r="A286" s="119">
        <v>294</v>
      </c>
      <c r="B286" s="76" t="s">
        <v>699</v>
      </c>
      <c r="C286" s="75" t="s">
        <v>882</v>
      </c>
      <c r="D286" s="77" t="s">
        <v>883</v>
      </c>
      <c r="E286" s="77" t="s">
        <v>950</v>
      </c>
      <c r="F286" s="120" t="s">
        <v>961</v>
      </c>
      <c r="G286" s="76" t="s">
        <v>700</v>
      </c>
      <c r="H286" s="121" t="s">
        <v>843</v>
      </c>
      <c r="I286" s="122"/>
      <c r="J286" s="123" t="s">
        <v>885</v>
      </c>
      <c r="K286" s="124">
        <v>2</v>
      </c>
      <c r="L286" s="117">
        <v>0</v>
      </c>
      <c r="M286" s="117">
        <v>0</v>
      </c>
      <c r="N286" s="116">
        <v>8</v>
      </c>
      <c r="O286" s="116">
        <v>4</v>
      </c>
      <c r="P286" s="116">
        <v>1</v>
      </c>
      <c r="Q286" s="116">
        <v>4</v>
      </c>
      <c r="R286" s="116">
        <v>0</v>
      </c>
      <c r="S286" s="116">
        <v>0</v>
      </c>
      <c r="T286" s="116">
        <v>0</v>
      </c>
      <c r="U286" s="116">
        <v>0</v>
      </c>
      <c r="V286" s="116">
        <v>0</v>
      </c>
      <c r="W286" s="116">
        <v>0</v>
      </c>
      <c r="X286" s="116">
        <v>1</v>
      </c>
      <c r="Y286" s="116">
        <v>1</v>
      </c>
      <c r="Z286" s="116">
        <v>11</v>
      </c>
      <c r="AA286" s="116">
        <v>2</v>
      </c>
      <c r="AB286" s="116">
        <v>3</v>
      </c>
      <c r="AC286" s="116">
        <v>0</v>
      </c>
      <c r="AD286" s="116">
        <v>0</v>
      </c>
      <c r="AE286" s="116">
        <v>0</v>
      </c>
      <c r="AF286" s="116">
        <v>0</v>
      </c>
      <c r="AG286" s="116">
        <v>0</v>
      </c>
      <c r="AH286" s="116">
        <v>0</v>
      </c>
      <c r="AI286" s="116">
        <v>1</v>
      </c>
      <c r="AJ286" s="117">
        <v>1</v>
      </c>
      <c r="AK286" s="117">
        <v>5</v>
      </c>
      <c r="AL286" s="117">
        <v>0</v>
      </c>
      <c r="AM286" s="117">
        <v>12</v>
      </c>
      <c r="AN286" s="117">
        <v>24</v>
      </c>
      <c r="AO286" s="117">
        <v>0</v>
      </c>
      <c r="AP286" s="117">
        <v>5</v>
      </c>
      <c r="AQ286" s="117">
        <v>37</v>
      </c>
    </row>
    <row r="287" spans="1:43" s="118" customFormat="1" ht="13.5" customHeight="1">
      <c r="A287" s="119">
        <v>295</v>
      </c>
      <c r="B287" s="76" t="s">
        <v>226</v>
      </c>
      <c r="C287" s="75" t="s">
        <v>882</v>
      </c>
      <c r="D287" s="77" t="s">
        <v>883</v>
      </c>
      <c r="E287" s="77" t="s">
        <v>950</v>
      </c>
      <c r="F287" s="120" t="s">
        <v>961</v>
      </c>
      <c r="G287" s="76" t="s">
        <v>227</v>
      </c>
      <c r="H287" s="121" t="s">
        <v>843</v>
      </c>
      <c r="I287" s="122"/>
      <c r="J287" s="123" t="s">
        <v>888</v>
      </c>
      <c r="K287" s="124">
        <v>2</v>
      </c>
      <c r="L287" s="117">
        <v>1</v>
      </c>
      <c r="M287" s="117">
        <v>1</v>
      </c>
      <c r="N287" s="116">
        <v>5</v>
      </c>
      <c r="O287" s="116">
        <v>2</v>
      </c>
      <c r="P287" s="116">
        <v>0</v>
      </c>
      <c r="Q287" s="116">
        <v>4</v>
      </c>
      <c r="R287" s="116">
        <v>2</v>
      </c>
      <c r="S287" s="116">
        <v>0</v>
      </c>
      <c r="T287" s="116">
        <v>0</v>
      </c>
      <c r="U287" s="116">
        <v>0</v>
      </c>
      <c r="V287" s="116">
        <v>0</v>
      </c>
      <c r="W287" s="116">
        <v>0</v>
      </c>
      <c r="X287" s="116">
        <v>0</v>
      </c>
      <c r="Y287" s="116">
        <v>0</v>
      </c>
      <c r="Z287" s="116">
        <v>8</v>
      </c>
      <c r="AA287" s="116">
        <v>3</v>
      </c>
      <c r="AB287" s="116">
        <v>0</v>
      </c>
      <c r="AC287" s="116">
        <v>0</v>
      </c>
      <c r="AD287" s="116">
        <v>0</v>
      </c>
      <c r="AE287" s="116">
        <v>0</v>
      </c>
      <c r="AF287" s="116">
        <v>0</v>
      </c>
      <c r="AG287" s="116">
        <v>0</v>
      </c>
      <c r="AH287" s="116">
        <v>0</v>
      </c>
      <c r="AI287" s="116">
        <v>1</v>
      </c>
      <c r="AJ287" s="117">
        <v>1</v>
      </c>
      <c r="AK287" s="117">
        <v>3</v>
      </c>
      <c r="AL287" s="117">
        <v>0</v>
      </c>
      <c r="AM287" s="117">
        <v>9</v>
      </c>
      <c r="AN287" s="117">
        <v>16</v>
      </c>
      <c r="AO287" s="117">
        <v>0</v>
      </c>
      <c r="AP287" s="117">
        <v>4</v>
      </c>
      <c r="AQ287" s="117">
        <v>25</v>
      </c>
    </row>
    <row r="288" spans="1:43" s="118" customFormat="1" ht="13.5" customHeight="1">
      <c r="A288" s="119">
        <v>296</v>
      </c>
      <c r="B288" s="76" t="s">
        <v>705</v>
      </c>
      <c r="C288" s="75" t="s">
        <v>882</v>
      </c>
      <c r="D288" s="77" t="s">
        <v>883</v>
      </c>
      <c r="E288" s="77" t="s">
        <v>950</v>
      </c>
      <c r="F288" s="120" t="s">
        <v>962</v>
      </c>
      <c r="G288" s="76" t="s">
        <v>706</v>
      </c>
      <c r="H288" s="121" t="s">
        <v>843</v>
      </c>
      <c r="I288" s="122"/>
      <c r="J288" s="123" t="s">
        <v>885</v>
      </c>
      <c r="K288" s="124">
        <v>2</v>
      </c>
      <c r="L288" s="117">
        <v>2</v>
      </c>
      <c r="M288" s="117">
        <v>2</v>
      </c>
      <c r="N288" s="116">
        <v>5</v>
      </c>
      <c r="O288" s="116">
        <v>5</v>
      </c>
      <c r="P288" s="116">
        <v>0</v>
      </c>
      <c r="Q288" s="116">
        <v>11</v>
      </c>
      <c r="R288" s="116">
        <v>3</v>
      </c>
      <c r="S288" s="116">
        <v>0</v>
      </c>
      <c r="T288" s="116">
        <v>0</v>
      </c>
      <c r="U288" s="116">
        <v>0</v>
      </c>
      <c r="V288" s="116">
        <v>0</v>
      </c>
      <c r="W288" s="116">
        <v>1</v>
      </c>
      <c r="X288" s="116">
        <v>1</v>
      </c>
      <c r="Y288" s="116">
        <v>0</v>
      </c>
      <c r="Z288" s="116">
        <v>14</v>
      </c>
      <c r="AA288" s="116">
        <v>7</v>
      </c>
      <c r="AB288" s="116">
        <v>0</v>
      </c>
      <c r="AC288" s="116">
        <v>0</v>
      </c>
      <c r="AD288" s="116">
        <v>0</v>
      </c>
      <c r="AE288" s="116">
        <v>0</v>
      </c>
      <c r="AF288" s="116">
        <v>0</v>
      </c>
      <c r="AG288" s="116">
        <v>0</v>
      </c>
      <c r="AH288" s="116">
        <v>0</v>
      </c>
      <c r="AI288" s="116">
        <v>1</v>
      </c>
      <c r="AJ288" s="117">
        <v>0</v>
      </c>
      <c r="AK288" s="117">
        <v>5</v>
      </c>
      <c r="AL288" s="117">
        <v>0</v>
      </c>
      <c r="AM288" s="117">
        <v>0</v>
      </c>
      <c r="AN288" s="117">
        <v>31</v>
      </c>
      <c r="AO288" s="117">
        <v>0</v>
      </c>
      <c r="AP288" s="117">
        <v>3</v>
      </c>
      <c r="AQ288" s="117">
        <v>31</v>
      </c>
    </row>
    <row r="289" spans="1:43" s="118" customFormat="1" ht="13.5" customHeight="1">
      <c r="A289" s="119">
        <v>297</v>
      </c>
      <c r="B289" s="76" t="s">
        <v>707</v>
      </c>
      <c r="C289" s="75" t="s">
        <v>882</v>
      </c>
      <c r="D289" s="77" t="s">
        <v>883</v>
      </c>
      <c r="E289" s="77" t="s">
        <v>950</v>
      </c>
      <c r="F289" s="120" t="s">
        <v>961</v>
      </c>
      <c r="G289" s="76" t="s">
        <v>708</v>
      </c>
      <c r="H289" s="121" t="s">
        <v>843</v>
      </c>
      <c r="I289" s="122" t="s">
        <v>842</v>
      </c>
      <c r="J289" s="123" t="s">
        <v>885</v>
      </c>
      <c r="K289" s="124">
        <v>2</v>
      </c>
      <c r="L289" s="117">
        <v>1</v>
      </c>
      <c r="M289" s="117">
        <v>2</v>
      </c>
      <c r="N289" s="116">
        <v>7</v>
      </c>
      <c r="O289" s="116">
        <v>5</v>
      </c>
      <c r="P289" s="116">
        <v>0</v>
      </c>
      <c r="Q289" s="116">
        <v>3</v>
      </c>
      <c r="R289" s="116">
        <v>2</v>
      </c>
      <c r="S289" s="116">
        <v>0</v>
      </c>
      <c r="T289" s="116">
        <v>1</v>
      </c>
      <c r="U289" s="116">
        <v>1</v>
      </c>
      <c r="V289" s="116">
        <v>0</v>
      </c>
      <c r="W289" s="116">
        <v>0</v>
      </c>
      <c r="X289" s="116">
        <v>0</v>
      </c>
      <c r="Y289" s="116">
        <v>0</v>
      </c>
      <c r="Z289" s="116">
        <v>8</v>
      </c>
      <c r="AA289" s="116">
        <v>5</v>
      </c>
      <c r="AB289" s="116">
        <v>0</v>
      </c>
      <c r="AC289" s="116">
        <v>0</v>
      </c>
      <c r="AD289" s="116">
        <v>0</v>
      </c>
      <c r="AE289" s="116">
        <v>0</v>
      </c>
      <c r="AF289" s="116">
        <v>0</v>
      </c>
      <c r="AG289" s="116">
        <v>0</v>
      </c>
      <c r="AH289" s="116">
        <v>0</v>
      </c>
      <c r="AI289" s="116">
        <v>1</v>
      </c>
      <c r="AJ289" s="117">
        <v>1</v>
      </c>
      <c r="AK289" s="117">
        <v>7</v>
      </c>
      <c r="AL289" s="117">
        <v>0</v>
      </c>
      <c r="AM289" s="117">
        <v>0</v>
      </c>
      <c r="AN289" s="117">
        <v>43</v>
      </c>
      <c r="AO289" s="117">
        <v>0</v>
      </c>
      <c r="AP289" s="117">
        <v>7</v>
      </c>
      <c r="AQ289" s="117">
        <v>44</v>
      </c>
    </row>
    <row r="290" spans="1:43" s="118" customFormat="1" ht="13.5" customHeight="1">
      <c r="A290" s="119">
        <v>298</v>
      </c>
      <c r="B290" s="76" t="s">
        <v>81</v>
      </c>
      <c r="C290" s="75" t="s">
        <v>882</v>
      </c>
      <c r="D290" s="77" t="s">
        <v>883</v>
      </c>
      <c r="E290" s="77" t="s">
        <v>950</v>
      </c>
      <c r="F290" s="120" t="s">
        <v>962</v>
      </c>
      <c r="G290" s="76" t="s">
        <v>82</v>
      </c>
      <c r="H290" s="121" t="s">
        <v>843</v>
      </c>
      <c r="I290" s="122"/>
      <c r="J290" s="123" t="s">
        <v>888</v>
      </c>
      <c r="K290" s="124">
        <v>2</v>
      </c>
      <c r="L290" s="117">
        <v>1</v>
      </c>
      <c r="M290" s="117">
        <v>1</v>
      </c>
      <c r="N290" s="116">
        <v>10</v>
      </c>
      <c r="O290" s="116">
        <v>10</v>
      </c>
      <c r="P290" s="116">
        <v>0</v>
      </c>
      <c r="Q290" s="116">
        <v>0</v>
      </c>
      <c r="R290" s="116">
        <v>4</v>
      </c>
      <c r="S290" s="116">
        <v>0</v>
      </c>
      <c r="T290" s="116">
        <v>5</v>
      </c>
      <c r="U290" s="116">
        <v>10</v>
      </c>
      <c r="V290" s="116">
        <v>0</v>
      </c>
      <c r="W290" s="116">
        <v>0</v>
      </c>
      <c r="X290" s="116">
        <v>0</v>
      </c>
      <c r="Y290" s="116">
        <v>0</v>
      </c>
      <c r="Z290" s="116">
        <v>5</v>
      </c>
      <c r="AA290" s="116">
        <v>4</v>
      </c>
      <c r="AB290" s="116">
        <v>0</v>
      </c>
      <c r="AC290" s="116">
        <v>0</v>
      </c>
      <c r="AD290" s="116">
        <v>0</v>
      </c>
      <c r="AE290" s="116">
        <v>0</v>
      </c>
      <c r="AF290" s="116">
        <v>0</v>
      </c>
      <c r="AG290" s="116">
        <v>0</v>
      </c>
      <c r="AH290" s="116">
        <v>0</v>
      </c>
      <c r="AI290" s="116">
        <v>1</v>
      </c>
      <c r="AJ290" s="117">
        <v>0</v>
      </c>
      <c r="AK290" s="117">
        <v>10</v>
      </c>
      <c r="AL290" s="117">
        <v>0</v>
      </c>
      <c r="AM290" s="117">
        <v>0</v>
      </c>
      <c r="AN290" s="117">
        <v>58</v>
      </c>
      <c r="AO290" s="117">
        <v>1</v>
      </c>
      <c r="AP290" s="117">
        <v>8</v>
      </c>
      <c r="AQ290" s="117">
        <v>59</v>
      </c>
    </row>
    <row r="291" spans="1:43" s="118" customFormat="1" ht="13.5" customHeight="1">
      <c r="A291" s="119">
        <v>299</v>
      </c>
      <c r="B291" s="76" t="s">
        <v>719</v>
      </c>
      <c r="C291" s="75" t="s">
        <v>882</v>
      </c>
      <c r="D291" s="77" t="s">
        <v>883</v>
      </c>
      <c r="E291" s="77" t="s">
        <v>950</v>
      </c>
      <c r="F291" s="120" t="s">
        <v>960</v>
      </c>
      <c r="G291" s="76" t="s">
        <v>720</v>
      </c>
      <c r="H291" s="121" t="s">
        <v>843</v>
      </c>
      <c r="I291" s="122"/>
      <c r="J291" s="123" t="s">
        <v>885</v>
      </c>
      <c r="K291" s="124">
        <v>2</v>
      </c>
      <c r="L291" s="117">
        <v>1</v>
      </c>
      <c r="M291" s="117">
        <v>1</v>
      </c>
      <c r="N291" s="116">
        <v>8</v>
      </c>
      <c r="O291" s="116">
        <v>3</v>
      </c>
      <c r="P291" s="116">
        <v>0</v>
      </c>
      <c r="Q291" s="116">
        <v>0</v>
      </c>
      <c r="R291" s="116">
        <v>0</v>
      </c>
      <c r="S291" s="116">
        <v>0</v>
      </c>
      <c r="T291" s="116">
        <v>0</v>
      </c>
      <c r="U291" s="116">
        <v>0</v>
      </c>
      <c r="V291" s="116">
        <v>0</v>
      </c>
      <c r="W291" s="116">
        <v>0</v>
      </c>
      <c r="X291" s="116">
        <v>0</v>
      </c>
      <c r="Y291" s="116">
        <v>0</v>
      </c>
      <c r="Z291" s="116">
        <v>0</v>
      </c>
      <c r="AA291" s="116">
        <v>0</v>
      </c>
      <c r="AB291" s="116">
        <v>0</v>
      </c>
      <c r="AC291" s="116">
        <v>7</v>
      </c>
      <c r="AD291" s="116">
        <v>2</v>
      </c>
      <c r="AE291" s="116">
        <v>0</v>
      </c>
      <c r="AF291" s="116">
        <v>0</v>
      </c>
      <c r="AG291" s="116">
        <v>0</v>
      </c>
      <c r="AH291" s="116">
        <v>0</v>
      </c>
      <c r="AI291" s="116">
        <v>1</v>
      </c>
      <c r="AJ291" s="117">
        <v>1</v>
      </c>
      <c r="AK291" s="117">
        <v>5</v>
      </c>
      <c r="AL291" s="117">
        <v>1</v>
      </c>
      <c r="AM291" s="117">
        <v>3</v>
      </c>
      <c r="AN291" s="117">
        <v>27</v>
      </c>
      <c r="AO291" s="117">
        <v>1</v>
      </c>
      <c r="AP291" s="117">
        <v>6</v>
      </c>
      <c r="AQ291" s="117">
        <v>33</v>
      </c>
    </row>
    <row r="292" spans="1:43" s="118" customFormat="1" ht="13.5" customHeight="1">
      <c r="A292" s="119">
        <v>300</v>
      </c>
      <c r="B292" s="76" t="s">
        <v>721</v>
      </c>
      <c r="C292" s="75" t="s">
        <v>882</v>
      </c>
      <c r="D292" s="77" t="s">
        <v>883</v>
      </c>
      <c r="E292" s="77" t="s">
        <v>950</v>
      </c>
      <c r="F292" s="120" t="s">
        <v>961</v>
      </c>
      <c r="G292" s="76" t="s">
        <v>722</v>
      </c>
      <c r="H292" s="121" t="s">
        <v>843</v>
      </c>
      <c r="I292" s="122" t="s">
        <v>842</v>
      </c>
      <c r="J292" s="123" t="s">
        <v>888</v>
      </c>
      <c r="K292" s="124">
        <v>2</v>
      </c>
      <c r="L292" s="117">
        <v>1</v>
      </c>
      <c r="M292" s="117">
        <v>1</v>
      </c>
      <c r="N292" s="116">
        <v>6</v>
      </c>
      <c r="O292" s="116">
        <v>2</v>
      </c>
      <c r="P292" s="116">
        <v>0</v>
      </c>
      <c r="Q292" s="116">
        <v>2</v>
      </c>
      <c r="R292" s="116">
        <v>3</v>
      </c>
      <c r="S292" s="116">
        <v>0</v>
      </c>
      <c r="T292" s="116">
        <v>0</v>
      </c>
      <c r="U292" s="116">
        <v>0</v>
      </c>
      <c r="V292" s="116">
        <v>0</v>
      </c>
      <c r="W292" s="116">
        <v>2</v>
      </c>
      <c r="X292" s="116">
        <v>0</v>
      </c>
      <c r="Y292" s="116">
        <v>0</v>
      </c>
      <c r="Z292" s="116">
        <v>12</v>
      </c>
      <c r="AA292" s="116">
        <v>8</v>
      </c>
      <c r="AB292" s="116">
        <v>0</v>
      </c>
      <c r="AC292" s="116">
        <v>0</v>
      </c>
      <c r="AD292" s="116">
        <v>0</v>
      </c>
      <c r="AE292" s="116">
        <v>0</v>
      </c>
      <c r="AF292" s="116">
        <v>0</v>
      </c>
      <c r="AG292" s="116">
        <v>0</v>
      </c>
      <c r="AH292" s="116">
        <v>0</v>
      </c>
      <c r="AI292" s="116">
        <v>1</v>
      </c>
      <c r="AJ292" s="117">
        <v>0</v>
      </c>
      <c r="AK292" s="117">
        <v>7</v>
      </c>
      <c r="AL292" s="117">
        <v>0</v>
      </c>
      <c r="AM292" s="117">
        <v>0</v>
      </c>
      <c r="AN292" s="117">
        <v>33</v>
      </c>
      <c r="AO292" s="117">
        <v>0</v>
      </c>
      <c r="AP292" s="117">
        <v>6</v>
      </c>
      <c r="AQ292" s="117">
        <v>34</v>
      </c>
    </row>
    <row r="293" spans="1:43" s="118" customFormat="1" ht="13.5" customHeight="1">
      <c r="A293" s="119">
        <v>301</v>
      </c>
      <c r="B293" s="76" t="s">
        <v>727</v>
      </c>
      <c r="C293" s="75" t="s">
        <v>882</v>
      </c>
      <c r="D293" s="77" t="s">
        <v>883</v>
      </c>
      <c r="E293" s="77" t="s">
        <v>950</v>
      </c>
      <c r="F293" s="120" t="s">
        <v>962</v>
      </c>
      <c r="G293" s="76" t="s">
        <v>728</v>
      </c>
      <c r="H293" s="121" t="s">
        <v>843</v>
      </c>
      <c r="I293" s="122"/>
      <c r="J293" s="123" t="s">
        <v>888</v>
      </c>
      <c r="K293" s="124">
        <v>2</v>
      </c>
      <c r="L293" s="117">
        <v>1</v>
      </c>
      <c r="M293" s="117">
        <v>1</v>
      </c>
      <c r="N293" s="116">
        <v>2</v>
      </c>
      <c r="O293" s="116">
        <v>3</v>
      </c>
      <c r="P293" s="116">
        <v>0</v>
      </c>
      <c r="Q293" s="116">
        <v>1</v>
      </c>
      <c r="R293" s="116">
        <v>0</v>
      </c>
      <c r="S293" s="116">
        <v>0</v>
      </c>
      <c r="T293" s="116">
        <v>4</v>
      </c>
      <c r="U293" s="116">
        <v>4</v>
      </c>
      <c r="V293" s="116">
        <v>0</v>
      </c>
      <c r="W293" s="116">
        <v>1</v>
      </c>
      <c r="X293" s="116">
        <v>3</v>
      </c>
      <c r="Y293" s="116">
        <v>0</v>
      </c>
      <c r="Z293" s="116">
        <v>2</v>
      </c>
      <c r="AA293" s="116">
        <v>2</v>
      </c>
      <c r="AB293" s="116">
        <v>0</v>
      </c>
      <c r="AC293" s="116">
        <v>0</v>
      </c>
      <c r="AD293" s="116">
        <v>0</v>
      </c>
      <c r="AE293" s="116">
        <v>0</v>
      </c>
      <c r="AF293" s="116">
        <v>0</v>
      </c>
      <c r="AG293" s="116">
        <v>0</v>
      </c>
      <c r="AH293" s="116">
        <v>0</v>
      </c>
      <c r="AI293" s="116">
        <v>1</v>
      </c>
      <c r="AJ293" s="117">
        <v>0</v>
      </c>
      <c r="AK293" s="117">
        <v>8</v>
      </c>
      <c r="AL293" s="117">
        <v>0</v>
      </c>
      <c r="AM293" s="117">
        <v>0</v>
      </c>
      <c r="AN293" s="117">
        <v>58</v>
      </c>
      <c r="AO293" s="117">
        <v>1</v>
      </c>
      <c r="AP293" s="117">
        <v>5</v>
      </c>
      <c r="AQ293" s="117">
        <v>60</v>
      </c>
    </row>
    <row r="294" spans="1:43" s="118" customFormat="1" ht="13.5" customHeight="1">
      <c r="A294" s="119">
        <v>302</v>
      </c>
      <c r="B294" s="76" t="s">
        <v>729</v>
      </c>
      <c r="C294" s="75" t="s">
        <v>882</v>
      </c>
      <c r="D294" s="77" t="s">
        <v>883</v>
      </c>
      <c r="E294" s="77" t="s">
        <v>950</v>
      </c>
      <c r="F294" s="120" t="s">
        <v>960</v>
      </c>
      <c r="G294" s="76" t="s">
        <v>730</v>
      </c>
      <c r="H294" s="121" t="s">
        <v>843</v>
      </c>
      <c r="I294" s="122" t="s">
        <v>842</v>
      </c>
      <c r="J294" s="123" t="s">
        <v>888</v>
      </c>
      <c r="K294" s="124">
        <v>2</v>
      </c>
      <c r="L294" s="117">
        <v>2</v>
      </c>
      <c r="M294" s="117">
        <v>1</v>
      </c>
      <c r="N294" s="116">
        <v>6</v>
      </c>
      <c r="O294" s="116">
        <v>4</v>
      </c>
      <c r="P294" s="116">
        <v>0</v>
      </c>
      <c r="Q294" s="116">
        <v>7</v>
      </c>
      <c r="R294" s="116">
        <v>0</v>
      </c>
      <c r="S294" s="116">
        <v>0</v>
      </c>
      <c r="T294" s="116">
        <v>0</v>
      </c>
      <c r="U294" s="116">
        <v>0</v>
      </c>
      <c r="V294" s="116">
        <v>0</v>
      </c>
      <c r="W294" s="116">
        <v>0</v>
      </c>
      <c r="X294" s="116">
        <v>0</v>
      </c>
      <c r="Y294" s="116">
        <v>0</v>
      </c>
      <c r="Z294" s="116">
        <v>0</v>
      </c>
      <c r="AA294" s="116">
        <v>0</v>
      </c>
      <c r="AB294" s="116">
        <v>0</v>
      </c>
      <c r="AC294" s="116">
        <v>12</v>
      </c>
      <c r="AD294" s="116">
        <v>3</v>
      </c>
      <c r="AE294" s="116">
        <v>0</v>
      </c>
      <c r="AF294" s="116">
        <v>0</v>
      </c>
      <c r="AG294" s="116">
        <v>0</v>
      </c>
      <c r="AH294" s="116">
        <v>0</v>
      </c>
      <c r="AI294" s="116">
        <v>1</v>
      </c>
      <c r="AJ294" s="117">
        <v>1</v>
      </c>
      <c r="AK294" s="117">
        <v>3</v>
      </c>
      <c r="AL294" s="117">
        <v>0</v>
      </c>
      <c r="AM294" s="117">
        <v>4</v>
      </c>
      <c r="AN294" s="117">
        <v>26</v>
      </c>
      <c r="AO294" s="117">
        <v>0</v>
      </c>
      <c r="AP294" s="117">
        <v>3</v>
      </c>
      <c r="AQ294" s="117">
        <v>31</v>
      </c>
    </row>
    <row r="295" spans="1:43" s="118" customFormat="1" ht="13.5" customHeight="1">
      <c r="A295" s="119">
        <v>303</v>
      </c>
      <c r="B295" s="76" t="s">
        <v>731</v>
      </c>
      <c r="C295" s="75" t="s">
        <v>882</v>
      </c>
      <c r="D295" s="77" t="s">
        <v>883</v>
      </c>
      <c r="E295" s="77" t="s">
        <v>950</v>
      </c>
      <c r="F295" s="120" t="s">
        <v>961</v>
      </c>
      <c r="G295" s="76" t="s">
        <v>732</v>
      </c>
      <c r="H295" s="121" t="s">
        <v>843</v>
      </c>
      <c r="I295" s="122"/>
      <c r="J295" s="123" t="s">
        <v>888</v>
      </c>
      <c r="K295" s="124">
        <v>2</v>
      </c>
      <c r="L295" s="117">
        <v>3</v>
      </c>
      <c r="M295" s="117">
        <v>1</v>
      </c>
      <c r="N295" s="116">
        <v>8</v>
      </c>
      <c r="O295" s="116">
        <v>1</v>
      </c>
      <c r="P295" s="116">
        <v>0</v>
      </c>
      <c r="Q295" s="116">
        <v>3</v>
      </c>
      <c r="R295" s="116">
        <v>3</v>
      </c>
      <c r="S295" s="116">
        <v>0</v>
      </c>
      <c r="T295" s="116">
        <v>0</v>
      </c>
      <c r="U295" s="116">
        <v>0</v>
      </c>
      <c r="V295" s="116">
        <v>0</v>
      </c>
      <c r="W295" s="116">
        <v>1</v>
      </c>
      <c r="X295" s="116">
        <v>0</v>
      </c>
      <c r="Y295" s="116">
        <v>0</v>
      </c>
      <c r="Z295" s="116">
        <v>9</v>
      </c>
      <c r="AA295" s="116">
        <v>3</v>
      </c>
      <c r="AB295" s="116">
        <v>0</v>
      </c>
      <c r="AC295" s="116">
        <v>0</v>
      </c>
      <c r="AD295" s="116">
        <v>0</v>
      </c>
      <c r="AE295" s="116">
        <v>0</v>
      </c>
      <c r="AF295" s="116">
        <v>0</v>
      </c>
      <c r="AG295" s="116">
        <v>0</v>
      </c>
      <c r="AH295" s="116">
        <v>0</v>
      </c>
      <c r="AI295" s="116">
        <v>1</v>
      </c>
      <c r="AJ295" s="117">
        <v>0</v>
      </c>
      <c r="AK295" s="117">
        <v>4</v>
      </c>
      <c r="AL295" s="117">
        <v>1</v>
      </c>
      <c r="AM295" s="117">
        <v>15</v>
      </c>
      <c r="AN295" s="117">
        <v>12</v>
      </c>
      <c r="AO295" s="117">
        <v>1</v>
      </c>
      <c r="AP295" s="117">
        <v>2</v>
      </c>
      <c r="AQ295" s="117">
        <v>30</v>
      </c>
    </row>
    <row r="296" spans="1:43" s="118" customFormat="1" ht="13.5" customHeight="1">
      <c r="A296" s="119">
        <v>304</v>
      </c>
      <c r="B296" s="76" t="s">
        <v>733</v>
      </c>
      <c r="C296" s="75" t="s">
        <v>882</v>
      </c>
      <c r="D296" s="77" t="s">
        <v>883</v>
      </c>
      <c r="E296" s="77" t="s">
        <v>950</v>
      </c>
      <c r="F296" s="120" t="s">
        <v>961</v>
      </c>
      <c r="G296" s="76" t="s">
        <v>734</v>
      </c>
      <c r="H296" s="121" t="s">
        <v>843</v>
      </c>
      <c r="I296" s="122"/>
      <c r="J296" s="123" t="s">
        <v>885</v>
      </c>
      <c r="K296" s="124">
        <v>2</v>
      </c>
      <c r="L296" s="117">
        <v>1</v>
      </c>
      <c r="M296" s="117">
        <v>1</v>
      </c>
      <c r="N296" s="116">
        <v>9</v>
      </c>
      <c r="O296" s="116">
        <v>1</v>
      </c>
      <c r="P296" s="116">
        <v>0</v>
      </c>
      <c r="Q296" s="116">
        <v>5</v>
      </c>
      <c r="R296" s="116">
        <v>3</v>
      </c>
      <c r="S296" s="116">
        <v>0</v>
      </c>
      <c r="T296" s="116">
        <v>0</v>
      </c>
      <c r="U296" s="116">
        <v>0</v>
      </c>
      <c r="V296" s="116">
        <v>0</v>
      </c>
      <c r="W296" s="116">
        <v>0</v>
      </c>
      <c r="X296" s="116">
        <v>0</v>
      </c>
      <c r="Y296" s="116">
        <v>0</v>
      </c>
      <c r="Z296" s="116">
        <v>13</v>
      </c>
      <c r="AA296" s="116">
        <v>3</v>
      </c>
      <c r="AB296" s="116">
        <v>0</v>
      </c>
      <c r="AC296" s="116">
        <v>0</v>
      </c>
      <c r="AD296" s="116">
        <v>0</v>
      </c>
      <c r="AE296" s="116">
        <v>0</v>
      </c>
      <c r="AF296" s="116">
        <v>0</v>
      </c>
      <c r="AG296" s="116">
        <v>0</v>
      </c>
      <c r="AH296" s="116">
        <v>0</v>
      </c>
      <c r="AI296" s="116">
        <v>1</v>
      </c>
      <c r="AJ296" s="117">
        <v>1</v>
      </c>
      <c r="AK296" s="117">
        <v>4</v>
      </c>
      <c r="AL296" s="117">
        <v>0</v>
      </c>
      <c r="AM296" s="117">
        <v>13</v>
      </c>
      <c r="AN296" s="117">
        <v>27</v>
      </c>
      <c r="AO296" s="117">
        <v>0</v>
      </c>
      <c r="AP296" s="117">
        <v>2</v>
      </c>
      <c r="AQ296" s="117">
        <v>41</v>
      </c>
    </row>
    <row r="297" spans="1:43" s="118" customFormat="1" ht="13.5" customHeight="1">
      <c r="A297" s="119">
        <v>305</v>
      </c>
      <c r="B297" s="76" t="s">
        <v>238</v>
      </c>
      <c r="C297" s="75" t="s">
        <v>882</v>
      </c>
      <c r="D297" s="77" t="s">
        <v>883</v>
      </c>
      <c r="E297" s="77" t="s">
        <v>950</v>
      </c>
      <c r="F297" s="120" t="s">
        <v>961</v>
      </c>
      <c r="G297" s="76" t="s">
        <v>239</v>
      </c>
      <c r="H297" s="121" t="s">
        <v>843</v>
      </c>
      <c r="I297" s="122" t="s">
        <v>842</v>
      </c>
      <c r="J297" s="123" t="s">
        <v>885</v>
      </c>
      <c r="K297" s="124">
        <v>2</v>
      </c>
      <c r="L297" s="117">
        <v>1</v>
      </c>
      <c r="M297" s="117">
        <v>1</v>
      </c>
      <c r="N297" s="116">
        <v>4</v>
      </c>
      <c r="O297" s="116">
        <v>1</v>
      </c>
      <c r="P297" s="116">
        <v>0</v>
      </c>
      <c r="Q297" s="116">
        <v>4</v>
      </c>
      <c r="R297" s="116">
        <v>2</v>
      </c>
      <c r="S297" s="116">
        <v>0</v>
      </c>
      <c r="T297" s="116">
        <v>0</v>
      </c>
      <c r="U297" s="116">
        <v>0</v>
      </c>
      <c r="V297" s="116">
        <v>0</v>
      </c>
      <c r="W297" s="116">
        <v>0</v>
      </c>
      <c r="X297" s="116">
        <v>0</v>
      </c>
      <c r="Y297" s="116">
        <v>0</v>
      </c>
      <c r="Z297" s="116">
        <v>7</v>
      </c>
      <c r="AA297" s="116">
        <v>2</v>
      </c>
      <c r="AB297" s="116">
        <v>0</v>
      </c>
      <c r="AC297" s="116">
        <v>0</v>
      </c>
      <c r="AD297" s="116">
        <v>0</v>
      </c>
      <c r="AE297" s="116">
        <v>0</v>
      </c>
      <c r="AF297" s="116">
        <v>0</v>
      </c>
      <c r="AG297" s="116">
        <v>0</v>
      </c>
      <c r="AH297" s="116">
        <v>0</v>
      </c>
      <c r="AI297" s="116">
        <v>1</v>
      </c>
      <c r="AJ297" s="117">
        <v>0</v>
      </c>
      <c r="AK297" s="117">
        <v>7</v>
      </c>
      <c r="AL297" s="117">
        <v>0</v>
      </c>
      <c r="AM297" s="117">
        <v>4</v>
      </c>
      <c r="AN297" s="117">
        <v>20</v>
      </c>
      <c r="AO297" s="117">
        <v>0</v>
      </c>
      <c r="AP297" s="117">
        <v>5</v>
      </c>
      <c r="AQ297" s="117">
        <v>26</v>
      </c>
    </row>
    <row r="298" spans="1:43" s="118" customFormat="1" ht="13.5" customHeight="1">
      <c r="A298" s="119">
        <v>306</v>
      </c>
      <c r="B298" s="76" t="s">
        <v>753</v>
      </c>
      <c r="C298" s="75" t="s">
        <v>882</v>
      </c>
      <c r="D298" s="77" t="s">
        <v>883</v>
      </c>
      <c r="E298" s="77" t="s">
        <v>950</v>
      </c>
      <c r="F298" s="120" t="s">
        <v>961</v>
      </c>
      <c r="G298" s="76" t="s">
        <v>754</v>
      </c>
      <c r="H298" s="121" t="s">
        <v>843</v>
      </c>
      <c r="I298" s="122"/>
      <c r="J298" s="123" t="s">
        <v>885</v>
      </c>
      <c r="K298" s="124">
        <v>2</v>
      </c>
      <c r="L298" s="117">
        <v>1</v>
      </c>
      <c r="M298" s="117">
        <v>2</v>
      </c>
      <c r="N298" s="116">
        <v>10</v>
      </c>
      <c r="O298" s="116">
        <v>2</v>
      </c>
      <c r="P298" s="116">
        <v>0</v>
      </c>
      <c r="Q298" s="116">
        <v>0</v>
      </c>
      <c r="R298" s="116">
        <v>4</v>
      </c>
      <c r="S298" s="116">
        <v>0</v>
      </c>
      <c r="T298" s="116">
        <v>0</v>
      </c>
      <c r="U298" s="116">
        <v>0</v>
      </c>
      <c r="V298" s="116">
        <v>0</v>
      </c>
      <c r="W298" s="116">
        <v>0</v>
      </c>
      <c r="X298" s="116">
        <v>0</v>
      </c>
      <c r="Y298" s="116">
        <v>0</v>
      </c>
      <c r="Z298" s="116">
        <v>9</v>
      </c>
      <c r="AA298" s="116">
        <v>5</v>
      </c>
      <c r="AB298" s="116">
        <v>0</v>
      </c>
      <c r="AC298" s="116">
        <v>0</v>
      </c>
      <c r="AD298" s="116">
        <v>0</v>
      </c>
      <c r="AE298" s="116">
        <v>0</v>
      </c>
      <c r="AF298" s="116">
        <v>0</v>
      </c>
      <c r="AG298" s="116">
        <v>0</v>
      </c>
      <c r="AH298" s="116">
        <v>0</v>
      </c>
      <c r="AI298" s="116">
        <v>1</v>
      </c>
      <c r="AJ298" s="117">
        <v>1</v>
      </c>
      <c r="AK298" s="117">
        <v>5</v>
      </c>
      <c r="AL298" s="117">
        <v>0</v>
      </c>
      <c r="AM298" s="117">
        <v>10</v>
      </c>
      <c r="AN298" s="117">
        <v>19</v>
      </c>
      <c r="AO298" s="117">
        <v>1</v>
      </c>
      <c r="AP298" s="117">
        <v>4</v>
      </c>
      <c r="AQ298" s="117">
        <v>30</v>
      </c>
    </row>
    <row r="299" spans="1:43" s="118" customFormat="1" ht="13.5" customHeight="1">
      <c r="A299" s="119">
        <v>307</v>
      </c>
      <c r="B299" s="76" t="s">
        <v>771</v>
      </c>
      <c r="C299" s="75" t="s">
        <v>882</v>
      </c>
      <c r="D299" s="77" t="s">
        <v>883</v>
      </c>
      <c r="E299" s="77" t="s">
        <v>950</v>
      </c>
      <c r="F299" s="120" t="s">
        <v>962</v>
      </c>
      <c r="G299" s="76" t="s">
        <v>772</v>
      </c>
      <c r="H299" s="121" t="s">
        <v>843</v>
      </c>
      <c r="I299" s="122"/>
      <c r="J299" s="123" t="s">
        <v>888</v>
      </c>
      <c r="K299" s="124">
        <v>2</v>
      </c>
      <c r="L299" s="117">
        <v>1</v>
      </c>
      <c r="M299" s="117">
        <v>1</v>
      </c>
      <c r="N299" s="116">
        <v>12</v>
      </c>
      <c r="O299" s="116">
        <v>3</v>
      </c>
      <c r="P299" s="116">
        <v>0</v>
      </c>
      <c r="Q299" s="116">
        <v>1</v>
      </c>
      <c r="R299" s="116">
        <v>1</v>
      </c>
      <c r="S299" s="116">
        <v>0</v>
      </c>
      <c r="T299" s="116">
        <v>1</v>
      </c>
      <c r="U299" s="116">
        <v>1</v>
      </c>
      <c r="V299" s="116">
        <v>0</v>
      </c>
      <c r="W299" s="116">
        <v>0</v>
      </c>
      <c r="X299" s="116">
        <v>0</v>
      </c>
      <c r="Y299" s="116">
        <v>0</v>
      </c>
      <c r="Z299" s="116">
        <v>12</v>
      </c>
      <c r="AA299" s="116">
        <v>3</v>
      </c>
      <c r="AB299" s="116">
        <v>0</v>
      </c>
      <c r="AC299" s="116">
        <v>0</v>
      </c>
      <c r="AD299" s="116">
        <v>0</v>
      </c>
      <c r="AE299" s="116">
        <v>0</v>
      </c>
      <c r="AF299" s="116">
        <v>0</v>
      </c>
      <c r="AG299" s="116">
        <v>0</v>
      </c>
      <c r="AH299" s="116">
        <v>0</v>
      </c>
      <c r="AI299" s="116">
        <v>1</v>
      </c>
      <c r="AJ299" s="117">
        <v>0</v>
      </c>
      <c r="AK299" s="117">
        <v>7</v>
      </c>
      <c r="AL299" s="117">
        <v>0</v>
      </c>
      <c r="AM299" s="117">
        <v>0</v>
      </c>
      <c r="AN299" s="117">
        <v>41</v>
      </c>
      <c r="AO299" s="117">
        <v>1</v>
      </c>
      <c r="AP299" s="117">
        <v>3</v>
      </c>
      <c r="AQ299" s="117">
        <v>44</v>
      </c>
    </row>
    <row r="300" spans="1:43" s="118" customFormat="1" ht="13.5" customHeight="1">
      <c r="A300" s="119">
        <v>308</v>
      </c>
      <c r="B300" s="76" t="s">
        <v>163</v>
      </c>
      <c r="C300" s="75" t="s">
        <v>882</v>
      </c>
      <c r="D300" s="77" t="s">
        <v>883</v>
      </c>
      <c r="E300" s="77" t="s">
        <v>950</v>
      </c>
      <c r="F300" s="120" t="s">
        <v>960</v>
      </c>
      <c r="G300" s="76" t="s">
        <v>164</v>
      </c>
      <c r="H300" s="121" t="s">
        <v>843</v>
      </c>
      <c r="I300" s="122"/>
      <c r="J300" s="123" t="s">
        <v>888</v>
      </c>
      <c r="K300" s="124">
        <v>2</v>
      </c>
      <c r="L300" s="117">
        <v>2</v>
      </c>
      <c r="M300" s="117">
        <v>1</v>
      </c>
      <c r="N300" s="116">
        <v>5</v>
      </c>
      <c r="O300" s="116">
        <v>6</v>
      </c>
      <c r="P300" s="116">
        <v>0</v>
      </c>
      <c r="Q300" s="116">
        <v>1</v>
      </c>
      <c r="R300" s="116">
        <v>0</v>
      </c>
      <c r="S300" s="116">
        <v>0</v>
      </c>
      <c r="T300" s="116">
        <v>0</v>
      </c>
      <c r="U300" s="116">
        <v>0</v>
      </c>
      <c r="V300" s="116">
        <v>0</v>
      </c>
      <c r="W300" s="116">
        <v>0</v>
      </c>
      <c r="X300" s="116">
        <v>0</v>
      </c>
      <c r="Y300" s="116">
        <v>0</v>
      </c>
      <c r="Z300" s="116">
        <v>0</v>
      </c>
      <c r="AA300" s="116">
        <v>0</v>
      </c>
      <c r="AB300" s="116">
        <v>0</v>
      </c>
      <c r="AC300" s="116">
        <v>5</v>
      </c>
      <c r="AD300" s="116">
        <v>5</v>
      </c>
      <c r="AE300" s="116">
        <v>0</v>
      </c>
      <c r="AF300" s="116">
        <v>0</v>
      </c>
      <c r="AG300" s="116">
        <v>0</v>
      </c>
      <c r="AH300" s="116">
        <v>0</v>
      </c>
      <c r="AI300" s="116">
        <v>1</v>
      </c>
      <c r="AJ300" s="117">
        <v>0</v>
      </c>
      <c r="AK300" s="117">
        <v>4</v>
      </c>
      <c r="AL300" s="117">
        <v>1</v>
      </c>
      <c r="AM300" s="117">
        <v>2</v>
      </c>
      <c r="AN300" s="117">
        <v>20</v>
      </c>
      <c r="AO300" s="117">
        <v>0</v>
      </c>
      <c r="AP300" s="117">
        <v>4</v>
      </c>
      <c r="AQ300" s="117">
        <v>21</v>
      </c>
    </row>
    <row r="301" spans="1:43" s="118" customFormat="1" ht="13.5" customHeight="1">
      <c r="A301" s="119">
        <v>309</v>
      </c>
      <c r="B301" s="76" t="s">
        <v>773</v>
      </c>
      <c r="C301" s="75" t="s">
        <v>882</v>
      </c>
      <c r="D301" s="77" t="s">
        <v>883</v>
      </c>
      <c r="E301" s="77" t="s">
        <v>950</v>
      </c>
      <c r="F301" s="120" t="s">
        <v>961</v>
      </c>
      <c r="G301" s="76" t="s">
        <v>774</v>
      </c>
      <c r="H301" s="121" t="s">
        <v>843</v>
      </c>
      <c r="I301" s="122" t="s">
        <v>842</v>
      </c>
      <c r="J301" s="123" t="s">
        <v>885</v>
      </c>
      <c r="K301" s="124">
        <v>2</v>
      </c>
      <c r="L301" s="117">
        <v>1</v>
      </c>
      <c r="M301" s="117">
        <v>1</v>
      </c>
      <c r="N301" s="116">
        <v>16</v>
      </c>
      <c r="O301" s="116">
        <v>4</v>
      </c>
      <c r="P301" s="116">
        <v>0</v>
      </c>
      <c r="Q301" s="116">
        <v>1</v>
      </c>
      <c r="R301" s="116">
        <v>0</v>
      </c>
      <c r="S301" s="116">
        <v>0</v>
      </c>
      <c r="T301" s="116">
        <v>0</v>
      </c>
      <c r="U301" s="116">
        <v>0</v>
      </c>
      <c r="V301" s="116">
        <v>0</v>
      </c>
      <c r="W301" s="116">
        <v>4</v>
      </c>
      <c r="X301" s="116">
        <v>2</v>
      </c>
      <c r="Y301" s="116">
        <v>0</v>
      </c>
      <c r="Z301" s="116">
        <v>12</v>
      </c>
      <c r="AA301" s="116">
        <v>1</v>
      </c>
      <c r="AB301" s="116">
        <v>0</v>
      </c>
      <c r="AC301" s="116">
        <v>0</v>
      </c>
      <c r="AD301" s="116">
        <v>0</v>
      </c>
      <c r="AE301" s="116">
        <v>0</v>
      </c>
      <c r="AF301" s="116">
        <v>0</v>
      </c>
      <c r="AG301" s="116">
        <v>0</v>
      </c>
      <c r="AH301" s="116">
        <v>0</v>
      </c>
      <c r="AI301" s="116">
        <v>1</v>
      </c>
      <c r="AJ301" s="117">
        <v>2</v>
      </c>
      <c r="AK301" s="117">
        <v>5</v>
      </c>
      <c r="AL301" s="117">
        <v>0</v>
      </c>
      <c r="AM301" s="117">
        <v>4</v>
      </c>
      <c r="AN301" s="117">
        <v>43</v>
      </c>
      <c r="AO301" s="117">
        <v>0</v>
      </c>
      <c r="AP301" s="117">
        <v>5</v>
      </c>
      <c r="AQ301" s="117">
        <v>48</v>
      </c>
    </row>
    <row r="302" spans="1:43" s="118" customFormat="1" ht="13.5" customHeight="1">
      <c r="A302" s="119">
        <v>310</v>
      </c>
      <c r="B302" s="76" t="s">
        <v>247</v>
      </c>
      <c r="C302" s="75" t="s">
        <v>882</v>
      </c>
      <c r="D302" s="77" t="s">
        <v>883</v>
      </c>
      <c r="E302" s="77" t="s">
        <v>950</v>
      </c>
      <c r="F302" s="120" t="s">
        <v>961</v>
      </c>
      <c r="G302" s="76" t="s">
        <v>248</v>
      </c>
      <c r="H302" s="121" t="s">
        <v>843</v>
      </c>
      <c r="I302" s="122"/>
      <c r="J302" s="123" t="s">
        <v>885</v>
      </c>
      <c r="K302" s="124">
        <v>2</v>
      </c>
      <c r="L302" s="117">
        <v>1</v>
      </c>
      <c r="M302" s="117">
        <v>1</v>
      </c>
      <c r="N302" s="116">
        <v>9</v>
      </c>
      <c r="O302" s="116">
        <v>1</v>
      </c>
      <c r="P302" s="116">
        <v>0</v>
      </c>
      <c r="Q302" s="116">
        <v>5</v>
      </c>
      <c r="R302" s="116">
        <v>2</v>
      </c>
      <c r="S302" s="116">
        <v>0</v>
      </c>
      <c r="T302" s="116">
        <v>0</v>
      </c>
      <c r="U302" s="116">
        <v>0</v>
      </c>
      <c r="V302" s="116">
        <v>0</v>
      </c>
      <c r="W302" s="116">
        <v>0</v>
      </c>
      <c r="X302" s="116">
        <v>0</v>
      </c>
      <c r="Y302" s="116">
        <v>0</v>
      </c>
      <c r="Z302" s="116">
        <v>13</v>
      </c>
      <c r="AA302" s="116">
        <v>2</v>
      </c>
      <c r="AB302" s="116">
        <v>0</v>
      </c>
      <c r="AC302" s="116">
        <v>0</v>
      </c>
      <c r="AD302" s="116">
        <v>0</v>
      </c>
      <c r="AE302" s="116">
        <v>0</v>
      </c>
      <c r="AF302" s="116">
        <v>0</v>
      </c>
      <c r="AG302" s="116">
        <v>0</v>
      </c>
      <c r="AH302" s="116">
        <v>0</v>
      </c>
      <c r="AI302" s="116">
        <v>1</v>
      </c>
      <c r="AJ302" s="117">
        <v>1</v>
      </c>
      <c r="AK302" s="117">
        <v>3</v>
      </c>
      <c r="AL302" s="117">
        <v>0</v>
      </c>
      <c r="AM302" s="117">
        <v>11</v>
      </c>
      <c r="AN302" s="117">
        <v>15</v>
      </c>
      <c r="AO302" s="117">
        <v>1</v>
      </c>
      <c r="AP302" s="117">
        <v>1</v>
      </c>
      <c r="AQ302" s="117">
        <v>28</v>
      </c>
    </row>
    <row r="303" spans="1:43" s="118" customFormat="1" ht="13.5" customHeight="1">
      <c r="A303" s="119">
        <v>311</v>
      </c>
      <c r="B303" s="76" t="s">
        <v>166</v>
      </c>
      <c r="C303" s="75" t="s">
        <v>882</v>
      </c>
      <c r="D303" s="77" t="s">
        <v>883</v>
      </c>
      <c r="E303" s="77" t="s">
        <v>950</v>
      </c>
      <c r="F303" s="120" t="s">
        <v>960</v>
      </c>
      <c r="G303" s="76" t="s">
        <v>167</v>
      </c>
      <c r="H303" s="121" t="s">
        <v>843</v>
      </c>
      <c r="I303" s="122"/>
      <c r="J303" s="123" t="s">
        <v>888</v>
      </c>
      <c r="K303" s="124">
        <v>2</v>
      </c>
      <c r="L303" s="117">
        <v>1</v>
      </c>
      <c r="M303" s="117">
        <v>1</v>
      </c>
      <c r="N303" s="116">
        <v>14</v>
      </c>
      <c r="O303" s="116">
        <v>7</v>
      </c>
      <c r="P303" s="116">
        <v>0</v>
      </c>
      <c r="Q303" s="116">
        <v>0</v>
      </c>
      <c r="R303" s="116">
        <v>0</v>
      </c>
      <c r="S303" s="116">
        <v>0</v>
      </c>
      <c r="T303" s="116">
        <v>0</v>
      </c>
      <c r="U303" s="116">
        <v>0</v>
      </c>
      <c r="V303" s="116">
        <v>0</v>
      </c>
      <c r="W303" s="116">
        <v>8</v>
      </c>
      <c r="X303" s="116">
        <v>1</v>
      </c>
      <c r="Y303" s="116">
        <v>0</v>
      </c>
      <c r="Z303" s="116">
        <v>5</v>
      </c>
      <c r="AA303" s="116">
        <v>5</v>
      </c>
      <c r="AB303" s="116">
        <v>0</v>
      </c>
      <c r="AC303" s="116">
        <v>0</v>
      </c>
      <c r="AD303" s="116">
        <v>0</v>
      </c>
      <c r="AE303" s="116">
        <v>0</v>
      </c>
      <c r="AF303" s="116">
        <v>0</v>
      </c>
      <c r="AG303" s="116">
        <v>0</v>
      </c>
      <c r="AH303" s="116">
        <v>0</v>
      </c>
      <c r="AI303" s="116">
        <v>1</v>
      </c>
      <c r="AJ303" s="117">
        <v>0</v>
      </c>
      <c r="AK303" s="117">
        <v>7</v>
      </c>
      <c r="AL303" s="117">
        <v>0</v>
      </c>
      <c r="AM303" s="117">
        <v>0</v>
      </c>
      <c r="AN303" s="117">
        <v>25</v>
      </c>
      <c r="AO303" s="117">
        <v>0</v>
      </c>
      <c r="AP303" s="117">
        <v>7</v>
      </c>
      <c r="AQ303" s="117">
        <v>25</v>
      </c>
    </row>
    <row r="304" spans="1:43" s="118" customFormat="1" ht="13.5" customHeight="1">
      <c r="A304" s="119">
        <v>312</v>
      </c>
      <c r="B304" s="76" t="s">
        <v>169</v>
      </c>
      <c r="C304" s="75" t="s">
        <v>882</v>
      </c>
      <c r="D304" s="77" t="s">
        <v>883</v>
      </c>
      <c r="E304" s="77" t="s">
        <v>950</v>
      </c>
      <c r="F304" s="120" t="s">
        <v>960</v>
      </c>
      <c r="G304" s="76" t="s">
        <v>170</v>
      </c>
      <c r="H304" s="121" t="s">
        <v>843</v>
      </c>
      <c r="I304" s="122"/>
      <c r="J304" s="123" t="s">
        <v>888</v>
      </c>
      <c r="K304" s="124">
        <v>2</v>
      </c>
      <c r="L304" s="117">
        <v>3</v>
      </c>
      <c r="M304" s="117">
        <v>1</v>
      </c>
      <c r="N304" s="116">
        <v>6</v>
      </c>
      <c r="O304" s="116">
        <v>3</v>
      </c>
      <c r="P304" s="116">
        <v>0</v>
      </c>
      <c r="Q304" s="116">
        <v>7</v>
      </c>
      <c r="R304" s="116">
        <v>0</v>
      </c>
      <c r="S304" s="116">
        <v>0</v>
      </c>
      <c r="T304" s="116">
        <v>0</v>
      </c>
      <c r="U304" s="116">
        <v>0</v>
      </c>
      <c r="V304" s="116">
        <v>0</v>
      </c>
      <c r="W304" s="116">
        <v>0</v>
      </c>
      <c r="X304" s="116">
        <v>1</v>
      </c>
      <c r="Y304" s="116">
        <v>0</v>
      </c>
      <c r="Z304" s="116">
        <v>12</v>
      </c>
      <c r="AA304" s="116">
        <v>2</v>
      </c>
      <c r="AB304" s="116">
        <v>0</v>
      </c>
      <c r="AC304" s="116">
        <v>0</v>
      </c>
      <c r="AD304" s="116">
        <v>0</v>
      </c>
      <c r="AE304" s="116">
        <v>0</v>
      </c>
      <c r="AF304" s="116">
        <v>0</v>
      </c>
      <c r="AG304" s="116">
        <v>0</v>
      </c>
      <c r="AH304" s="116">
        <v>0</v>
      </c>
      <c r="AI304" s="116">
        <v>1</v>
      </c>
      <c r="AJ304" s="117">
        <v>0</v>
      </c>
      <c r="AK304" s="117">
        <v>7</v>
      </c>
      <c r="AL304" s="117">
        <v>0</v>
      </c>
      <c r="AM304" s="117">
        <v>0</v>
      </c>
      <c r="AN304" s="117">
        <v>46</v>
      </c>
      <c r="AO304" s="117">
        <v>0</v>
      </c>
      <c r="AP304" s="117">
        <v>6</v>
      </c>
      <c r="AQ304" s="117">
        <v>47</v>
      </c>
    </row>
    <row r="305" spans="1:43" s="118" customFormat="1" ht="13.5" customHeight="1">
      <c r="A305" s="119">
        <v>313</v>
      </c>
      <c r="B305" s="76" t="s">
        <v>253</v>
      </c>
      <c r="C305" s="75" t="s">
        <v>882</v>
      </c>
      <c r="D305" s="77" t="s">
        <v>883</v>
      </c>
      <c r="E305" s="77" t="s">
        <v>950</v>
      </c>
      <c r="F305" s="120" t="s">
        <v>961</v>
      </c>
      <c r="G305" s="76" t="s">
        <v>254</v>
      </c>
      <c r="H305" s="121" t="s">
        <v>843</v>
      </c>
      <c r="I305" s="122" t="s">
        <v>842</v>
      </c>
      <c r="J305" s="123" t="s">
        <v>888</v>
      </c>
      <c r="K305" s="124">
        <v>2</v>
      </c>
      <c r="L305" s="117">
        <v>1</v>
      </c>
      <c r="M305" s="117">
        <v>1</v>
      </c>
      <c r="N305" s="116">
        <v>6</v>
      </c>
      <c r="O305" s="116">
        <v>2</v>
      </c>
      <c r="P305" s="116">
        <v>0</v>
      </c>
      <c r="Q305" s="116">
        <v>4</v>
      </c>
      <c r="R305" s="116">
        <v>4</v>
      </c>
      <c r="S305" s="116">
        <v>0</v>
      </c>
      <c r="T305" s="116">
        <v>0</v>
      </c>
      <c r="U305" s="116">
        <v>0</v>
      </c>
      <c r="V305" s="116">
        <v>0</v>
      </c>
      <c r="W305" s="116">
        <v>2</v>
      </c>
      <c r="X305" s="116">
        <v>1</v>
      </c>
      <c r="Y305" s="116">
        <v>0</v>
      </c>
      <c r="Z305" s="116">
        <v>8</v>
      </c>
      <c r="AA305" s="116">
        <v>5</v>
      </c>
      <c r="AB305" s="116">
        <v>0</v>
      </c>
      <c r="AC305" s="116">
        <v>0</v>
      </c>
      <c r="AD305" s="116">
        <v>0</v>
      </c>
      <c r="AE305" s="116">
        <v>0</v>
      </c>
      <c r="AF305" s="116">
        <v>0</v>
      </c>
      <c r="AG305" s="116">
        <v>0</v>
      </c>
      <c r="AH305" s="116">
        <v>0</v>
      </c>
      <c r="AI305" s="116">
        <v>1</v>
      </c>
      <c r="AJ305" s="117">
        <v>1</v>
      </c>
      <c r="AK305" s="117">
        <v>7</v>
      </c>
      <c r="AL305" s="117">
        <v>0</v>
      </c>
      <c r="AM305" s="117">
        <v>13</v>
      </c>
      <c r="AN305" s="117">
        <v>35</v>
      </c>
      <c r="AO305" s="117">
        <v>0</v>
      </c>
      <c r="AP305" s="117">
        <v>6</v>
      </c>
      <c r="AQ305" s="117">
        <v>50</v>
      </c>
    </row>
    <row r="306" spans="1:43" s="118" customFormat="1" ht="13.5" customHeight="1">
      <c r="A306" s="119">
        <v>314</v>
      </c>
      <c r="B306" s="76" t="s">
        <v>779</v>
      </c>
      <c r="C306" s="75" t="s">
        <v>882</v>
      </c>
      <c r="D306" s="77" t="s">
        <v>883</v>
      </c>
      <c r="E306" s="77" t="s">
        <v>950</v>
      </c>
      <c r="F306" s="120" t="s">
        <v>962</v>
      </c>
      <c r="G306" s="76" t="s">
        <v>780</v>
      </c>
      <c r="H306" s="121" t="s">
        <v>843</v>
      </c>
      <c r="I306" s="122"/>
      <c r="J306" s="123" t="s">
        <v>888</v>
      </c>
      <c r="K306" s="124">
        <v>2</v>
      </c>
      <c r="L306" s="117">
        <v>3</v>
      </c>
      <c r="M306" s="117">
        <v>1</v>
      </c>
      <c r="N306" s="116">
        <v>12</v>
      </c>
      <c r="O306" s="116">
        <v>2</v>
      </c>
      <c r="P306" s="116">
        <v>0</v>
      </c>
      <c r="Q306" s="116">
        <v>5</v>
      </c>
      <c r="R306" s="116">
        <v>0</v>
      </c>
      <c r="S306" s="116">
        <v>0</v>
      </c>
      <c r="T306" s="116">
        <v>2</v>
      </c>
      <c r="U306" s="116">
        <v>1</v>
      </c>
      <c r="V306" s="116">
        <v>0</v>
      </c>
      <c r="W306" s="116">
        <v>1</v>
      </c>
      <c r="X306" s="116">
        <v>0</v>
      </c>
      <c r="Y306" s="116">
        <v>0</v>
      </c>
      <c r="Z306" s="116">
        <v>13</v>
      </c>
      <c r="AA306" s="116">
        <v>1</v>
      </c>
      <c r="AB306" s="116">
        <v>0</v>
      </c>
      <c r="AC306" s="116">
        <v>0</v>
      </c>
      <c r="AD306" s="116">
        <v>0</v>
      </c>
      <c r="AE306" s="116">
        <v>0</v>
      </c>
      <c r="AF306" s="116">
        <v>0</v>
      </c>
      <c r="AG306" s="116">
        <v>0</v>
      </c>
      <c r="AH306" s="116">
        <v>0</v>
      </c>
      <c r="AI306" s="116">
        <v>1</v>
      </c>
      <c r="AJ306" s="117">
        <v>0</v>
      </c>
      <c r="AK306" s="117">
        <v>8</v>
      </c>
      <c r="AL306" s="117">
        <v>0</v>
      </c>
      <c r="AM306" s="117">
        <v>0</v>
      </c>
      <c r="AN306" s="117">
        <v>47</v>
      </c>
      <c r="AO306" s="117">
        <v>0</v>
      </c>
      <c r="AP306" s="117">
        <v>7</v>
      </c>
      <c r="AQ306" s="117">
        <v>48</v>
      </c>
    </row>
    <row r="307" spans="1:43" s="118" customFormat="1" ht="13.5" customHeight="1">
      <c r="A307" s="119">
        <v>315</v>
      </c>
      <c r="B307" s="76" t="s">
        <v>175</v>
      </c>
      <c r="C307" s="75" t="s">
        <v>882</v>
      </c>
      <c r="D307" s="77" t="s">
        <v>883</v>
      </c>
      <c r="E307" s="77" t="s">
        <v>950</v>
      </c>
      <c r="F307" s="120" t="s">
        <v>960</v>
      </c>
      <c r="G307" s="76" t="s">
        <v>176</v>
      </c>
      <c r="H307" s="121" t="s">
        <v>843</v>
      </c>
      <c r="I307" s="122"/>
      <c r="J307" s="123" t="s">
        <v>888</v>
      </c>
      <c r="K307" s="124">
        <v>2</v>
      </c>
      <c r="L307" s="117">
        <v>2</v>
      </c>
      <c r="M307" s="117">
        <v>1</v>
      </c>
      <c r="N307" s="116">
        <v>7</v>
      </c>
      <c r="O307" s="116">
        <v>4</v>
      </c>
      <c r="P307" s="116">
        <v>0</v>
      </c>
      <c r="Q307" s="116">
        <v>5</v>
      </c>
      <c r="R307" s="116">
        <v>1</v>
      </c>
      <c r="S307" s="116">
        <v>0</v>
      </c>
      <c r="T307" s="116">
        <v>0</v>
      </c>
      <c r="U307" s="116">
        <v>0</v>
      </c>
      <c r="V307" s="116">
        <v>0</v>
      </c>
      <c r="W307" s="116">
        <v>0</v>
      </c>
      <c r="X307" s="116">
        <v>0</v>
      </c>
      <c r="Y307" s="116">
        <v>0</v>
      </c>
      <c r="Z307" s="116">
        <v>0</v>
      </c>
      <c r="AA307" s="116">
        <v>0</v>
      </c>
      <c r="AB307" s="116">
        <v>0</v>
      </c>
      <c r="AC307" s="116">
        <v>0</v>
      </c>
      <c r="AD307" s="116">
        <v>0</v>
      </c>
      <c r="AE307" s="116">
        <v>0</v>
      </c>
      <c r="AF307" s="116">
        <v>11</v>
      </c>
      <c r="AG307" s="116">
        <v>4</v>
      </c>
      <c r="AH307" s="116">
        <v>0</v>
      </c>
      <c r="AI307" s="116">
        <v>1</v>
      </c>
      <c r="AJ307" s="117">
        <v>0</v>
      </c>
      <c r="AK307" s="117">
        <v>5</v>
      </c>
      <c r="AL307" s="117">
        <v>0</v>
      </c>
      <c r="AM307" s="117">
        <v>0</v>
      </c>
      <c r="AN307" s="117">
        <v>19</v>
      </c>
      <c r="AO307" s="117">
        <v>0</v>
      </c>
      <c r="AP307" s="117">
        <v>4</v>
      </c>
      <c r="AQ307" s="117">
        <v>20</v>
      </c>
    </row>
    <row r="308" spans="1:43" s="118" customFormat="1" ht="13.5" customHeight="1">
      <c r="A308" s="119">
        <v>316</v>
      </c>
      <c r="B308" s="76" t="s">
        <v>799</v>
      </c>
      <c r="C308" s="75" t="s">
        <v>882</v>
      </c>
      <c r="D308" s="77" t="s">
        <v>883</v>
      </c>
      <c r="E308" s="77" t="s">
        <v>950</v>
      </c>
      <c r="F308" s="120" t="s">
        <v>961</v>
      </c>
      <c r="G308" s="76" t="s">
        <v>800</v>
      </c>
      <c r="H308" s="121" t="s">
        <v>843</v>
      </c>
      <c r="I308" s="122"/>
      <c r="J308" s="123" t="s">
        <v>888</v>
      </c>
      <c r="K308" s="124">
        <v>2</v>
      </c>
      <c r="L308" s="117">
        <v>1</v>
      </c>
      <c r="M308" s="117">
        <v>1</v>
      </c>
      <c r="N308" s="116">
        <v>7</v>
      </c>
      <c r="O308" s="116">
        <v>2</v>
      </c>
      <c r="P308" s="116">
        <v>0</v>
      </c>
      <c r="Q308" s="116">
        <v>0</v>
      </c>
      <c r="R308" s="116">
        <v>2</v>
      </c>
      <c r="S308" s="116">
        <v>0</v>
      </c>
      <c r="T308" s="116">
        <v>2</v>
      </c>
      <c r="U308" s="116">
        <v>0</v>
      </c>
      <c r="V308" s="116">
        <v>0</v>
      </c>
      <c r="W308" s="116">
        <v>1</v>
      </c>
      <c r="X308" s="116">
        <v>1</v>
      </c>
      <c r="Y308" s="116">
        <v>0</v>
      </c>
      <c r="Z308" s="116">
        <v>3</v>
      </c>
      <c r="AA308" s="116">
        <v>2</v>
      </c>
      <c r="AB308" s="116">
        <v>0</v>
      </c>
      <c r="AC308" s="116">
        <v>0</v>
      </c>
      <c r="AD308" s="116">
        <v>0</v>
      </c>
      <c r="AE308" s="116">
        <v>0</v>
      </c>
      <c r="AF308" s="116">
        <v>0</v>
      </c>
      <c r="AG308" s="116">
        <v>0</v>
      </c>
      <c r="AH308" s="116">
        <v>0</v>
      </c>
      <c r="AI308" s="116">
        <v>1</v>
      </c>
      <c r="AJ308" s="117">
        <v>0</v>
      </c>
      <c r="AK308" s="117">
        <v>5</v>
      </c>
      <c r="AL308" s="117">
        <v>0</v>
      </c>
      <c r="AM308" s="117">
        <v>4</v>
      </c>
      <c r="AN308" s="117">
        <v>11</v>
      </c>
      <c r="AO308" s="117">
        <v>0</v>
      </c>
      <c r="AP308" s="117">
        <v>5</v>
      </c>
      <c r="AQ308" s="117">
        <v>15</v>
      </c>
    </row>
    <row r="309" spans="1:43" s="118" customFormat="1" ht="13.5" customHeight="1">
      <c r="A309" s="119">
        <v>317</v>
      </c>
      <c r="B309" s="76" t="s">
        <v>807</v>
      </c>
      <c r="C309" s="75" t="s">
        <v>882</v>
      </c>
      <c r="D309" s="77" t="s">
        <v>883</v>
      </c>
      <c r="E309" s="77" t="s">
        <v>950</v>
      </c>
      <c r="F309" s="120" t="s">
        <v>961</v>
      </c>
      <c r="G309" s="76" t="s">
        <v>808</v>
      </c>
      <c r="H309" s="121" t="s">
        <v>843</v>
      </c>
      <c r="I309" s="122"/>
      <c r="J309" s="123" t="s">
        <v>885</v>
      </c>
      <c r="K309" s="124">
        <v>2</v>
      </c>
      <c r="L309" s="117">
        <v>1</v>
      </c>
      <c r="M309" s="117">
        <v>1</v>
      </c>
      <c r="N309" s="116">
        <v>10</v>
      </c>
      <c r="O309" s="116">
        <v>3</v>
      </c>
      <c r="P309" s="116">
        <v>0</v>
      </c>
      <c r="Q309" s="116">
        <v>0</v>
      </c>
      <c r="R309" s="116">
        <v>0</v>
      </c>
      <c r="S309" s="116">
        <v>0</v>
      </c>
      <c r="T309" s="116">
        <v>0</v>
      </c>
      <c r="U309" s="116">
        <v>0</v>
      </c>
      <c r="V309" s="116">
        <v>0</v>
      </c>
      <c r="W309" s="116">
        <v>0</v>
      </c>
      <c r="X309" s="116">
        <v>0</v>
      </c>
      <c r="Y309" s="116">
        <v>0</v>
      </c>
      <c r="Z309" s="116">
        <v>9</v>
      </c>
      <c r="AA309" s="116">
        <v>3</v>
      </c>
      <c r="AB309" s="116">
        <v>0</v>
      </c>
      <c r="AC309" s="116">
        <v>0</v>
      </c>
      <c r="AD309" s="116">
        <v>0</v>
      </c>
      <c r="AE309" s="116">
        <v>0</v>
      </c>
      <c r="AF309" s="116">
        <v>0</v>
      </c>
      <c r="AG309" s="116">
        <v>0</v>
      </c>
      <c r="AH309" s="116">
        <v>0</v>
      </c>
      <c r="AI309" s="116">
        <v>1</v>
      </c>
      <c r="AJ309" s="117">
        <v>1</v>
      </c>
      <c r="AK309" s="117">
        <v>5</v>
      </c>
      <c r="AL309" s="117">
        <v>0</v>
      </c>
      <c r="AM309" s="117">
        <v>12</v>
      </c>
      <c r="AN309" s="117">
        <v>23</v>
      </c>
      <c r="AO309" s="117">
        <v>0</v>
      </c>
      <c r="AP309" s="117">
        <v>4</v>
      </c>
      <c r="AQ309" s="117">
        <v>37</v>
      </c>
    </row>
    <row r="310" spans="1:43" s="118" customFormat="1" ht="13.5" customHeight="1">
      <c r="A310" s="119">
        <v>318</v>
      </c>
      <c r="B310" s="76" t="s">
        <v>819</v>
      </c>
      <c r="C310" s="75" t="s">
        <v>882</v>
      </c>
      <c r="D310" s="77" t="s">
        <v>883</v>
      </c>
      <c r="E310" s="77" t="s">
        <v>950</v>
      </c>
      <c r="F310" s="120" t="s">
        <v>962</v>
      </c>
      <c r="G310" s="76" t="s">
        <v>820</v>
      </c>
      <c r="H310" s="121" t="s">
        <v>843</v>
      </c>
      <c r="I310" s="122"/>
      <c r="J310" s="123" t="s">
        <v>888</v>
      </c>
      <c r="K310" s="124">
        <v>2</v>
      </c>
      <c r="L310" s="117">
        <v>1</v>
      </c>
      <c r="M310" s="117">
        <v>1</v>
      </c>
      <c r="N310" s="116">
        <v>13</v>
      </c>
      <c r="O310" s="116">
        <v>15</v>
      </c>
      <c r="P310" s="116">
        <v>0</v>
      </c>
      <c r="Q310" s="116">
        <v>0</v>
      </c>
      <c r="R310" s="116">
        <v>0</v>
      </c>
      <c r="S310" s="116">
        <v>0</v>
      </c>
      <c r="T310" s="116">
        <v>0</v>
      </c>
      <c r="U310" s="116">
        <v>0</v>
      </c>
      <c r="V310" s="116">
        <v>0</v>
      </c>
      <c r="W310" s="116">
        <v>1</v>
      </c>
      <c r="X310" s="116">
        <v>1</v>
      </c>
      <c r="Y310" s="116">
        <v>0</v>
      </c>
      <c r="Z310" s="116">
        <v>11</v>
      </c>
      <c r="AA310" s="116">
        <v>13</v>
      </c>
      <c r="AB310" s="116">
        <v>0</v>
      </c>
      <c r="AC310" s="116">
        <v>0</v>
      </c>
      <c r="AD310" s="116">
        <v>0</v>
      </c>
      <c r="AE310" s="116">
        <v>0</v>
      </c>
      <c r="AF310" s="116">
        <v>0</v>
      </c>
      <c r="AG310" s="116">
        <v>0</v>
      </c>
      <c r="AH310" s="116">
        <v>0</v>
      </c>
      <c r="AI310" s="116">
        <v>1</v>
      </c>
      <c r="AJ310" s="117">
        <v>0</v>
      </c>
      <c r="AK310" s="117">
        <v>6</v>
      </c>
      <c r="AL310" s="117">
        <v>0</v>
      </c>
      <c r="AM310" s="117">
        <v>0</v>
      </c>
      <c r="AN310" s="117">
        <v>27</v>
      </c>
      <c r="AO310" s="117">
        <v>0</v>
      </c>
      <c r="AP310" s="117">
        <v>5</v>
      </c>
      <c r="AQ310" s="117">
        <v>28</v>
      </c>
    </row>
    <row r="311" spans="1:43" s="118" customFormat="1" ht="13.5" customHeight="1">
      <c r="A311" s="119">
        <v>319</v>
      </c>
      <c r="B311" s="76" t="s">
        <v>821</v>
      </c>
      <c r="C311" s="75" t="s">
        <v>882</v>
      </c>
      <c r="D311" s="77" t="s">
        <v>883</v>
      </c>
      <c r="E311" s="77" t="s">
        <v>950</v>
      </c>
      <c r="F311" s="120" t="s">
        <v>960</v>
      </c>
      <c r="G311" s="76" t="s">
        <v>822</v>
      </c>
      <c r="H311" s="121" t="s">
        <v>843</v>
      </c>
      <c r="I311" s="122"/>
      <c r="J311" s="123" t="s">
        <v>885</v>
      </c>
      <c r="K311" s="124">
        <v>2</v>
      </c>
      <c r="L311" s="117">
        <v>2</v>
      </c>
      <c r="M311" s="117">
        <v>1</v>
      </c>
      <c r="N311" s="116">
        <v>6</v>
      </c>
      <c r="O311" s="116">
        <v>2</v>
      </c>
      <c r="P311" s="116">
        <v>0</v>
      </c>
      <c r="Q311" s="116">
        <v>5</v>
      </c>
      <c r="R311" s="116">
        <v>1</v>
      </c>
      <c r="S311" s="116">
        <v>0</v>
      </c>
      <c r="T311" s="116">
        <v>1</v>
      </c>
      <c r="U311" s="116">
        <v>0</v>
      </c>
      <c r="V311" s="116">
        <v>0</v>
      </c>
      <c r="W311" s="116">
        <v>0</v>
      </c>
      <c r="X311" s="116">
        <v>0</v>
      </c>
      <c r="Y311" s="116">
        <v>0</v>
      </c>
      <c r="Z311" s="116">
        <v>0</v>
      </c>
      <c r="AA311" s="116">
        <v>0</v>
      </c>
      <c r="AB311" s="116">
        <v>0</v>
      </c>
      <c r="AC311" s="116">
        <v>9</v>
      </c>
      <c r="AD311" s="116">
        <v>2</v>
      </c>
      <c r="AE311" s="116">
        <v>0</v>
      </c>
      <c r="AF311" s="116">
        <v>0</v>
      </c>
      <c r="AG311" s="116">
        <v>0</v>
      </c>
      <c r="AH311" s="116">
        <v>0</v>
      </c>
      <c r="AI311" s="116">
        <v>1</v>
      </c>
      <c r="AJ311" s="117">
        <v>0</v>
      </c>
      <c r="AK311" s="117">
        <v>2</v>
      </c>
      <c r="AL311" s="117">
        <v>0</v>
      </c>
      <c r="AM311" s="117">
        <v>0</v>
      </c>
      <c r="AN311" s="117">
        <v>13</v>
      </c>
      <c r="AO311" s="117">
        <v>0</v>
      </c>
      <c r="AP311" s="117">
        <v>2</v>
      </c>
      <c r="AQ311" s="117">
        <v>13</v>
      </c>
    </row>
    <row r="312" spans="1:43" s="118" customFormat="1" ht="13.5" customHeight="1">
      <c r="A312" s="119">
        <v>320</v>
      </c>
      <c r="B312" s="76" t="s">
        <v>825</v>
      </c>
      <c r="C312" s="75" t="s">
        <v>882</v>
      </c>
      <c r="D312" s="77" t="s">
        <v>883</v>
      </c>
      <c r="E312" s="77" t="s">
        <v>950</v>
      </c>
      <c r="F312" s="120" t="s">
        <v>962</v>
      </c>
      <c r="G312" s="76" t="s">
        <v>826</v>
      </c>
      <c r="H312" s="121" t="s">
        <v>843</v>
      </c>
      <c r="I312" s="122" t="s">
        <v>842</v>
      </c>
      <c r="J312" s="123" t="s">
        <v>888</v>
      </c>
      <c r="K312" s="124">
        <v>2</v>
      </c>
      <c r="L312" s="117">
        <v>1</v>
      </c>
      <c r="M312" s="117">
        <v>1</v>
      </c>
      <c r="N312" s="116">
        <v>13</v>
      </c>
      <c r="O312" s="116">
        <v>11</v>
      </c>
      <c r="P312" s="116">
        <v>1</v>
      </c>
      <c r="Q312" s="116">
        <v>1</v>
      </c>
      <c r="R312" s="116">
        <v>1</v>
      </c>
      <c r="S312" s="116">
        <v>0</v>
      </c>
      <c r="T312" s="116">
        <v>1</v>
      </c>
      <c r="U312" s="116">
        <v>2</v>
      </c>
      <c r="V312" s="116">
        <v>0</v>
      </c>
      <c r="W312" s="116">
        <v>2</v>
      </c>
      <c r="X312" s="116">
        <v>4</v>
      </c>
      <c r="Y312" s="116">
        <v>0</v>
      </c>
      <c r="Z312" s="116">
        <v>0</v>
      </c>
      <c r="AA312" s="116">
        <v>0</v>
      </c>
      <c r="AB312" s="116">
        <v>0</v>
      </c>
      <c r="AC312" s="116">
        <v>9</v>
      </c>
      <c r="AD312" s="116">
        <v>6</v>
      </c>
      <c r="AE312" s="116">
        <v>3</v>
      </c>
      <c r="AF312" s="116">
        <v>0</v>
      </c>
      <c r="AG312" s="116">
        <v>0</v>
      </c>
      <c r="AH312" s="116">
        <v>0</v>
      </c>
      <c r="AI312" s="116">
        <v>1</v>
      </c>
      <c r="AJ312" s="117">
        <v>0</v>
      </c>
      <c r="AK312" s="117">
        <v>28</v>
      </c>
      <c r="AL312" s="117">
        <v>0</v>
      </c>
      <c r="AM312" s="117">
        <v>0</v>
      </c>
      <c r="AN312" s="117">
        <v>94</v>
      </c>
      <c r="AO312" s="117">
        <v>0</v>
      </c>
      <c r="AP312" s="117">
        <v>28</v>
      </c>
      <c r="AQ312" s="117">
        <v>95</v>
      </c>
    </row>
    <row r="313" spans="1:43" s="118" customFormat="1" ht="13.5" customHeight="1">
      <c r="A313" s="119">
        <v>321</v>
      </c>
      <c r="B313" s="76" t="s">
        <v>827</v>
      </c>
      <c r="C313" s="75" t="s">
        <v>882</v>
      </c>
      <c r="D313" s="77" t="s">
        <v>883</v>
      </c>
      <c r="E313" s="77" t="s">
        <v>950</v>
      </c>
      <c r="F313" s="120" t="s">
        <v>962</v>
      </c>
      <c r="G313" s="76" t="s">
        <v>828</v>
      </c>
      <c r="H313" s="121" t="s">
        <v>843</v>
      </c>
      <c r="I313" s="122" t="s">
        <v>842</v>
      </c>
      <c r="J313" s="123" t="s">
        <v>888</v>
      </c>
      <c r="K313" s="124">
        <v>2</v>
      </c>
      <c r="L313" s="117">
        <v>3</v>
      </c>
      <c r="M313" s="117">
        <v>1</v>
      </c>
      <c r="N313" s="116">
        <v>11</v>
      </c>
      <c r="O313" s="116">
        <v>3</v>
      </c>
      <c r="P313" s="116">
        <v>0</v>
      </c>
      <c r="Q313" s="116">
        <v>4</v>
      </c>
      <c r="R313" s="116">
        <v>0</v>
      </c>
      <c r="S313" s="116">
        <v>0</v>
      </c>
      <c r="T313" s="116">
        <v>0</v>
      </c>
      <c r="U313" s="116">
        <v>0</v>
      </c>
      <c r="V313" s="116">
        <v>0</v>
      </c>
      <c r="W313" s="116">
        <v>0</v>
      </c>
      <c r="X313" s="116">
        <v>1</v>
      </c>
      <c r="Y313" s="116">
        <v>0</v>
      </c>
      <c r="Z313" s="116">
        <v>0</v>
      </c>
      <c r="AA313" s="116">
        <v>0</v>
      </c>
      <c r="AB313" s="116">
        <v>0</v>
      </c>
      <c r="AC313" s="116">
        <v>14</v>
      </c>
      <c r="AD313" s="116">
        <v>2</v>
      </c>
      <c r="AE313" s="116">
        <v>0</v>
      </c>
      <c r="AF313" s="116">
        <v>0</v>
      </c>
      <c r="AG313" s="116">
        <v>0</v>
      </c>
      <c r="AH313" s="116">
        <v>0</v>
      </c>
      <c r="AI313" s="116">
        <v>1</v>
      </c>
      <c r="AJ313" s="117">
        <v>0</v>
      </c>
      <c r="AK313" s="117">
        <v>10</v>
      </c>
      <c r="AL313" s="117">
        <v>0</v>
      </c>
      <c r="AM313" s="117">
        <v>0</v>
      </c>
      <c r="AN313" s="117">
        <v>57</v>
      </c>
      <c r="AO313" s="117">
        <v>0</v>
      </c>
      <c r="AP313" s="117">
        <v>9</v>
      </c>
      <c r="AQ313" s="117">
        <v>52</v>
      </c>
    </row>
    <row r="314" spans="1:43" s="118" customFormat="1" ht="13.5" customHeight="1">
      <c r="A314" s="119">
        <v>322</v>
      </c>
      <c r="B314" s="76" t="s">
        <v>829</v>
      </c>
      <c r="C314" s="75" t="s">
        <v>882</v>
      </c>
      <c r="D314" s="77" t="s">
        <v>883</v>
      </c>
      <c r="E314" s="77" t="s">
        <v>950</v>
      </c>
      <c r="F314" s="120" t="s">
        <v>960</v>
      </c>
      <c r="G314" s="76" t="s">
        <v>830</v>
      </c>
      <c r="H314" s="121" t="s">
        <v>843</v>
      </c>
      <c r="I314" s="122" t="s">
        <v>842</v>
      </c>
      <c r="J314" s="123" t="s">
        <v>888</v>
      </c>
      <c r="K314" s="124">
        <v>2</v>
      </c>
      <c r="L314" s="117">
        <v>1</v>
      </c>
      <c r="M314" s="117">
        <v>1</v>
      </c>
      <c r="N314" s="116">
        <v>11</v>
      </c>
      <c r="O314" s="116">
        <v>3</v>
      </c>
      <c r="P314" s="116">
        <v>0</v>
      </c>
      <c r="Q314" s="116">
        <v>4</v>
      </c>
      <c r="R314" s="116">
        <v>0</v>
      </c>
      <c r="S314" s="116">
        <v>0</v>
      </c>
      <c r="T314" s="116">
        <v>1</v>
      </c>
      <c r="U314" s="116">
        <v>0</v>
      </c>
      <c r="V314" s="116">
        <v>0</v>
      </c>
      <c r="W314" s="116">
        <v>1</v>
      </c>
      <c r="X314" s="116">
        <v>0</v>
      </c>
      <c r="Y314" s="116">
        <v>0</v>
      </c>
      <c r="Z314" s="116">
        <v>13</v>
      </c>
      <c r="AA314" s="116">
        <v>3</v>
      </c>
      <c r="AB314" s="116">
        <v>0</v>
      </c>
      <c r="AC314" s="116">
        <v>0</v>
      </c>
      <c r="AD314" s="116">
        <v>0</v>
      </c>
      <c r="AE314" s="116">
        <v>0</v>
      </c>
      <c r="AF314" s="116">
        <v>0</v>
      </c>
      <c r="AG314" s="116">
        <v>0</v>
      </c>
      <c r="AH314" s="116">
        <v>0</v>
      </c>
      <c r="AI314" s="116">
        <v>1</v>
      </c>
      <c r="AJ314" s="117">
        <v>0</v>
      </c>
      <c r="AK314" s="117">
        <v>9</v>
      </c>
      <c r="AL314" s="117">
        <v>0</v>
      </c>
      <c r="AM314" s="117">
        <v>4</v>
      </c>
      <c r="AN314" s="117">
        <v>47</v>
      </c>
      <c r="AO314" s="117">
        <v>0</v>
      </c>
      <c r="AP314" s="117">
        <v>6</v>
      </c>
      <c r="AQ314" s="117">
        <v>51</v>
      </c>
    </row>
    <row r="315" spans="1:43" s="118" customFormat="1" ht="13.5" customHeight="1">
      <c r="A315" s="119">
        <v>323</v>
      </c>
      <c r="B315" s="76" t="s">
        <v>75</v>
      </c>
      <c r="C315" s="75" t="s">
        <v>882</v>
      </c>
      <c r="D315" s="77" t="s">
        <v>883</v>
      </c>
      <c r="E315" s="77" t="s">
        <v>950</v>
      </c>
      <c r="F315" s="120" t="s">
        <v>962</v>
      </c>
      <c r="G315" s="76" t="s">
        <v>76</v>
      </c>
      <c r="H315" s="121" t="s">
        <v>843</v>
      </c>
      <c r="I315" s="122" t="s">
        <v>842</v>
      </c>
      <c r="J315" s="123" t="s">
        <v>888</v>
      </c>
      <c r="K315" s="124">
        <v>2</v>
      </c>
      <c r="L315" s="117">
        <v>1</v>
      </c>
      <c r="M315" s="117">
        <v>1</v>
      </c>
      <c r="N315" s="116">
        <v>16</v>
      </c>
      <c r="O315" s="116">
        <v>9</v>
      </c>
      <c r="P315" s="116">
        <v>0</v>
      </c>
      <c r="Q315" s="116">
        <v>0</v>
      </c>
      <c r="R315" s="116">
        <v>0</v>
      </c>
      <c r="S315" s="116">
        <v>0</v>
      </c>
      <c r="T315" s="116">
        <v>1</v>
      </c>
      <c r="U315" s="116">
        <v>0</v>
      </c>
      <c r="V315" s="116">
        <v>0</v>
      </c>
      <c r="W315" s="116">
        <v>1</v>
      </c>
      <c r="X315" s="116">
        <v>2</v>
      </c>
      <c r="Y315" s="116">
        <v>0</v>
      </c>
      <c r="Z315" s="116">
        <v>0</v>
      </c>
      <c r="AA315" s="116">
        <v>0</v>
      </c>
      <c r="AB315" s="116">
        <v>0</v>
      </c>
      <c r="AC315" s="116">
        <v>13</v>
      </c>
      <c r="AD315" s="116">
        <v>6</v>
      </c>
      <c r="AE315" s="116">
        <v>0</v>
      </c>
      <c r="AF315" s="116">
        <v>0</v>
      </c>
      <c r="AG315" s="116">
        <v>0</v>
      </c>
      <c r="AH315" s="116">
        <v>0</v>
      </c>
      <c r="AI315" s="116">
        <v>1</v>
      </c>
      <c r="AJ315" s="117">
        <v>0</v>
      </c>
      <c r="AK315" s="117">
        <v>12</v>
      </c>
      <c r="AL315" s="117">
        <v>0</v>
      </c>
      <c r="AM315" s="117">
        <v>0</v>
      </c>
      <c r="AN315" s="117">
        <v>60</v>
      </c>
      <c r="AO315" s="117">
        <v>0</v>
      </c>
      <c r="AP315" s="117">
        <v>12</v>
      </c>
      <c r="AQ315" s="117">
        <v>60</v>
      </c>
    </row>
    <row r="316" spans="1:43" s="118" customFormat="1" ht="13.5" customHeight="1">
      <c r="A316" s="125">
        <v>324</v>
      </c>
      <c r="B316" s="78" t="s">
        <v>833</v>
      </c>
      <c r="C316" s="126" t="s">
        <v>882</v>
      </c>
      <c r="D316" s="79" t="s">
        <v>883</v>
      </c>
      <c r="E316" s="79" t="s">
        <v>950</v>
      </c>
      <c r="F316" s="127" t="s">
        <v>960</v>
      </c>
      <c r="G316" s="78" t="s">
        <v>834</v>
      </c>
      <c r="H316" s="128" t="s">
        <v>843</v>
      </c>
      <c r="I316" s="129"/>
      <c r="J316" s="123" t="s">
        <v>888</v>
      </c>
      <c r="K316" s="124">
        <v>2</v>
      </c>
      <c r="L316" s="117">
        <v>0</v>
      </c>
      <c r="M316" s="117">
        <v>0</v>
      </c>
      <c r="N316" s="116">
        <v>10</v>
      </c>
      <c r="O316" s="116">
        <v>3</v>
      </c>
      <c r="P316" s="116">
        <v>1</v>
      </c>
      <c r="Q316" s="116">
        <v>2</v>
      </c>
      <c r="R316" s="116">
        <v>1</v>
      </c>
      <c r="S316" s="116">
        <v>0</v>
      </c>
      <c r="T316" s="116">
        <v>0</v>
      </c>
      <c r="U316" s="116">
        <v>0</v>
      </c>
      <c r="V316" s="116">
        <v>0</v>
      </c>
      <c r="W316" s="116">
        <v>0</v>
      </c>
      <c r="X316" s="116">
        <v>0</v>
      </c>
      <c r="Y316" s="116">
        <v>0</v>
      </c>
      <c r="Z316" s="116">
        <v>8</v>
      </c>
      <c r="AA316" s="116">
        <v>3</v>
      </c>
      <c r="AB316" s="116">
        <v>6</v>
      </c>
      <c r="AC316" s="116">
        <v>0</v>
      </c>
      <c r="AD316" s="116">
        <v>0</v>
      </c>
      <c r="AE316" s="116">
        <v>0</v>
      </c>
      <c r="AF316" s="116">
        <v>0</v>
      </c>
      <c r="AG316" s="116">
        <v>0</v>
      </c>
      <c r="AH316" s="116">
        <v>0</v>
      </c>
      <c r="AI316" s="116">
        <v>1</v>
      </c>
      <c r="AJ316" s="117">
        <v>0</v>
      </c>
      <c r="AK316" s="117">
        <v>5</v>
      </c>
      <c r="AL316" s="117">
        <v>0</v>
      </c>
      <c r="AM316" s="117">
        <v>0</v>
      </c>
      <c r="AN316" s="117">
        <v>27</v>
      </c>
      <c r="AO316" s="117">
        <v>0</v>
      </c>
      <c r="AP316" s="117">
        <v>4</v>
      </c>
      <c r="AQ316" s="117">
        <v>28</v>
      </c>
    </row>
    <row r="317" spans="1:43" s="118" customFormat="1" ht="13.5" customHeight="1">
      <c r="A317" s="130">
        <v>325</v>
      </c>
      <c r="B317" s="80" t="s">
        <v>578</v>
      </c>
      <c r="C317" s="131" t="s">
        <v>882</v>
      </c>
      <c r="D317" s="81" t="s">
        <v>883</v>
      </c>
      <c r="E317" s="81" t="s">
        <v>923</v>
      </c>
      <c r="F317" s="132" t="s">
        <v>961</v>
      </c>
      <c r="G317" s="82" t="s">
        <v>579</v>
      </c>
      <c r="H317" s="133"/>
      <c r="I317" s="134"/>
      <c r="J317" s="123" t="s">
        <v>888</v>
      </c>
      <c r="K317" s="124">
        <v>2</v>
      </c>
      <c r="L317" s="117">
        <v>9</v>
      </c>
      <c r="M317" s="117">
        <v>5</v>
      </c>
      <c r="N317" s="116">
        <v>13</v>
      </c>
      <c r="O317" s="116">
        <v>7</v>
      </c>
      <c r="P317" s="116">
        <v>0</v>
      </c>
      <c r="Q317" s="116">
        <v>0</v>
      </c>
      <c r="R317" s="116">
        <v>0</v>
      </c>
      <c r="S317" s="116">
        <v>0</v>
      </c>
      <c r="T317" s="116">
        <v>1</v>
      </c>
      <c r="U317" s="116">
        <v>1</v>
      </c>
      <c r="V317" s="116">
        <v>0</v>
      </c>
      <c r="W317" s="116">
        <v>8</v>
      </c>
      <c r="X317" s="116">
        <v>4</v>
      </c>
      <c r="Y317" s="116">
        <v>0</v>
      </c>
      <c r="Z317" s="116">
        <v>3</v>
      </c>
      <c r="AA317" s="116">
        <v>1</v>
      </c>
      <c r="AB317" s="116">
        <v>0</v>
      </c>
      <c r="AC317" s="116">
        <v>0</v>
      </c>
      <c r="AD317" s="116">
        <v>0</v>
      </c>
      <c r="AE317" s="116">
        <v>0</v>
      </c>
      <c r="AF317" s="116">
        <v>0</v>
      </c>
      <c r="AG317" s="116">
        <v>0</v>
      </c>
      <c r="AH317" s="116">
        <v>0</v>
      </c>
      <c r="AI317" s="116">
        <v>1</v>
      </c>
      <c r="AJ317" s="117">
        <v>0</v>
      </c>
      <c r="AK317" s="117">
        <v>6</v>
      </c>
      <c r="AL317" s="117">
        <v>0</v>
      </c>
      <c r="AM317" s="117">
        <v>0</v>
      </c>
      <c r="AN317" s="117">
        <v>33</v>
      </c>
      <c r="AO317" s="117">
        <v>0</v>
      </c>
      <c r="AP317" s="117">
        <v>3</v>
      </c>
      <c r="AQ317" s="117">
        <v>33</v>
      </c>
    </row>
    <row r="318" spans="1:43" ht="15" customHeight="1">
      <c r="AF318">
        <f>SUBTOTAL(102,AF3:AF307)</f>
        <v>305</v>
      </c>
    </row>
    <row r="321" spans="13:37" ht="15" customHeight="1">
      <c r="AK321" s="51"/>
    </row>
    <row r="323" spans="13:37" ht="15" customHeight="1">
      <c r="N323" s="51"/>
      <c r="P323" s="51"/>
      <c r="Q323" s="51"/>
    </row>
    <row r="326" spans="13:37" ht="15" customHeight="1">
      <c r="M326" s="51"/>
    </row>
    <row r="329" spans="13:37" ht="15" customHeight="1">
      <c r="N329" s="51"/>
    </row>
  </sheetData>
  <autoFilter ref="A2:AQ317" xr:uid="{00000000-0009-0000-0000-000003000000}"/>
  <mergeCells count="8">
    <mergeCell ref="L1:M1"/>
    <mergeCell ref="N1:P1"/>
    <mergeCell ref="Q1:S1"/>
    <mergeCell ref="Z1:AB1"/>
    <mergeCell ref="AF1:AH1"/>
    <mergeCell ref="AC1:AE1"/>
    <mergeCell ref="T1:V1"/>
    <mergeCell ref="W1:Y1"/>
  </mergeCells>
  <phoneticPr fontId="3" type="noConversion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318"/>
  <sheetViews>
    <sheetView topLeftCell="I1" workbookViewId="0">
      <selection activeCell="W25" sqref="W25"/>
    </sheetView>
  </sheetViews>
  <sheetFormatPr defaultRowHeight="16.5"/>
  <cols>
    <col min="1" max="1" width="14.375" style="52" customWidth="1"/>
    <col min="2" max="2" width="30.375" style="53" customWidth="1"/>
    <col min="3" max="3" width="7.25" style="52" customWidth="1"/>
  </cols>
  <sheetData>
    <row r="1" spans="1:23">
      <c r="D1">
        <f t="shared" ref="D1:W1" si="0">SUBTOTAL(9,D4:D318)</f>
        <v>264</v>
      </c>
      <c r="E1">
        <f t="shared" si="0"/>
        <v>415</v>
      </c>
      <c r="F1">
        <f t="shared" si="0"/>
        <v>3003</v>
      </c>
      <c r="G1">
        <f t="shared" si="0"/>
        <v>921</v>
      </c>
      <c r="H1">
        <f t="shared" si="0"/>
        <v>765</v>
      </c>
      <c r="I1">
        <f t="shared" si="0"/>
        <v>163</v>
      </c>
      <c r="J1">
        <f t="shared" si="0"/>
        <v>96</v>
      </c>
      <c r="K1">
        <f t="shared" si="0"/>
        <v>5</v>
      </c>
      <c r="L1">
        <f t="shared" si="0"/>
        <v>257</v>
      </c>
      <c r="M1">
        <f t="shared" si="0"/>
        <v>132</v>
      </c>
      <c r="N1">
        <f t="shared" si="0"/>
        <v>26</v>
      </c>
      <c r="O1">
        <f t="shared" si="0"/>
        <v>2145</v>
      </c>
      <c r="P1">
        <f t="shared" si="0"/>
        <v>712</v>
      </c>
      <c r="Q1">
        <f t="shared" si="0"/>
        <v>146</v>
      </c>
      <c r="R1">
        <f t="shared" si="0"/>
        <v>636</v>
      </c>
      <c r="S1">
        <f t="shared" si="0"/>
        <v>240</v>
      </c>
      <c r="T1">
        <f t="shared" si="0"/>
        <v>45</v>
      </c>
      <c r="U1">
        <f t="shared" si="0"/>
        <v>548</v>
      </c>
      <c r="V1">
        <f t="shared" si="0"/>
        <v>193</v>
      </c>
      <c r="W1">
        <f t="shared" si="0"/>
        <v>24</v>
      </c>
    </row>
    <row r="2" spans="1:23">
      <c r="A2" s="54" t="s">
        <v>964</v>
      </c>
      <c r="B2" s="55" t="s">
        <v>965</v>
      </c>
      <c r="C2" s="55" t="s">
        <v>966</v>
      </c>
      <c r="D2" s="56" t="s">
        <v>967</v>
      </c>
      <c r="E2" s="56" t="s">
        <v>968</v>
      </c>
      <c r="F2" s="56" t="s">
        <v>969</v>
      </c>
      <c r="G2" s="56" t="s">
        <v>970</v>
      </c>
      <c r="H2" s="56" t="s">
        <v>971</v>
      </c>
      <c r="I2" s="56" t="s">
        <v>967</v>
      </c>
      <c r="J2" s="56" t="s">
        <v>967</v>
      </c>
      <c r="K2" s="56" t="s">
        <v>967</v>
      </c>
      <c r="L2" s="56" t="s">
        <v>968</v>
      </c>
      <c r="M2" s="56" t="s">
        <v>968</v>
      </c>
      <c r="N2" s="56" t="s">
        <v>968</v>
      </c>
      <c r="O2" s="56" t="s">
        <v>969</v>
      </c>
      <c r="P2" s="56" t="s">
        <v>969</v>
      </c>
      <c r="Q2" s="56" t="s">
        <v>969</v>
      </c>
      <c r="R2" s="56" t="s">
        <v>970</v>
      </c>
      <c r="S2" s="56" t="s">
        <v>970</v>
      </c>
      <c r="T2" s="56" t="s">
        <v>970</v>
      </c>
      <c r="U2" s="56" t="s">
        <v>971</v>
      </c>
      <c r="V2" s="56" t="s">
        <v>971</v>
      </c>
      <c r="W2" s="56" t="s">
        <v>971</v>
      </c>
    </row>
    <row r="3" spans="1:23">
      <c r="A3" s="54"/>
      <c r="B3" s="55"/>
      <c r="C3" s="55"/>
      <c r="D3" s="56" t="s">
        <v>848</v>
      </c>
      <c r="E3" s="56" t="s">
        <v>848</v>
      </c>
      <c r="F3" s="56" t="s">
        <v>848</v>
      </c>
      <c r="G3" s="56" t="s">
        <v>848</v>
      </c>
      <c r="H3" s="56" t="s">
        <v>848</v>
      </c>
      <c r="I3" s="56" t="s">
        <v>877</v>
      </c>
      <c r="J3" s="56" t="s">
        <v>878</v>
      </c>
      <c r="K3" s="56" t="s">
        <v>879</v>
      </c>
      <c r="L3" s="56" t="s">
        <v>877</v>
      </c>
      <c r="M3" s="56" t="s">
        <v>878</v>
      </c>
      <c r="N3" s="56" t="s">
        <v>879</v>
      </c>
      <c r="O3" s="56" t="s">
        <v>877</v>
      </c>
      <c r="P3" s="56" t="s">
        <v>878</v>
      </c>
      <c r="Q3" s="56" t="s">
        <v>879</v>
      </c>
      <c r="R3" s="56" t="s">
        <v>877</v>
      </c>
      <c r="S3" s="56" t="s">
        <v>878</v>
      </c>
      <c r="T3" s="56" t="s">
        <v>879</v>
      </c>
      <c r="U3" s="56" t="s">
        <v>877</v>
      </c>
      <c r="V3" s="56" t="s">
        <v>878</v>
      </c>
      <c r="W3" s="56" t="s">
        <v>879</v>
      </c>
    </row>
    <row r="4" spans="1:23">
      <c r="A4" s="74" t="s">
        <v>280</v>
      </c>
      <c r="B4" s="74" t="s">
        <v>281</v>
      </c>
      <c r="C4" s="75" t="s">
        <v>884</v>
      </c>
      <c r="D4" s="57">
        <f t="shared" ref="D4:D67" si="1">SUM(I4:K4)</f>
        <v>0</v>
      </c>
      <c r="E4" s="57">
        <f t="shared" ref="E4:E67" si="2">SUM(L4:N4)</f>
        <v>3</v>
      </c>
      <c r="F4" s="57">
        <f t="shared" ref="F4:F67" si="3">SUM(O4:Q4)</f>
        <v>10</v>
      </c>
      <c r="G4" s="57">
        <f t="shared" ref="G4:G67" si="4">SUM(R4:T4)</f>
        <v>0</v>
      </c>
      <c r="H4" s="57">
        <f t="shared" ref="H4:H67" si="5">SUM(U4:W4)</f>
        <v>0</v>
      </c>
      <c r="I4" s="116">
        <v>0</v>
      </c>
      <c r="J4" s="116">
        <v>0</v>
      </c>
      <c r="K4" s="116">
        <v>0</v>
      </c>
      <c r="L4" s="116">
        <v>2</v>
      </c>
      <c r="M4" s="116">
        <v>1</v>
      </c>
      <c r="N4" s="116">
        <v>0</v>
      </c>
      <c r="O4" s="116">
        <v>4</v>
      </c>
      <c r="P4" s="116">
        <v>1</v>
      </c>
      <c r="Q4" s="116">
        <v>5</v>
      </c>
      <c r="R4" s="116">
        <v>0</v>
      </c>
      <c r="S4" s="116">
        <v>0</v>
      </c>
      <c r="T4" s="116">
        <v>0</v>
      </c>
      <c r="U4" s="116">
        <v>0</v>
      </c>
      <c r="V4" s="116">
        <v>0</v>
      </c>
      <c r="W4" s="116">
        <v>0</v>
      </c>
    </row>
    <row r="5" spans="1:23">
      <c r="A5" s="76" t="s">
        <v>631</v>
      </c>
      <c r="B5" s="76" t="s">
        <v>632</v>
      </c>
      <c r="C5" s="77" t="s">
        <v>884</v>
      </c>
      <c r="D5" s="57">
        <f t="shared" si="1"/>
        <v>0</v>
      </c>
      <c r="E5" s="57">
        <f t="shared" si="2"/>
        <v>0</v>
      </c>
      <c r="F5" s="57">
        <f t="shared" si="3"/>
        <v>0</v>
      </c>
      <c r="G5" s="57">
        <f t="shared" si="4"/>
        <v>0</v>
      </c>
      <c r="H5" s="57">
        <f t="shared" si="5"/>
        <v>17</v>
      </c>
      <c r="I5" s="116">
        <v>0</v>
      </c>
      <c r="J5" s="116">
        <v>0</v>
      </c>
      <c r="K5" s="116">
        <v>0</v>
      </c>
      <c r="L5" s="116">
        <v>0</v>
      </c>
      <c r="M5" s="116">
        <v>0</v>
      </c>
      <c r="N5" s="116">
        <v>0</v>
      </c>
      <c r="O5" s="116">
        <v>0</v>
      </c>
      <c r="P5" s="116">
        <v>0</v>
      </c>
      <c r="Q5" s="116">
        <v>0</v>
      </c>
      <c r="R5" s="116">
        <v>0</v>
      </c>
      <c r="S5" s="116">
        <v>0</v>
      </c>
      <c r="T5" s="116">
        <v>0</v>
      </c>
      <c r="U5" s="116">
        <v>15</v>
      </c>
      <c r="V5" s="116">
        <v>2</v>
      </c>
      <c r="W5" s="116">
        <v>0</v>
      </c>
    </row>
    <row r="6" spans="1:23">
      <c r="A6" s="76" t="s">
        <v>151</v>
      </c>
      <c r="B6" s="76" t="s">
        <v>152</v>
      </c>
      <c r="C6" s="77" t="s">
        <v>884</v>
      </c>
      <c r="D6" s="57">
        <f t="shared" si="1"/>
        <v>0</v>
      </c>
      <c r="E6" s="57">
        <f t="shared" si="2"/>
        <v>3</v>
      </c>
      <c r="F6" s="57">
        <f t="shared" si="3"/>
        <v>24</v>
      </c>
      <c r="G6" s="57">
        <f t="shared" si="4"/>
        <v>0</v>
      </c>
      <c r="H6" s="57">
        <f t="shared" si="5"/>
        <v>0</v>
      </c>
      <c r="I6" s="116">
        <v>0</v>
      </c>
      <c r="J6" s="116">
        <v>0</v>
      </c>
      <c r="K6" s="116">
        <v>0</v>
      </c>
      <c r="L6" s="116">
        <v>2</v>
      </c>
      <c r="M6" s="116">
        <v>1</v>
      </c>
      <c r="N6" s="116">
        <v>0</v>
      </c>
      <c r="O6" s="116">
        <v>20</v>
      </c>
      <c r="P6" s="116">
        <v>4</v>
      </c>
      <c r="Q6" s="116">
        <v>0</v>
      </c>
      <c r="R6" s="116">
        <v>0</v>
      </c>
      <c r="S6" s="116">
        <v>0</v>
      </c>
      <c r="T6" s="116">
        <v>0</v>
      </c>
      <c r="U6" s="116">
        <v>0</v>
      </c>
      <c r="V6" s="116">
        <v>0</v>
      </c>
      <c r="W6" s="116">
        <v>0</v>
      </c>
    </row>
    <row r="7" spans="1:23">
      <c r="A7" s="76" t="s">
        <v>633</v>
      </c>
      <c r="B7" s="76" t="s">
        <v>634</v>
      </c>
      <c r="C7" s="77" t="s">
        <v>884</v>
      </c>
      <c r="D7" s="57">
        <f t="shared" si="1"/>
        <v>0</v>
      </c>
      <c r="E7" s="57">
        <f t="shared" si="2"/>
        <v>0</v>
      </c>
      <c r="F7" s="57">
        <f t="shared" si="3"/>
        <v>0</v>
      </c>
      <c r="G7" s="57">
        <f t="shared" si="4"/>
        <v>15</v>
      </c>
      <c r="H7" s="57">
        <f t="shared" si="5"/>
        <v>0</v>
      </c>
      <c r="I7" s="116">
        <v>0</v>
      </c>
      <c r="J7" s="116">
        <v>0</v>
      </c>
      <c r="K7" s="116">
        <v>0</v>
      </c>
      <c r="L7" s="116">
        <v>0</v>
      </c>
      <c r="M7" s="116">
        <v>0</v>
      </c>
      <c r="N7" s="116">
        <v>0</v>
      </c>
      <c r="O7" s="116">
        <v>0</v>
      </c>
      <c r="P7" s="116">
        <v>0</v>
      </c>
      <c r="Q7" s="116">
        <v>0</v>
      </c>
      <c r="R7" s="116">
        <v>13</v>
      </c>
      <c r="S7" s="116">
        <v>2</v>
      </c>
      <c r="T7" s="116">
        <v>0</v>
      </c>
      <c r="U7" s="116">
        <v>0</v>
      </c>
      <c r="V7" s="116">
        <v>0</v>
      </c>
      <c r="W7" s="116">
        <v>0</v>
      </c>
    </row>
    <row r="8" spans="1:23">
      <c r="A8" s="76" t="s">
        <v>635</v>
      </c>
      <c r="B8" s="76" t="s">
        <v>636</v>
      </c>
      <c r="C8" s="77" t="s">
        <v>884</v>
      </c>
      <c r="D8" s="57">
        <f t="shared" si="1"/>
        <v>2</v>
      </c>
      <c r="E8" s="57">
        <f t="shared" si="2"/>
        <v>0</v>
      </c>
      <c r="F8" s="57">
        <f t="shared" si="3"/>
        <v>10</v>
      </c>
      <c r="G8" s="57">
        <f t="shared" si="4"/>
        <v>0</v>
      </c>
      <c r="H8" s="57">
        <f t="shared" si="5"/>
        <v>0</v>
      </c>
      <c r="I8" s="116">
        <v>1</v>
      </c>
      <c r="J8" s="116">
        <v>1</v>
      </c>
      <c r="K8" s="116">
        <v>0</v>
      </c>
      <c r="L8" s="116">
        <v>0</v>
      </c>
      <c r="M8" s="116">
        <v>0</v>
      </c>
      <c r="N8" s="116">
        <v>0</v>
      </c>
      <c r="O8" s="116">
        <v>8</v>
      </c>
      <c r="P8" s="116">
        <v>2</v>
      </c>
      <c r="Q8" s="116">
        <v>0</v>
      </c>
      <c r="R8" s="116">
        <v>0</v>
      </c>
      <c r="S8" s="116">
        <v>0</v>
      </c>
      <c r="T8" s="116">
        <v>0</v>
      </c>
      <c r="U8" s="116">
        <v>0</v>
      </c>
      <c r="V8" s="116">
        <v>0</v>
      </c>
      <c r="W8" s="116">
        <v>0</v>
      </c>
    </row>
    <row r="9" spans="1:23">
      <c r="A9" s="76" t="s">
        <v>208</v>
      </c>
      <c r="B9" s="76" t="s">
        <v>209</v>
      </c>
      <c r="C9" s="77" t="s">
        <v>884</v>
      </c>
      <c r="D9" s="57">
        <f t="shared" si="1"/>
        <v>0</v>
      </c>
      <c r="E9" s="57">
        <f t="shared" si="2"/>
        <v>2</v>
      </c>
      <c r="F9" s="57">
        <f t="shared" si="3"/>
        <v>0</v>
      </c>
      <c r="G9" s="57">
        <f t="shared" si="4"/>
        <v>15</v>
      </c>
      <c r="H9" s="57">
        <f t="shared" si="5"/>
        <v>0</v>
      </c>
      <c r="I9" s="116">
        <v>0</v>
      </c>
      <c r="J9" s="116">
        <v>0</v>
      </c>
      <c r="K9" s="116">
        <v>0</v>
      </c>
      <c r="L9" s="116">
        <v>1</v>
      </c>
      <c r="M9" s="116">
        <v>1</v>
      </c>
      <c r="N9" s="116">
        <v>0</v>
      </c>
      <c r="O9" s="116">
        <v>0</v>
      </c>
      <c r="P9" s="116">
        <v>0</v>
      </c>
      <c r="Q9" s="116">
        <v>0</v>
      </c>
      <c r="R9" s="116">
        <v>13</v>
      </c>
      <c r="S9" s="116">
        <v>2</v>
      </c>
      <c r="T9" s="116">
        <v>0</v>
      </c>
      <c r="U9" s="116">
        <v>0</v>
      </c>
      <c r="V9" s="116">
        <v>0</v>
      </c>
      <c r="W9" s="116">
        <v>0</v>
      </c>
    </row>
    <row r="10" spans="1:23">
      <c r="A10" s="76" t="s">
        <v>214</v>
      </c>
      <c r="B10" s="76" t="s">
        <v>215</v>
      </c>
      <c r="C10" s="77" t="s">
        <v>884</v>
      </c>
      <c r="D10" s="57">
        <f t="shared" si="1"/>
        <v>0</v>
      </c>
      <c r="E10" s="57">
        <f t="shared" si="2"/>
        <v>0</v>
      </c>
      <c r="F10" s="57">
        <f t="shared" si="3"/>
        <v>0</v>
      </c>
      <c r="G10" s="57">
        <f t="shared" si="4"/>
        <v>11</v>
      </c>
      <c r="H10" s="57">
        <f t="shared" si="5"/>
        <v>0</v>
      </c>
      <c r="I10" s="116">
        <v>0</v>
      </c>
      <c r="J10" s="116">
        <v>0</v>
      </c>
      <c r="K10" s="116">
        <v>0</v>
      </c>
      <c r="L10" s="116">
        <v>0</v>
      </c>
      <c r="M10" s="116">
        <v>0</v>
      </c>
      <c r="N10" s="116">
        <v>0</v>
      </c>
      <c r="O10" s="116">
        <v>0</v>
      </c>
      <c r="P10" s="116">
        <v>0</v>
      </c>
      <c r="Q10" s="116">
        <v>0</v>
      </c>
      <c r="R10" s="116">
        <v>9</v>
      </c>
      <c r="S10" s="116">
        <v>2</v>
      </c>
      <c r="T10" s="116">
        <v>0</v>
      </c>
      <c r="U10" s="116">
        <v>0</v>
      </c>
      <c r="V10" s="116">
        <v>0</v>
      </c>
      <c r="W10" s="116">
        <v>0</v>
      </c>
    </row>
    <row r="11" spans="1:23">
      <c r="A11" s="76" t="s">
        <v>657</v>
      </c>
      <c r="B11" s="76" t="s">
        <v>658</v>
      </c>
      <c r="C11" s="77" t="s">
        <v>884</v>
      </c>
      <c r="D11" s="57">
        <f t="shared" si="1"/>
        <v>0</v>
      </c>
      <c r="E11" s="57">
        <f t="shared" si="2"/>
        <v>1</v>
      </c>
      <c r="F11" s="57">
        <f t="shared" si="3"/>
        <v>13</v>
      </c>
      <c r="G11" s="57">
        <f t="shared" si="4"/>
        <v>0</v>
      </c>
      <c r="H11" s="57">
        <f t="shared" si="5"/>
        <v>0</v>
      </c>
      <c r="I11" s="116">
        <v>0</v>
      </c>
      <c r="J11" s="116">
        <v>0</v>
      </c>
      <c r="K11" s="116">
        <v>0</v>
      </c>
      <c r="L11" s="116">
        <v>0</v>
      </c>
      <c r="M11" s="116">
        <v>1</v>
      </c>
      <c r="N11" s="116">
        <v>0</v>
      </c>
      <c r="O11" s="116">
        <v>11</v>
      </c>
      <c r="P11" s="116">
        <v>2</v>
      </c>
      <c r="Q11" s="116">
        <v>0</v>
      </c>
      <c r="R11" s="116">
        <v>0</v>
      </c>
      <c r="S11" s="116">
        <v>0</v>
      </c>
      <c r="T11" s="116">
        <v>0</v>
      </c>
      <c r="U11" s="116">
        <v>0</v>
      </c>
      <c r="V11" s="116">
        <v>0</v>
      </c>
      <c r="W11" s="116">
        <v>0</v>
      </c>
    </row>
    <row r="12" spans="1:23">
      <c r="A12" s="76" t="s">
        <v>659</v>
      </c>
      <c r="B12" s="76" t="s">
        <v>660</v>
      </c>
      <c r="C12" s="77" t="s">
        <v>884</v>
      </c>
      <c r="D12" s="57">
        <f t="shared" si="1"/>
        <v>0</v>
      </c>
      <c r="E12" s="57">
        <f t="shared" si="2"/>
        <v>2</v>
      </c>
      <c r="F12" s="57">
        <f t="shared" si="3"/>
        <v>19</v>
      </c>
      <c r="G12" s="57">
        <f t="shared" si="4"/>
        <v>0</v>
      </c>
      <c r="H12" s="57">
        <f t="shared" si="5"/>
        <v>0</v>
      </c>
      <c r="I12" s="116">
        <v>0</v>
      </c>
      <c r="J12" s="116">
        <v>0</v>
      </c>
      <c r="K12" s="116">
        <v>0</v>
      </c>
      <c r="L12" s="116">
        <v>1</v>
      </c>
      <c r="M12" s="116">
        <v>1</v>
      </c>
      <c r="N12" s="116">
        <v>0</v>
      </c>
      <c r="O12" s="116">
        <v>17</v>
      </c>
      <c r="P12" s="116">
        <v>2</v>
      </c>
      <c r="Q12" s="116">
        <v>0</v>
      </c>
      <c r="R12" s="116">
        <v>0</v>
      </c>
      <c r="S12" s="116">
        <v>0</v>
      </c>
      <c r="T12" s="116">
        <v>0</v>
      </c>
      <c r="U12" s="116">
        <v>0</v>
      </c>
      <c r="V12" s="116">
        <v>0</v>
      </c>
      <c r="W12" s="116">
        <v>0</v>
      </c>
    </row>
    <row r="13" spans="1:23">
      <c r="A13" s="76" t="s">
        <v>665</v>
      </c>
      <c r="B13" s="76" t="s">
        <v>666</v>
      </c>
      <c r="C13" s="77" t="s">
        <v>884</v>
      </c>
      <c r="D13" s="57">
        <f t="shared" si="1"/>
        <v>0</v>
      </c>
      <c r="E13" s="57">
        <f t="shared" si="2"/>
        <v>0</v>
      </c>
      <c r="F13" s="57">
        <f t="shared" si="3"/>
        <v>0</v>
      </c>
      <c r="G13" s="57">
        <f t="shared" si="4"/>
        <v>18</v>
      </c>
      <c r="H13" s="57">
        <f t="shared" si="5"/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  <c r="O13" s="116">
        <v>0</v>
      </c>
      <c r="P13" s="116">
        <v>0</v>
      </c>
      <c r="Q13" s="116">
        <v>0</v>
      </c>
      <c r="R13" s="116">
        <v>16</v>
      </c>
      <c r="S13" s="116">
        <v>2</v>
      </c>
      <c r="T13" s="116">
        <v>0</v>
      </c>
      <c r="U13" s="116">
        <v>0</v>
      </c>
      <c r="V13" s="116">
        <v>0</v>
      </c>
      <c r="W13" s="116">
        <v>0</v>
      </c>
    </row>
    <row r="14" spans="1:23">
      <c r="A14" s="76" t="s">
        <v>154</v>
      </c>
      <c r="B14" s="76" t="s">
        <v>155</v>
      </c>
      <c r="C14" s="77" t="s">
        <v>884</v>
      </c>
      <c r="D14" s="57">
        <f t="shared" si="1"/>
        <v>2</v>
      </c>
      <c r="E14" s="57">
        <f t="shared" si="2"/>
        <v>0</v>
      </c>
      <c r="F14" s="57">
        <f t="shared" si="3"/>
        <v>13</v>
      </c>
      <c r="G14" s="57">
        <f t="shared" si="4"/>
        <v>0</v>
      </c>
      <c r="H14" s="57">
        <f t="shared" si="5"/>
        <v>2</v>
      </c>
      <c r="I14" s="116">
        <v>0</v>
      </c>
      <c r="J14" s="116">
        <v>1</v>
      </c>
      <c r="K14" s="116">
        <v>1</v>
      </c>
      <c r="L14" s="116">
        <v>0</v>
      </c>
      <c r="M14" s="116">
        <v>0</v>
      </c>
      <c r="N14" s="116">
        <v>0</v>
      </c>
      <c r="O14" s="116">
        <v>6</v>
      </c>
      <c r="P14" s="116">
        <v>1</v>
      </c>
      <c r="Q14" s="116">
        <v>6</v>
      </c>
      <c r="R14" s="116">
        <v>0</v>
      </c>
      <c r="S14" s="116">
        <v>0</v>
      </c>
      <c r="T14" s="116">
        <v>0</v>
      </c>
      <c r="U14" s="116">
        <v>1</v>
      </c>
      <c r="V14" s="116">
        <v>0</v>
      </c>
      <c r="W14" s="116">
        <v>1</v>
      </c>
    </row>
    <row r="15" spans="1:23">
      <c r="A15" s="76" t="s">
        <v>675</v>
      </c>
      <c r="B15" s="76" t="s">
        <v>676</v>
      </c>
      <c r="C15" s="77" t="s">
        <v>884</v>
      </c>
      <c r="D15" s="57">
        <f t="shared" si="1"/>
        <v>0</v>
      </c>
      <c r="E15" s="57">
        <f t="shared" si="2"/>
        <v>0</v>
      </c>
      <c r="F15" s="57">
        <f t="shared" si="3"/>
        <v>0</v>
      </c>
      <c r="G15" s="57">
        <f t="shared" si="4"/>
        <v>14</v>
      </c>
      <c r="H15" s="57">
        <f t="shared" si="5"/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  <c r="O15" s="116">
        <v>0</v>
      </c>
      <c r="P15" s="116">
        <v>0</v>
      </c>
      <c r="Q15" s="116">
        <v>0</v>
      </c>
      <c r="R15" s="116">
        <v>12</v>
      </c>
      <c r="S15" s="116">
        <v>2</v>
      </c>
      <c r="T15" s="116">
        <v>0</v>
      </c>
      <c r="U15" s="116">
        <v>0</v>
      </c>
      <c r="V15" s="116">
        <v>0</v>
      </c>
      <c r="W15" s="116">
        <v>0</v>
      </c>
    </row>
    <row r="16" spans="1:23">
      <c r="A16" s="76" t="s">
        <v>683</v>
      </c>
      <c r="B16" s="76" t="s">
        <v>684</v>
      </c>
      <c r="C16" s="77" t="s">
        <v>884</v>
      </c>
      <c r="D16" s="57">
        <f t="shared" si="1"/>
        <v>0</v>
      </c>
      <c r="E16" s="57">
        <f t="shared" si="2"/>
        <v>3</v>
      </c>
      <c r="F16" s="57">
        <f t="shared" si="3"/>
        <v>12</v>
      </c>
      <c r="G16" s="57">
        <f t="shared" si="4"/>
        <v>0</v>
      </c>
      <c r="H16" s="57">
        <f t="shared" si="5"/>
        <v>0</v>
      </c>
      <c r="I16" s="116">
        <v>0</v>
      </c>
      <c r="J16" s="116">
        <v>0</v>
      </c>
      <c r="K16" s="116">
        <v>0</v>
      </c>
      <c r="L16" s="116">
        <v>2</v>
      </c>
      <c r="M16" s="116">
        <v>1</v>
      </c>
      <c r="N16" s="116">
        <v>0</v>
      </c>
      <c r="O16" s="116">
        <v>9</v>
      </c>
      <c r="P16" s="116">
        <v>3</v>
      </c>
      <c r="Q16" s="116">
        <v>0</v>
      </c>
      <c r="R16" s="116">
        <v>0</v>
      </c>
      <c r="S16" s="116">
        <v>0</v>
      </c>
      <c r="T16" s="116">
        <v>0</v>
      </c>
      <c r="U16" s="116">
        <v>0</v>
      </c>
      <c r="V16" s="116">
        <v>0</v>
      </c>
      <c r="W16" s="116">
        <v>0</v>
      </c>
    </row>
    <row r="17" spans="1:23">
      <c r="A17" s="76" t="s">
        <v>271</v>
      </c>
      <c r="B17" s="76" t="s">
        <v>272</v>
      </c>
      <c r="C17" s="77" t="s">
        <v>884</v>
      </c>
      <c r="D17" s="57">
        <f t="shared" si="1"/>
        <v>1</v>
      </c>
      <c r="E17" s="57">
        <f t="shared" si="2"/>
        <v>5</v>
      </c>
      <c r="F17" s="57">
        <f t="shared" si="3"/>
        <v>16</v>
      </c>
      <c r="G17" s="57">
        <f t="shared" si="4"/>
        <v>0</v>
      </c>
      <c r="H17" s="57">
        <f t="shared" si="5"/>
        <v>0</v>
      </c>
      <c r="I17" s="116">
        <v>0</v>
      </c>
      <c r="J17" s="116">
        <v>1</v>
      </c>
      <c r="K17" s="116">
        <v>0</v>
      </c>
      <c r="L17" s="116">
        <v>5</v>
      </c>
      <c r="M17" s="116">
        <v>0</v>
      </c>
      <c r="N17" s="116">
        <v>0</v>
      </c>
      <c r="O17" s="116">
        <v>11</v>
      </c>
      <c r="P17" s="116">
        <v>5</v>
      </c>
      <c r="Q17" s="116">
        <v>0</v>
      </c>
      <c r="R17" s="116">
        <v>0</v>
      </c>
      <c r="S17" s="116">
        <v>0</v>
      </c>
      <c r="T17" s="116">
        <v>0</v>
      </c>
      <c r="U17" s="116">
        <v>0</v>
      </c>
      <c r="V17" s="116">
        <v>0</v>
      </c>
      <c r="W17" s="116">
        <v>0</v>
      </c>
    </row>
    <row r="18" spans="1:23">
      <c r="A18" s="76" t="s">
        <v>697</v>
      </c>
      <c r="B18" s="76" t="s">
        <v>698</v>
      </c>
      <c r="C18" s="77" t="s">
        <v>884</v>
      </c>
      <c r="D18" s="57">
        <f t="shared" si="1"/>
        <v>4</v>
      </c>
      <c r="E18" s="57">
        <f t="shared" si="2"/>
        <v>0</v>
      </c>
      <c r="F18" s="57">
        <f t="shared" si="3"/>
        <v>13</v>
      </c>
      <c r="G18" s="57">
        <f t="shared" si="4"/>
        <v>0</v>
      </c>
      <c r="H18" s="57">
        <f t="shared" si="5"/>
        <v>0</v>
      </c>
      <c r="I18" s="116">
        <v>2</v>
      </c>
      <c r="J18" s="116">
        <v>2</v>
      </c>
      <c r="K18" s="116">
        <v>0</v>
      </c>
      <c r="L18" s="116">
        <v>0</v>
      </c>
      <c r="M18" s="116">
        <v>0</v>
      </c>
      <c r="N18" s="116">
        <v>0</v>
      </c>
      <c r="O18" s="116">
        <v>8</v>
      </c>
      <c r="P18" s="116">
        <v>5</v>
      </c>
      <c r="Q18" s="116">
        <v>0</v>
      </c>
      <c r="R18" s="116">
        <v>0</v>
      </c>
      <c r="S18" s="116">
        <v>0</v>
      </c>
      <c r="T18" s="116">
        <v>0</v>
      </c>
      <c r="U18" s="116">
        <v>0</v>
      </c>
      <c r="V18" s="116">
        <v>0</v>
      </c>
      <c r="W18" s="116">
        <v>0</v>
      </c>
    </row>
    <row r="19" spans="1:23">
      <c r="A19" s="76" t="s">
        <v>701</v>
      </c>
      <c r="B19" s="76" t="s">
        <v>702</v>
      </c>
      <c r="C19" s="77" t="s">
        <v>884</v>
      </c>
      <c r="D19" s="57">
        <f t="shared" si="1"/>
        <v>0</v>
      </c>
      <c r="E19" s="57">
        <f t="shared" si="2"/>
        <v>0</v>
      </c>
      <c r="F19" s="57">
        <f t="shared" si="3"/>
        <v>0</v>
      </c>
      <c r="G19" s="57">
        <f t="shared" si="4"/>
        <v>9</v>
      </c>
      <c r="H19" s="57">
        <f t="shared" si="5"/>
        <v>0</v>
      </c>
      <c r="I19" s="116">
        <v>0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  <c r="O19" s="116">
        <v>0</v>
      </c>
      <c r="P19" s="116">
        <v>0</v>
      </c>
      <c r="Q19" s="116">
        <v>0</v>
      </c>
      <c r="R19" s="116">
        <v>6</v>
      </c>
      <c r="S19" s="116">
        <v>3</v>
      </c>
      <c r="T19" s="116">
        <v>0</v>
      </c>
      <c r="U19" s="116">
        <v>0</v>
      </c>
      <c r="V19" s="116">
        <v>0</v>
      </c>
      <c r="W19" s="116">
        <v>0</v>
      </c>
    </row>
    <row r="20" spans="1:23">
      <c r="A20" s="76" t="s">
        <v>713</v>
      </c>
      <c r="B20" s="76" t="s">
        <v>714</v>
      </c>
      <c r="C20" s="77" t="s">
        <v>884</v>
      </c>
      <c r="D20" s="57">
        <f t="shared" si="1"/>
        <v>0</v>
      </c>
      <c r="E20" s="57">
        <f t="shared" si="2"/>
        <v>1</v>
      </c>
      <c r="F20" s="57">
        <f t="shared" si="3"/>
        <v>20</v>
      </c>
      <c r="G20" s="57">
        <f t="shared" si="4"/>
        <v>0</v>
      </c>
      <c r="H20" s="57">
        <f t="shared" si="5"/>
        <v>14</v>
      </c>
      <c r="I20" s="116">
        <v>0</v>
      </c>
      <c r="J20" s="116">
        <v>0</v>
      </c>
      <c r="K20" s="116">
        <v>0</v>
      </c>
      <c r="L20" s="116">
        <v>0</v>
      </c>
      <c r="M20" s="116">
        <v>1</v>
      </c>
      <c r="N20" s="116">
        <v>0</v>
      </c>
      <c r="O20" s="116">
        <v>18</v>
      </c>
      <c r="P20" s="116">
        <v>2</v>
      </c>
      <c r="Q20" s="116">
        <v>0</v>
      </c>
      <c r="R20" s="116">
        <v>0</v>
      </c>
      <c r="S20" s="116">
        <v>0</v>
      </c>
      <c r="T20" s="116">
        <v>0</v>
      </c>
      <c r="U20" s="116">
        <v>10</v>
      </c>
      <c r="V20" s="116">
        <v>4</v>
      </c>
      <c r="W20" s="116">
        <v>0</v>
      </c>
    </row>
    <row r="21" spans="1:23">
      <c r="A21" s="76" t="s">
        <v>715</v>
      </c>
      <c r="B21" s="76" t="s">
        <v>716</v>
      </c>
      <c r="C21" s="77" t="s">
        <v>884</v>
      </c>
      <c r="D21" s="57">
        <f t="shared" si="1"/>
        <v>0</v>
      </c>
      <c r="E21" s="57">
        <f t="shared" si="2"/>
        <v>4</v>
      </c>
      <c r="F21" s="57">
        <f t="shared" si="3"/>
        <v>16</v>
      </c>
      <c r="G21" s="57">
        <f t="shared" si="4"/>
        <v>0</v>
      </c>
      <c r="H21" s="57">
        <f t="shared" si="5"/>
        <v>0</v>
      </c>
      <c r="I21" s="116">
        <v>0</v>
      </c>
      <c r="J21" s="116">
        <v>0</v>
      </c>
      <c r="K21" s="116">
        <v>0</v>
      </c>
      <c r="L21" s="116">
        <v>3</v>
      </c>
      <c r="M21" s="116">
        <v>1</v>
      </c>
      <c r="N21" s="116">
        <v>0</v>
      </c>
      <c r="O21" s="116">
        <v>11</v>
      </c>
      <c r="P21" s="116">
        <v>5</v>
      </c>
      <c r="Q21" s="116">
        <v>0</v>
      </c>
      <c r="R21" s="116">
        <v>0</v>
      </c>
      <c r="S21" s="116">
        <v>0</v>
      </c>
      <c r="T21" s="116">
        <v>0</v>
      </c>
      <c r="U21" s="116">
        <v>0</v>
      </c>
      <c r="V21" s="116">
        <v>0</v>
      </c>
      <c r="W21" s="116">
        <v>0</v>
      </c>
    </row>
    <row r="22" spans="1:23">
      <c r="A22" s="76" t="s">
        <v>232</v>
      </c>
      <c r="B22" s="76" t="s">
        <v>233</v>
      </c>
      <c r="C22" s="77" t="s">
        <v>884</v>
      </c>
      <c r="D22" s="57">
        <f t="shared" si="1"/>
        <v>0</v>
      </c>
      <c r="E22" s="57">
        <f t="shared" si="2"/>
        <v>0</v>
      </c>
      <c r="F22" s="57">
        <f t="shared" si="3"/>
        <v>15</v>
      </c>
      <c r="G22" s="57">
        <f t="shared" si="4"/>
        <v>0</v>
      </c>
      <c r="H22" s="57">
        <f t="shared" si="5"/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  <c r="O22" s="116">
        <v>8</v>
      </c>
      <c r="P22" s="116">
        <v>1</v>
      </c>
      <c r="Q22" s="116">
        <v>6</v>
      </c>
      <c r="R22" s="116">
        <v>0</v>
      </c>
      <c r="S22" s="116">
        <v>0</v>
      </c>
      <c r="T22" s="116">
        <v>0</v>
      </c>
      <c r="U22" s="116">
        <v>0</v>
      </c>
      <c r="V22" s="116">
        <v>0</v>
      </c>
      <c r="W22" s="116">
        <v>0</v>
      </c>
    </row>
    <row r="23" spans="1:23">
      <c r="A23" s="76" t="s">
        <v>235</v>
      </c>
      <c r="B23" s="76" t="s">
        <v>236</v>
      </c>
      <c r="C23" s="77" t="s">
        <v>884</v>
      </c>
      <c r="D23" s="57">
        <f t="shared" si="1"/>
        <v>0</v>
      </c>
      <c r="E23" s="57">
        <f t="shared" si="2"/>
        <v>0</v>
      </c>
      <c r="F23" s="57">
        <f t="shared" si="3"/>
        <v>18</v>
      </c>
      <c r="G23" s="57">
        <f t="shared" si="4"/>
        <v>0</v>
      </c>
      <c r="H23" s="57">
        <f t="shared" si="5"/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  <c r="O23" s="116">
        <v>15</v>
      </c>
      <c r="P23" s="116">
        <v>3</v>
      </c>
      <c r="Q23" s="116">
        <v>0</v>
      </c>
      <c r="R23" s="116">
        <v>0</v>
      </c>
      <c r="S23" s="116">
        <v>0</v>
      </c>
      <c r="T23" s="116">
        <v>0</v>
      </c>
      <c r="U23" s="116">
        <v>0</v>
      </c>
      <c r="V23" s="116">
        <v>0</v>
      </c>
      <c r="W23" s="116">
        <v>0</v>
      </c>
    </row>
    <row r="24" spans="1:23">
      <c r="A24" s="76" t="s">
        <v>735</v>
      </c>
      <c r="B24" s="76" t="s">
        <v>736</v>
      </c>
      <c r="C24" s="77" t="s">
        <v>884</v>
      </c>
      <c r="D24" s="57">
        <f t="shared" si="1"/>
        <v>1</v>
      </c>
      <c r="E24" s="57">
        <f t="shared" si="2"/>
        <v>0</v>
      </c>
      <c r="F24" s="57">
        <f t="shared" si="3"/>
        <v>7</v>
      </c>
      <c r="G24" s="57">
        <f t="shared" si="4"/>
        <v>0</v>
      </c>
      <c r="H24" s="57">
        <f t="shared" si="5"/>
        <v>0</v>
      </c>
      <c r="I24" s="116">
        <v>1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  <c r="O24" s="116">
        <v>6</v>
      </c>
      <c r="P24" s="116">
        <v>1</v>
      </c>
      <c r="Q24" s="116">
        <v>0</v>
      </c>
      <c r="R24" s="116">
        <v>0</v>
      </c>
      <c r="S24" s="116">
        <v>0</v>
      </c>
      <c r="T24" s="116">
        <v>0</v>
      </c>
      <c r="U24" s="116">
        <v>0</v>
      </c>
      <c r="V24" s="116">
        <v>0</v>
      </c>
      <c r="W24" s="116">
        <v>0</v>
      </c>
    </row>
    <row r="25" spans="1:23">
      <c r="A25" s="76" t="s">
        <v>160</v>
      </c>
      <c r="B25" s="76" t="s">
        <v>161</v>
      </c>
      <c r="C25" s="77" t="s">
        <v>884</v>
      </c>
      <c r="D25" s="57">
        <f t="shared" si="1"/>
        <v>0</v>
      </c>
      <c r="E25" s="57">
        <f t="shared" si="2"/>
        <v>0</v>
      </c>
      <c r="F25" s="57">
        <f t="shared" si="3"/>
        <v>0</v>
      </c>
      <c r="G25" s="57">
        <f t="shared" si="4"/>
        <v>19</v>
      </c>
      <c r="H25" s="57">
        <f t="shared" si="5"/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  <c r="O25" s="116">
        <v>0</v>
      </c>
      <c r="P25" s="116">
        <v>0</v>
      </c>
      <c r="Q25" s="116">
        <v>0</v>
      </c>
      <c r="R25" s="116">
        <v>17</v>
      </c>
      <c r="S25" s="116">
        <v>2</v>
      </c>
      <c r="T25" s="116">
        <v>0</v>
      </c>
      <c r="U25" s="116">
        <v>0</v>
      </c>
      <c r="V25" s="116">
        <v>0</v>
      </c>
      <c r="W25" s="116">
        <v>0</v>
      </c>
    </row>
    <row r="26" spans="1:23">
      <c r="A26" s="76" t="s">
        <v>745</v>
      </c>
      <c r="B26" s="76" t="s">
        <v>746</v>
      </c>
      <c r="C26" s="77" t="s">
        <v>884</v>
      </c>
      <c r="D26" s="57">
        <f t="shared" si="1"/>
        <v>0</v>
      </c>
      <c r="E26" s="57">
        <f t="shared" si="2"/>
        <v>2</v>
      </c>
      <c r="F26" s="57">
        <f t="shared" si="3"/>
        <v>14</v>
      </c>
      <c r="G26" s="57">
        <f t="shared" si="4"/>
        <v>0</v>
      </c>
      <c r="H26" s="57">
        <f t="shared" si="5"/>
        <v>0</v>
      </c>
      <c r="I26" s="116">
        <v>0</v>
      </c>
      <c r="J26" s="116">
        <v>0</v>
      </c>
      <c r="K26" s="116">
        <v>0</v>
      </c>
      <c r="L26" s="116">
        <v>2</v>
      </c>
      <c r="M26" s="116">
        <v>0</v>
      </c>
      <c r="N26" s="116">
        <v>0</v>
      </c>
      <c r="O26" s="116">
        <v>14</v>
      </c>
      <c r="P26" s="116">
        <v>0</v>
      </c>
      <c r="Q26" s="116">
        <v>0</v>
      </c>
      <c r="R26" s="116">
        <v>0</v>
      </c>
      <c r="S26" s="116">
        <v>0</v>
      </c>
      <c r="T26" s="116">
        <v>0</v>
      </c>
      <c r="U26" s="116">
        <v>0</v>
      </c>
      <c r="V26" s="116">
        <v>0</v>
      </c>
      <c r="W26" s="116">
        <v>0</v>
      </c>
    </row>
    <row r="27" spans="1:23">
      <c r="A27" s="76" t="s">
        <v>112</v>
      </c>
      <c r="B27" s="76" t="s">
        <v>113</v>
      </c>
      <c r="C27" s="77" t="s">
        <v>884</v>
      </c>
      <c r="D27" s="57">
        <f t="shared" si="1"/>
        <v>0</v>
      </c>
      <c r="E27" s="57">
        <f t="shared" si="2"/>
        <v>5</v>
      </c>
      <c r="F27" s="57">
        <f t="shared" si="3"/>
        <v>11</v>
      </c>
      <c r="G27" s="57">
        <f t="shared" si="4"/>
        <v>0</v>
      </c>
      <c r="H27" s="57">
        <f t="shared" si="5"/>
        <v>0</v>
      </c>
      <c r="I27" s="116">
        <v>0</v>
      </c>
      <c r="J27" s="116">
        <v>0</v>
      </c>
      <c r="K27" s="116">
        <v>0</v>
      </c>
      <c r="L27" s="116">
        <v>2</v>
      </c>
      <c r="M27" s="116">
        <v>3</v>
      </c>
      <c r="N27" s="116">
        <v>0</v>
      </c>
      <c r="O27" s="116">
        <v>10</v>
      </c>
      <c r="P27" s="116">
        <v>1</v>
      </c>
      <c r="Q27" s="116">
        <v>0</v>
      </c>
      <c r="R27" s="116">
        <v>0</v>
      </c>
      <c r="S27" s="116">
        <v>0</v>
      </c>
      <c r="T27" s="116">
        <v>0</v>
      </c>
      <c r="U27" s="116">
        <v>0</v>
      </c>
      <c r="V27" s="116">
        <v>0</v>
      </c>
      <c r="W27" s="116">
        <v>0</v>
      </c>
    </row>
    <row r="28" spans="1:23">
      <c r="A28" s="76" t="s">
        <v>244</v>
      </c>
      <c r="B28" s="76" t="s">
        <v>245</v>
      </c>
      <c r="C28" s="77" t="s">
        <v>884</v>
      </c>
      <c r="D28" s="57">
        <f t="shared" si="1"/>
        <v>0</v>
      </c>
      <c r="E28" s="57">
        <f t="shared" si="2"/>
        <v>0</v>
      </c>
      <c r="F28" s="57">
        <f t="shared" si="3"/>
        <v>0</v>
      </c>
      <c r="G28" s="57">
        <f t="shared" si="4"/>
        <v>0</v>
      </c>
      <c r="H28" s="57">
        <f t="shared" si="5"/>
        <v>19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  <c r="O28" s="116">
        <v>0</v>
      </c>
      <c r="P28" s="116">
        <v>0</v>
      </c>
      <c r="Q28" s="116">
        <v>0</v>
      </c>
      <c r="R28" s="116">
        <v>0</v>
      </c>
      <c r="S28" s="116">
        <v>0</v>
      </c>
      <c r="T28" s="116">
        <v>0</v>
      </c>
      <c r="U28" s="116">
        <v>15</v>
      </c>
      <c r="V28" s="116">
        <v>4</v>
      </c>
      <c r="W28" s="116">
        <v>0</v>
      </c>
    </row>
    <row r="29" spans="1:23">
      <c r="A29" s="76" t="s">
        <v>775</v>
      </c>
      <c r="B29" s="76" t="s">
        <v>776</v>
      </c>
      <c r="C29" s="77" t="s">
        <v>884</v>
      </c>
      <c r="D29" s="57">
        <f t="shared" si="1"/>
        <v>1</v>
      </c>
      <c r="E29" s="57">
        <f t="shared" si="2"/>
        <v>1</v>
      </c>
      <c r="F29" s="57">
        <f t="shared" si="3"/>
        <v>18</v>
      </c>
      <c r="G29" s="57">
        <f t="shared" si="4"/>
        <v>0</v>
      </c>
      <c r="H29" s="57">
        <f t="shared" si="5"/>
        <v>0</v>
      </c>
      <c r="I29" s="116">
        <v>0</v>
      </c>
      <c r="J29" s="116">
        <v>1</v>
      </c>
      <c r="K29" s="116">
        <v>0</v>
      </c>
      <c r="L29" s="116">
        <v>1</v>
      </c>
      <c r="M29" s="116">
        <v>0</v>
      </c>
      <c r="N29" s="116">
        <v>0</v>
      </c>
      <c r="O29" s="116">
        <v>5</v>
      </c>
      <c r="P29" s="116">
        <v>7</v>
      </c>
      <c r="Q29" s="116">
        <v>6</v>
      </c>
      <c r="R29" s="116">
        <v>0</v>
      </c>
      <c r="S29" s="116">
        <v>0</v>
      </c>
      <c r="T29" s="116">
        <v>0</v>
      </c>
      <c r="U29" s="116">
        <v>0</v>
      </c>
      <c r="V29" s="116">
        <v>0</v>
      </c>
      <c r="W29" s="116">
        <v>0</v>
      </c>
    </row>
    <row r="30" spans="1:23">
      <c r="A30" s="76" t="s">
        <v>781</v>
      </c>
      <c r="B30" s="76" t="s">
        <v>782</v>
      </c>
      <c r="C30" s="77" t="s">
        <v>884</v>
      </c>
      <c r="D30" s="57">
        <f t="shared" si="1"/>
        <v>0</v>
      </c>
      <c r="E30" s="57">
        <f t="shared" si="2"/>
        <v>0</v>
      </c>
      <c r="F30" s="57">
        <f t="shared" si="3"/>
        <v>28</v>
      </c>
      <c r="G30" s="57">
        <f t="shared" si="4"/>
        <v>0</v>
      </c>
      <c r="H30" s="57">
        <f t="shared" si="5"/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  <c r="O30" s="116">
        <v>18</v>
      </c>
      <c r="P30" s="116">
        <v>10</v>
      </c>
      <c r="Q30" s="116">
        <v>0</v>
      </c>
      <c r="R30" s="116">
        <v>0</v>
      </c>
      <c r="S30" s="116">
        <v>0</v>
      </c>
      <c r="T30" s="116">
        <v>0</v>
      </c>
      <c r="U30" s="116">
        <v>0</v>
      </c>
      <c r="V30" s="116">
        <v>0</v>
      </c>
      <c r="W30" s="116">
        <v>0</v>
      </c>
    </row>
    <row r="31" spans="1:23">
      <c r="A31" s="76" t="s">
        <v>785</v>
      </c>
      <c r="B31" s="76" t="s">
        <v>786</v>
      </c>
      <c r="C31" s="77" t="s">
        <v>884</v>
      </c>
      <c r="D31" s="57">
        <f t="shared" si="1"/>
        <v>0</v>
      </c>
      <c r="E31" s="57">
        <f t="shared" si="2"/>
        <v>0</v>
      </c>
      <c r="F31" s="57">
        <f t="shared" si="3"/>
        <v>0</v>
      </c>
      <c r="G31" s="57">
        <f t="shared" si="4"/>
        <v>0</v>
      </c>
      <c r="H31" s="57">
        <f t="shared" si="5"/>
        <v>26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  <c r="O31" s="116">
        <v>0</v>
      </c>
      <c r="P31" s="116">
        <v>0</v>
      </c>
      <c r="Q31" s="116">
        <v>0</v>
      </c>
      <c r="R31" s="116">
        <v>0</v>
      </c>
      <c r="S31" s="116">
        <v>0</v>
      </c>
      <c r="T31" s="116">
        <v>0</v>
      </c>
      <c r="U31" s="116">
        <v>21</v>
      </c>
      <c r="V31" s="116">
        <v>5</v>
      </c>
      <c r="W31" s="116">
        <v>0</v>
      </c>
    </row>
    <row r="32" spans="1:23">
      <c r="A32" s="76" t="s">
        <v>36</v>
      </c>
      <c r="B32" s="76" t="s">
        <v>37</v>
      </c>
      <c r="C32" s="77" t="s">
        <v>884</v>
      </c>
      <c r="D32" s="57">
        <f t="shared" si="1"/>
        <v>0</v>
      </c>
      <c r="E32" s="57">
        <f t="shared" si="2"/>
        <v>0</v>
      </c>
      <c r="F32" s="57">
        <f t="shared" si="3"/>
        <v>21</v>
      </c>
      <c r="G32" s="57">
        <f t="shared" si="4"/>
        <v>0</v>
      </c>
      <c r="H32" s="57">
        <f t="shared" si="5"/>
        <v>0</v>
      </c>
      <c r="I32" s="116">
        <v>0</v>
      </c>
      <c r="J32" s="116">
        <v>0</v>
      </c>
      <c r="K32" s="116">
        <v>0</v>
      </c>
      <c r="L32" s="116">
        <v>0</v>
      </c>
      <c r="M32" s="116">
        <v>0</v>
      </c>
      <c r="N32" s="116">
        <v>0</v>
      </c>
      <c r="O32" s="116">
        <v>18</v>
      </c>
      <c r="P32" s="116">
        <v>3</v>
      </c>
      <c r="Q32" s="116">
        <v>0</v>
      </c>
      <c r="R32" s="116">
        <v>0</v>
      </c>
      <c r="S32" s="116">
        <v>0</v>
      </c>
      <c r="T32" s="116">
        <v>0</v>
      </c>
      <c r="U32" s="116">
        <v>0</v>
      </c>
      <c r="V32" s="116">
        <v>0</v>
      </c>
      <c r="W32" s="116">
        <v>0</v>
      </c>
    </row>
    <row r="33" spans="1:23">
      <c r="A33" s="76" t="s">
        <v>803</v>
      </c>
      <c r="B33" s="76" t="s">
        <v>804</v>
      </c>
      <c r="C33" s="77" t="s">
        <v>884</v>
      </c>
      <c r="D33" s="57">
        <f t="shared" si="1"/>
        <v>0</v>
      </c>
      <c r="E33" s="57">
        <f t="shared" si="2"/>
        <v>0</v>
      </c>
      <c r="F33" s="57">
        <f t="shared" si="3"/>
        <v>0</v>
      </c>
      <c r="G33" s="57">
        <f t="shared" si="4"/>
        <v>13</v>
      </c>
      <c r="H33" s="57">
        <f t="shared" si="5"/>
        <v>0</v>
      </c>
      <c r="I33" s="116">
        <v>0</v>
      </c>
      <c r="J33" s="116">
        <v>0</v>
      </c>
      <c r="K33" s="116">
        <v>0</v>
      </c>
      <c r="L33" s="116">
        <v>0</v>
      </c>
      <c r="M33" s="116">
        <v>0</v>
      </c>
      <c r="N33" s="116">
        <v>0</v>
      </c>
      <c r="O33" s="116">
        <v>0</v>
      </c>
      <c r="P33" s="116">
        <v>0</v>
      </c>
      <c r="Q33" s="116">
        <v>0</v>
      </c>
      <c r="R33" s="116">
        <v>9</v>
      </c>
      <c r="S33" s="116">
        <v>4</v>
      </c>
      <c r="T33" s="116">
        <v>0</v>
      </c>
      <c r="U33" s="116">
        <v>0</v>
      </c>
      <c r="V33" s="116">
        <v>0</v>
      </c>
      <c r="W33" s="116">
        <v>0</v>
      </c>
    </row>
    <row r="34" spans="1:23">
      <c r="A34" s="76" t="s">
        <v>181</v>
      </c>
      <c r="B34" s="76" t="s">
        <v>182</v>
      </c>
      <c r="C34" s="77" t="s">
        <v>884</v>
      </c>
      <c r="D34" s="57">
        <f t="shared" si="1"/>
        <v>0</v>
      </c>
      <c r="E34" s="57">
        <f t="shared" si="2"/>
        <v>0</v>
      </c>
      <c r="F34" s="57">
        <f t="shared" si="3"/>
        <v>12</v>
      </c>
      <c r="G34" s="57">
        <f t="shared" si="4"/>
        <v>0</v>
      </c>
      <c r="H34" s="57">
        <f t="shared" si="5"/>
        <v>0</v>
      </c>
      <c r="I34" s="116">
        <v>0</v>
      </c>
      <c r="J34" s="116">
        <v>0</v>
      </c>
      <c r="K34" s="116">
        <v>0</v>
      </c>
      <c r="L34" s="116">
        <v>0</v>
      </c>
      <c r="M34" s="116">
        <v>0</v>
      </c>
      <c r="N34" s="116">
        <v>0</v>
      </c>
      <c r="O34" s="116">
        <v>10</v>
      </c>
      <c r="P34" s="116">
        <v>2</v>
      </c>
      <c r="Q34" s="116">
        <v>0</v>
      </c>
      <c r="R34" s="116">
        <v>0</v>
      </c>
      <c r="S34" s="116">
        <v>0</v>
      </c>
      <c r="T34" s="116">
        <v>0</v>
      </c>
      <c r="U34" s="116">
        <v>0</v>
      </c>
      <c r="V34" s="116">
        <v>0</v>
      </c>
      <c r="W34" s="116">
        <v>0</v>
      </c>
    </row>
    <row r="35" spans="1:23">
      <c r="A35" s="76" t="s">
        <v>39</v>
      </c>
      <c r="B35" s="76" t="s">
        <v>40</v>
      </c>
      <c r="C35" s="77" t="s">
        <v>884</v>
      </c>
      <c r="D35" s="57">
        <f t="shared" si="1"/>
        <v>0</v>
      </c>
      <c r="E35" s="57">
        <f t="shared" si="2"/>
        <v>0</v>
      </c>
      <c r="F35" s="57">
        <f t="shared" si="3"/>
        <v>0</v>
      </c>
      <c r="G35" s="57">
        <f t="shared" si="4"/>
        <v>20</v>
      </c>
      <c r="H35" s="57">
        <f t="shared" si="5"/>
        <v>0</v>
      </c>
      <c r="I35" s="116">
        <v>0</v>
      </c>
      <c r="J35" s="116">
        <v>0</v>
      </c>
      <c r="K35" s="116">
        <v>0</v>
      </c>
      <c r="L35" s="116">
        <v>0</v>
      </c>
      <c r="M35" s="116">
        <v>0</v>
      </c>
      <c r="N35" s="116">
        <v>0</v>
      </c>
      <c r="O35" s="116">
        <v>0</v>
      </c>
      <c r="P35" s="116">
        <v>0</v>
      </c>
      <c r="Q35" s="116">
        <v>0</v>
      </c>
      <c r="R35" s="116">
        <v>13</v>
      </c>
      <c r="S35" s="116">
        <v>7</v>
      </c>
      <c r="T35" s="116">
        <v>0</v>
      </c>
      <c r="U35" s="116">
        <v>0</v>
      </c>
      <c r="V35" s="116">
        <v>0</v>
      </c>
      <c r="W35" s="116">
        <v>0</v>
      </c>
    </row>
    <row r="36" spans="1:23">
      <c r="A36" s="76" t="s">
        <v>265</v>
      </c>
      <c r="B36" s="76" t="s">
        <v>266</v>
      </c>
      <c r="C36" s="77" t="s">
        <v>884</v>
      </c>
      <c r="D36" s="57">
        <f t="shared" si="1"/>
        <v>0</v>
      </c>
      <c r="E36" s="57">
        <f t="shared" si="2"/>
        <v>2</v>
      </c>
      <c r="F36" s="57">
        <f t="shared" si="3"/>
        <v>5</v>
      </c>
      <c r="G36" s="57">
        <f t="shared" si="4"/>
        <v>0</v>
      </c>
      <c r="H36" s="57">
        <f t="shared" si="5"/>
        <v>5</v>
      </c>
      <c r="I36" s="116">
        <v>0</v>
      </c>
      <c r="J36" s="116">
        <v>0</v>
      </c>
      <c r="K36" s="116">
        <v>0</v>
      </c>
      <c r="L36" s="116">
        <v>1</v>
      </c>
      <c r="M36" s="116">
        <v>1</v>
      </c>
      <c r="N36" s="116">
        <v>0</v>
      </c>
      <c r="O36" s="116">
        <v>5</v>
      </c>
      <c r="P36" s="116">
        <v>0</v>
      </c>
      <c r="Q36" s="116">
        <v>0</v>
      </c>
      <c r="R36" s="116">
        <v>0</v>
      </c>
      <c r="S36" s="116">
        <v>0</v>
      </c>
      <c r="T36" s="116">
        <v>0</v>
      </c>
      <c r="U36" s="116">
        <v>4</v>
      </c>
      <c r="V36" s="116">
        <v>1</v>
      </c>
      <c r="W36" s="116">
        <v>0</v>
      </c>
    </row>
    <row r="37" spans="1:23">
      <c r="A37" s="76" t="s">
        <v>184</v>
      </c>
      <c r="B37" s="76" t="s">
        <v>185</v>
      </c>
      <c r="C37" s="77" t="s">
        <v>884</v>
      </c>
      <c r="D37" s="57">
        <f t="shared" si="1"/>
        <v>1</v>
      </c>
      <c r="E37" s="57">
        <f t="shared" si="2"/>
        <v>0</v>
      </c>
      <c r="F37" s="57">
        <f t="shared" si="3"/>
        <v>25</v>
      </c>
      <c r="G37" s="57">
        <f t="shared" si="4"/>
        <v>0</v>
      </c>
      <c r="H37" s="57">
        <f t="shared" si="5"/>
        <v>0</v>
      </c>
      <c r="I37" s="116">
        <v>1</v>
      </c>
      <c r="J37" s="116">
        <v>0</v>
      </c>
      <c r="K37" s="116">
        <v>0</v>
      </c>
      <c r="L37" s="116">
        <v>0</v>
      </c>
      <c r="M37" s="116">
        <v>0</v>
      </c>
      <c r="N37" s="116">
        <v>0</v>
      </c>
      <c r="O37" s="116">
        <v>23</v>
      </c>
      <c r="P37" s="116">
        <v>2</v>
      </c>
      <c r="Q37" s="116">
        <v>0</v>
      </c>
      <c r="R37" s="116">
        <v>0</v>
      </c>
      <c r="S37" s="116">
        <v>0</v>
      </c>
      <c r="T37" s="116">
        <v>0</v>
      </c>
      <c r="U37" s="116">
        <v>0</v>
      </c>
      <c r="V37" s="116">
        <v>0</v>
      </c>
      <c r="W37" s="116">
        <v>0</v>
      </c>
    </row>
    <row r="38" spans="1:23">
      <c r="A38" s="76" t="s">
        <v>811</v>
      </c>
      <c r="B38" s="76" t="s">
        <v>812</v>
      </c>
      <c r="C38" s="77" t="s">
        <v>884</v>
      </c>
      <c r="D38" s="57">
        <f t="shared" si="1"/>
        <v>0</v>
      </c>
      <c r="E38" s="57">
        <f t="shared" si="2"/>
        <v>0</v>
      </c>
      <c r="F38" s="57">
        <f t="shared" si="3"/>
        <v>34</v>
      </c>
      <c r="G38" s="57">
        <f t="shared" si="4"/>
        <v>0</v>
      </c>
      <c r="H38" s="57">
        <f t="shared" si="5"/>
        <v>0</v>
      </c>
      <c r="I38" s="116">
        <v>0</v>
      </c>
      <c r="J38" s="116">
        <v>0</v>
      </c>
      <c r="K38" s="116">
        <v>0</v>
      </c>
      <c r="L38" s="116">
        <v>0</v>
      </c>
      <c r="M38" s="116">
        <v>0</v>
      </c>
      <c r="N38" s="116">
        <v>0</v>
      </c>
      <c r="O38" s="116">
        <v>31</v>
      </c>
      <c r="P38" s="116">
        <v>3</v>
      </c>
      <c r="Q38" s="116">
        <v>0</v>
      </c>
      <c r="R38" s="116">
        <v>0</v>
      </c>
      <c r="S38" s="116">
        <v>0</v>
      </c>
      <c r="T38" s="116">
        <v>0</v>
      </c>
      <c r="U38" s="116">
        <v>0</v>
      </c>
      <c r="V38" s="116">
        <v>0</v>
      </c>
      <c r="W38" s="116">
        <v>0</v>
      </c>
    </row>
    <row r="39" spans="1:23">
      <c r="A39" s="76" t="s">
        <v>187</v>
      </c>
      <c r="B39" s="76" t="s">
        <v>188</v>
      </c>
      <c r="C39" s="77" t="s">
        <v>884</v>
      </c>
      <c r="D39" s="57">
        <f t="shared" si="1"/>
        <v>0</v>
      </c>
      <c r="E39" s="57">
        <f t="shared" si="2"/>
        <v>0</v>
      </c>
      <c r="F39" s="57">
        <f t="shared" si="3"/>
        <v>0</v>
      </c>
      <c r="G39" s="57">
        <f t="shared" si="4"/>
        <v>28</v>
      </c>
      <c r="H39" s="57">
        <f t="shared" si="5"/>
        <v>0</v>
      </c>
      <c r="I39" s="116">
        <v>0</v>
      </c>
      <c r="J39" s="116">
        <v>0</v>
      </c>
      <c r="K39" s="116">
        <v>0</v>
      </c>
      <c r="L39" s="116">
        <v>0</v>
      </c>
      <c r="M39" s="116">
        <v>0</v>
      </c>
      <c r="N39" s="116">
        <v>0</v>
      </c>
      <c r="O39" s="116">
        <v>0</v>
      </c>
      <c r="P39" s="116">
        <v>0</v>
      </c>
      <c r="Q39" s="116">
        <v>0</v>
      </c>
      <c r="R39" s="116">
        <v>18</v>
      </c>
      <c r="S39" s="116">
        <v>4</v>
      </c>
      <c r="T39" s="116">
        <v>6</v>
      </c>
      <c r="U39" s="116">
        <v>0</v>
      </c>
      <c r="V39" s="116">
        <v>0</v>
      </c>
      <c r="W39" s="116">
        <v>0</v>
      </c>
    </row>
    <row r="40" spans="1:23">
      <c r="A40" s="76" t="s">
        <v>813</v>
      </c>
      <c r="B40" s="76" t="s">
        <v>814</v>
      </c>
      <c r="C40" s="77" t="s">
        <v>884</v>
      </c>
      <c r="D40" s="57">
        <f t="shared" si="1"/>
        <v>0</v>
      </c>
      <c r="E40" s="57">
        <f t="shared" si="2"/>
        <v>0</v>
      </c>
      <c r="F40" s="57">
        <f t="shared" si="3"/>
        <v>0</v>
      </c>
      <c r="G40" s="57">
        <f t="shared" si="4"/>
        <v>0</v>
      </c>
      <c r="H40" s="57">
        <f t="shared" si="5"/>
        <v>12</v>
      </c>
      <c r="I40" s="116">
        <v>0</v>
      </c>
      <c r="J40" s="116">
        <v>0</v>
      </c>
      <c r="K40" s="116">
        <v>0</v>
      </c>
      <c r="L40" s="116">
        <v>0</v>
      </c>
      <c r="M40" s="116">
        <v>0</v>
      </c>
      <c r="N40" s="116">
        <v>0</v>
      </c>
      <c r="O40" s="116">
        <v>0</v>
      </c>
      <c r="P40" s="116">
        <v>0</v>
      </c>
      <c r="Q40" s="116">
        <v>0</v>
      </c>
      <c r="R40" s="116">
        <v>0</v>
      </c>
      <c r="S40" s="116">
        <v>0</v>
      </c>
      <c r="T40" s="116">
        <v>0</v>
      </c>
      <c r="U40" s="116">
        <v>8</v>
      </c>
      <c r="V40" s="116">
        <v>1</v>
      </c>
      <c r="W40" s="116">
        <v>3</v>
      </c>
    </row>
    <row r="41" spans="1:23">
      <c r="A41" s="76" t="s">
        <v>268</v>
      </c>
      <c r="B41" s="76" t="s">
        <v>269</v>
      </c>
      <c r="C41" s="77" t="s">
        <v>884</v>
      </c>
      <c r="D41" s="57">
        <f t="shared" si="1"/>
        <v>0</v>
      </c>
      <c r="E41" s="57">
        <f t="shared" si="2"/>
        <v>0</v>
      </c>
      <c r="F41" s="57">
        <f t="shared" si="3"/>
        <v>10</v>
      </c>
      <c r="G41" s="57">
        <f t="shared" si="4"/>
        <v>0</v>
      </c>
      <c r="H41" s="57">
        <f t="shared" si="5"/>
        <v>0</v>
      </c>
      <c r="I41" s="116">
        <v>0</v>
      </c>
      <c r="J41" s="116">
        <v>0</v>
      </c>
      <c r="K41" s="116">
        <v>0</v>
      </c>
      <c r="L41" s="116">
        <v>0</v>
      </c>
      <c r="M41" s="116">
        <v>0</v>
      </c>
      <c r="N41" s="116">
        <v>0</v>
      </c>
      <c r="O41" s="116">
        <v>8</v>
      </c>
      <c r="P41" s="116">
        <v>2</v>
      </c>
      <c r="Q41" s="116">
        <v>0</v>
      </c>
      <c r="R41" s="116">
        <v>0</v>
      </c>
      <c r="S41" s="116">
        <v>0</v>
      </c>
      <c r="T41" s="116">
        <v>0</v>
      </c>
      <c r="U41" s="116">
        <v>0</v>
      </c>
      <c r="V41" s="116">
        <v>0</v>
      </c>
      <c r="W41" s="116">
        <v>0</v>
      </c>
    </row>
    <row r="42" spans="1:23">
      <c r="A42" s="76" t="s">
        <v>815</v>
      </c>
      <c r="B42" s="76" t="s">
        <v>816</v>
      </c>
      <c r="C42" s="77" t="s">
        <v>884</v>
      </c>
      <c r="D42" s="57">
        <f t="shared" si="1"/>
        <v>3</v>
      </c>
      <c r="E42" s="57">
        <f t="shared" si="2"/>
        <v>0</v>
      </c>
      <c r="F42" s="57">
        <f t="shared" si="3"/>
        <v>10</v>
      </c>
      <c r="G42" s="57">
        <f t="shared" si="4"/>
        <v>0</v>
      </c>
      <c r="H42" s="57">
        <f t="shared" si="5"/>
        <v>0</v>
      </c>
      <c r="I42" s="116">
        <v>1</v>
      </c>
      <c r="J42" s="116">
        <v>1</v>
      </c>
      <c r="K42" s="116">
        <v>1</v>
      </c>
      <c r="L42" s="116">
        <v>0</v>
      </c>
      <c r="M42" s="116">
        <v>0</v>
      </c>
      <c r="N42" s="116">
        <v>0</v>
      </c>
      <c r="O42" s="116">
        <v>7</v>
      </c>
      <c r="P42" s="116">
        <v>1</v>
      </c>
      <c r="Q42" s="116">
        <v>2</v>
      </c>
      <c r="R42" s="116">
        <v>0</v>
      </c>
      <c r="S42" s="116">
        <v>0</v>
      </c>
      <c r="T42" s="116">
        <v>0</v>
      </c>
      <c r="U42" s="116">
        <v>0</v>
      </c>
      <c r="V42" s="116">
        <v>0</v>
      </c>
      <c r="W42" s="116">
        <v>0</v>
      </c>
    </row>
    <row r="43" spans="1:23">
      <c r="A43" s="76" t="s">
        <v>835</v>
      </c>
      <c r="B43" s="76" t="s">
        <v>836</v>
      </c>
      <c r="C43" s="77" t="s">
        <v>884</v>
      </c>
      <c r="D43" s="57">
        <f t="shared" si="1"/>
        <v>0</v>
      </c>
      <c r="E43" s="57">
        <f t="shared" si="2"/>
        <v>2</v>
      </c>
      <c r="F43" s="57">
        <f t="shared" si="3"/>
        <v>4</v>
      </c>
      <c r="G43" s="57">
        <f t="shared" si="4"/>
        <v>0</v>
      </c>
      <c r="H43" s="57">
        <f t="shared" si="5"/>
        <v>3</v>
      </c>
      <c r="I43" s="116">
        <v>0</v>
      </c>
      <c r="J43" s="116">
        <v>0</v>
      </c>
      <c r="K43" s="116">
        <v>0</v>
      </c>
      <c r="L43" s="116">
        <v>2</v>
      </c>
      <c r="M43" s="116">
        <v>0</v>
      </c>
      <c r="N43" s="116">
        <v>0</v>
      </c>
      <c r="O43" s="116">
        <v>4</v>
      </c>
      <c r="P43" s="116">
        <v>0</v>
      </c>
      <c r="Q43" s="116">
        <v>0</v>
      </c>
      <c r="R43" s="116">
        <v>0</v>
      </c>
      <c r="S43" s="116">
        <v>0</v>
      </c>
      <c r="T43" s="116">
        <v>0</v>
      </c>
      <c r="U43" s="116">
        <v>1</v>
      </c>
      <c r="V43" s="116">
        <v>2</v>
      </c>
      <c r="W43" s="116">
        <v>0</v>
      </c>
    </row>
    <row r="44" spans="1:23">
      <c r="A44" s="76" t="s">
        <v>837</v>
      </c>
      <c r="B44" s="76" t="s">
        <v>838</v>
      </c>
      <c r="C44" s="77" t="s">
        <v>884</v>
      </c>
      <c r="D44" s="57">
        <f t="shared" si="1"/>
        <v>0</v>
      </c>
      <c r="E44" s="57">
        <f t="shared" si="2"/>
        <v>1</v>
      </c>
      <c r="F44" s="57">
        <f t="shared" si="3"/>
        <v>3</v>
      </c>
      <c r="G44" s="57">
        <f t="shared" si="4"/>
        <v>10</v>
      </c>
      <c r="H44" s="57">
        <f t="shared" si="5"/>
        <v>0</v>
      </c>
      <c r="I44" s="116">
        <v>0</v>
      </c>
      <c r="J44" s="116">
        <v>0</v>
      </c>
      <c r="K44" s="116">
        <v>0</v>
      </c>
      <c r="L44" s="116">
        <v>0</v>
      </c>
      <c r="M44" s="116">
        <v>1</v>
      </c>
      <c r="N44" s="116">
        <v>0</v>
      </c>
      <c r="O44" s="116">
        <v>3</v>
      </c>
      <c r="P44" s="116">
        <v>0</v>
      </c>
      <c r="Q44" s="116">
        <v>0</v>
      </c>
      <c r="R44" s="116">
        <v>6</v>
      </c>
      <c r="S44" s="116">
        <v>4</v>
      </c>
      <c r="T44" s="116">
        <v>0</v>
      </c>
      <c r="U44" s="116">
        <v>0</v>
      </c>
      <c r="V44" s="116">
        <v>0</v>
      </c>
      <c r="W44" s="116">
        <v>0</v>
      </c>
    </row>
    <row r="45" spans="1:23">
      <c r="A45" s="76" t="s">
        <v>589</v>
      </c>
      <c r="B45" s="76" t="s">
        <v>590</v>
      </c>
      <c r="C45" s="77" t="s">
        <v>909</v>
      </c>
      <c r="D45" s="57">
        <f t="shared" si="1"/>
        <v>2</v>
      </c>
      <c r="E45" s="57">
        <f t="shared" si="2"/>
        <v>1</v>
      </c>
      <c r="F45" s="57">
        <f t="shared" si="3"/>
        <v>0</v>
      </c>
      <c r="G45" s="57">
        <f t="shared" si="4"/>
        <v>0</v>
      </c>
      <c r="H45" s="57">
        <f t="shared" si="5"/>
        <v>34</v>
      </c>
      <c r="I45" s="116">
        <v>1</v>
      </c>
      <c r="J45" s="116">
        <v>1</v>
      </c>
      <c r="K45" s="116">
        <v>0</v>
      </c>
      <c r="L45" s="116">
        <v>1</v>
      </c>
      <c r="M45" s="116">
        <v>0</v>
      </c>
      <c r="N45" s="116">
        <v>0</v>
      </c>
      <c r="O45" s="116">
        <v>0</v>
      </c>
      <c r="P45" s="116">
        <v>0</v>
      </c>
      <c r="Q45" s="116">
        <v>0</v>
      </c>
      <c r="R45" s="116">
        <v>0</v>
      </c>
      <c r="S45" s="116">
        <v>0</v>
      </c>
      <c r="T45" s="116">
        <v>0</v>
      </c>
      <c r="U45" s="116">
        <v>8</v>
      </c>
      <c r="V45" s="116">
        <v>26</v>
      </c>
      <c r="W45" s="116">
        <v>0</v>
      </c>
    </row>
    <row r="46" spans="1:23">
      <c r="A46" s="76" t="s">
        <v>142</v>
      </c>
      <c r="B46" s="76" t="s">
        <v>143</v>
      </c>
      <c r="C46" s="77" t="s">
        <v>909</v>
      </c>
      <c r="D46" s="57">
        <f t="shared" si="1"/>
        <v>0</v>
      </c>
      <c r="E46" s="57">
        <f t="shared" si="2"/>
        <v>13</v>
      </c>
      <c r="F46" s="57">
        <f t="shared" si="3"/>
        <v>2</v>
      </c>
      <c r="G46" s="57">
        <f t="shared" si="4"/>
        <v>0</v>
      </c>
      <c r="H46" s="57">
        <f t="shared" si="5"/>
        <v>12</v>
      </c>
      <c r="I46" s="116">
        <v>0</v>
      </c>
      <c r="J46" s="116">
        <v>0</v>
      </c>
      <c r="K46" s="116">
        <v>0</v>
      </c>
      <c r="L46" s="116">
        <v>5</v>
      </c>
      <c r="M46" s="116">
        <v>0</v>
      </c>
      <c r="N46" s="116">
        <v>8</v>
      </c>
      <c r="O46" s="116">
        <v>2</v>
      </c>
      <c r="P46" s="116">
        <v>0</v>
      </c>
      <c r="Q46" s="116">
        <v>0</v>
      </c>
      <c r="R46" s="116">
        <v>0</v>
      </c>
      <c r="S46" s="116">
        <v>0</v>
      </c>
      <c r="T46" s="116">
        <v>0</v>
      </c>
      <c r="U46" s="116">
        <v>7</v>
      </c>
      <c r="V46" s="116">
        <v>0</v>
      </c>
      <c r="W46" s="116">
        <v>5</v>
      </c>
    </row>
    <row r="47" spans="1:23">
      <c r="A47" s="76" t="s">
        <v>601</v>
      </c>
      <c r="B47" s="76" t="s">
        <v>602</v>
      </c>
      <c r="C47" s="77" t="s">
        <v>909</v>
      </c>
      <c r="D47" s="57">
        <f t="shared" si="1"/>
        <v>0</v>
      </c>
      <c r="E47" s="57">
        <f t="shared" si="2"/>
        <v>0</v>
      </c>
      <c r="F47" s="57">
        <f t="shared" si="3"/>
        <v>17</v>
      </c>
      <c r="G47" s="57">
        <f t="shared" si="4"/>
        <v>0</v>
      </c>
      <c r="H47" s="57">
        <f t="shared" si="5"/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  <c r="O47" s="116">
        <v>12</v>
      </c>
      <c r="P47" s="116">
        <v>5</v>
      </c>
      <c r="Q47" s="116">
        <v>0</v>
      </c>
      <c r="R47" s="116">
        <v>0</v>
      </c>
      <c r="S47" s="116">
        <v>0</v>
      </c>
      <c r="T47" s="116">
        <v>0</v>
      </c>
      <c r="U47" s="116">
        <v>0</v>
      </c>
      <c r="V47" s="116">
        <v>0</v>
      </c>
      <c r="W47" s="116">
        <v>0</v>
      </c>
    </row>
    <row r="48" spans="1:23">
      <c r="A48" s="76" t="s">
        <v>603</v>
      </c>
      <c r="B48" s="76" t="s">
        <v>604</v>
      </c>
      <c r="C48" s="77" t="s">
        <v>909</v>
      </c>
      <c r="D48" s="57">
        <f t="shared" si="1"/>
        <v>1</v>
      </c>
      <c r="E48" s="57">
        <f t="shared" si="2"/>
        <v>2</v>
      </c>
      <c r="F48" s="57">
        <f t="shared" si="3"/>
        <v>15</v>
      </c>
      <c r="G48" s="57">
        <f t="shared" si="4"/>
        <v>0</v>
      </c>
      <c r="H48" s="57">
        <f t="shared" si="5"/>
        <v>0</v>
      </c>
      <c r="I48" s="116">
        <v>0</v>
      </c>
      <c r="J48" s="116">
        <v>1</v>
      </c>
      <c r="K48" s="116">
        <v>0</v>
      </c>
      <c r="L48" s="116">
        <v>1</v>
      </c>
      <c r="M48" s="116">
        <v>1</v>
      </c>
      <c r="N48" s="116">
        <v>0</v>
      </c>
      <c r="O48" s="116">
        <v>12</v>
      </c>
      <c r="P48" s="116">
        <v>3</v>
      </c>
      <c r="Q48" s="116">
        <v>0</v>
      </c>
      <c r="R48" s="116">
        <v>0</v>
      </c>
      <c r="S48" s="116">
        <v>0</v>
      </c>
      <c r="T48" s="116">
        <v>0</v>
      </c>
      <c r="U48" s="116">
        <v>0</v>
      </c>
      <c r="V48" s="116">
        <v>0</v>
      </c>
      <c r="W48" s="116">
        <v>0</v>
      </c>
    </row>
    <row r="49" spans="1:23">
      <c r="A49" s="76" t="s">
        <v>605</v>
      </c>
      <c r="B49" s="76" t="s">
        <v>606</v>
      </c>
      <c r="C49" s="77" t="s">
        <v>909</v>
      </c>
      <c r="D49" s="57">
        <f t="shared" si="1"/>
        <v>0</v>
      </c>
      <c r="E49" s="57">
        <f t="shared" si="2"/>
        <v>1</v>
      </c>
      <c r="F49" s="57">
        <f t="shared" si="3"/>
        <v>17</v>
      </c>
      <c r="G49" s="57">
        <f t="shared" si="4"/>
        <v>0</v>
      </c>
      <c r="H49" s="57">
        <f t="shared" si="5"/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1</v>
      </c>
      <c r="N49" s="116">
        <v>0</v>
      </c>
      <c r="O49" s="116">
        <v>11</v>
      </c>
      <c r="P49" s="116">
        <v>2</v>
      </c>
      <c r="Q49" s="116">
        <v>4</v>
      </c>
      <c r="R49" s="116">
        <v>0</v>
      </c>
      <c r="S49" s="116">
        <v>0</v>
      </c>
      <c r="T49" s="116">
        <v>0</v>
      </c>
      <c r="U49" s="116">
        <v>0</v>
      </c>
      <c r="V49" s="116">
        <v>0</v>
      </c>
      <c r="W49" s="116">
        <v>0</v>
      </c>
    </row>
    <row r="50" spans="1:23">
      <c r="A50" s="76" t="s">
        <v>607</v>
      </c>
      <c r="B50" s="76" t="s">
        <v>608</v>
      </c>
      <c r="C50" s="77" t="s">
        <v>909</v>
      </c>
      <c r="D50" s="57">
        <f t="shared" si="1"/>
        <v>0</v>
      </c>
      <c r="E50" s="57">
        <f t="shared" si="2"/>
        <v>0</v>
      </c>
      <c r="F50" s="57">
        <f t="shared" si="3"/>
        <v>17</v>
      </c>
      <c r="G50" s="57">
        <f t="shared" si="4"/>
        <v>0</v>
      </c>
      <c r="H50" s="57">
        <f t="shared" si="5"/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  <c r="O50" s="116">
        <v>13</v>
      </c>
      <c r="P50" s="116">
        <v>4</v>
      </c>
      <c r="Q50" s="116">
        <v>0</v>
      </c>
      <c r="R50" s="116">
        <v>0</v>
      </c>
      <c r="S50" s="116">
        <v>0</v>
      </c>
      <c r="T50" s="116">
        <v>0</v>
      </c>
      <c r="U50" s="116">
        <v>0</v>
      </c>
      <c r="V50" s="116">
        <v>0</v>
      </c>
      <c r="W50" s="116">
        <v>0</v>
      </c>
    </row>
    <row r="51" spans="1:23">
      <c r="A51" s="76" t="s">
        <v>199</v>
      </c>
      <c r="B51" s="76" t="s">
        <v>200</v>
      </c>
      <c r="C51" s="77" t="s">
        <v>909</v>
      </c>
      <c r="D51" s="57">
        <f t="shared" si="1"/>
        <v>0</v>
      </c>
      <c r="E51" s="57">
        <f t="shared" si="2"/>
        <v>0</v>
      </c>
      <c r="F51" s="57">
        <f t="shared" si="3"/>
        <v>16</v>
      </c>
      <c r="G51" s="57">
        <f t="shared" si="4"/>
        <v>0</v>
      </c>
      <c r="H51" s="57">
        <f t="shared" si="5"/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  <c r="O51" s="116">
        <v>11</v>
      </c>
      <c r="P51" s="116">
        <v>5</v>
      </c>
      <c r="Q51" s="116">
        <v>0</v>
      </c>
      <c r="R51" s="116">
        <v>0</v>
      </c>
      <c r="S51" s="116">
        <v>0</v>
      </c>
      <c r="T51" s="116">
        <v>0</v>
      </c>
      <c r="U51" s="116">
        <v>0</v>
      </c>
      <c r="V51" s="116">
        <v>0</v>
      </c>
      <c r="W51" s="116">
        <v>0</v>
      </c>
    </row>
    <row r="52" spans="1:23">
      <c r="A52" s="76" t="s">
        <v>202</v>
      </c>
      <c r="B52" s="76" t="s">
        <v>203</v>
      </c>
      <c r="C52" s="77" t="s">
        <v>909</v>
      </c>
      <c r="D52" s="57">
        <f t="shared" si="1"/>
        <v>0</v>
      </c>
      <c r="E52" s="57">
        <f t="shared" si="2"/>
        <v>0</v>
      </c>
      <c r="F52" s="57">
        <f t="shared" si="3"/>
        <v>0</v>
      </c>
      <c r="G52" s="57">
        <f t="shared" si="4"/>
        <v>0</v>
      </c>
      <c r="H52" s="57">
        <f t="shared" si="5"/>
        <v>11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  <c r="O52" s="116">
        <v>0</v>
      </c>
      <c r="P52" s="116">
        <v>0</v>
      </c>
      <c r="Q52" s="116">
        <v>0</v>
      </c>
      <c r="R52" s="116">
        <v>0</v>
      </c>
      <c r="S52" s="116">
        <v>0</v>
      </c>
      <c r="T52" s="116">
        <v>0</v>
      </c>
      <c r="U52" s="116">
        <v>9</v>
      </c>
      <c r="V52" s="116">
        <v>2</v>
      </c>
      <c r="W52" s="116">
        <v>0</v>
      </c>
    </row>
    <row r="53" spans="1:23">
      <c r="A53" s="76" t="s">
        <v>139</v>
      </c>
      <c r="B53" s="76" t="s">
        <v>140</v>
      </c>
      <c r="C53" s="77" t="s">
        <v>909</v>
      </c>
      <c r="D53" s="57">
        <f t="shared" si="1"/>
        <v>0</v>
      </c>
      <c r="E53" s="57">
        <f t="shared" si="2"/>
        <v>1</v>
      </c>
      <c r="F53" s="57">
        <f t="shared" si="3"/>
        <v>23</v>
      </c>
      <c r="G53" s="57">
        <f t="shared" si="4"/>
        <v>0</v>
      </c>
      <c r="H53" s="57">
        <f t="shared" si="5"/>
        <v>0</v>
      </c>
      <c r="I53" s="116">
        <v>0</v>
      </c>
      <c r="J53" s="116">
        <v>0</v>
      </c>
      <c r="K53" s="116">
        <v>0</v>
      </c>
      <c r="L53" s="116">
        <v>1</v>
      </c>
      <c r="M53" s="116">
        <v>0</v>
      </c>
      <c r="N53" s="116">
        <v>0</v>
      </c>
      <c r="O53" s="116">
        <v>17</v>
      </c>
      <c r="P53" s="116">
        <v>6</v>
      </c>
      <c r="Q53" s="116">
        <v>0</v>
      </c>
      <c r="R53" s="116">
        <v>0</v>
      </c>
      <c r="S53" s="116">
        <v>0</v>
      </c>
      <c r="T53" s="116">
        <v>0</v>
      </c>
      <c r="U53" s="116">
        <v>0</v>
      </c>
      <c r="V53" s="116">
        <v>0</v>
      </c>
      <c r="W53" s="116">
        <v>0</v>
      </c>
    </row>
    <row r="54" spans="1:23">
      <c r="A54" s="76" t="s">
        <v>274</v>
      </c>
      <c r="B54" s="76" t="s">
        <v>275</v>
      </c>
      <c r="C54" s="77" t="s">
        <v>909</v>
      </c>
      <c r="D54" s="57">
        <f t="shared" si="1"/>
        <v>0</v>
      </c>
      <c r="E54" s="57">
        <f t="shared" si="2"/>
        <v>0</v>
      </c>
      <c r="F54" s="57">
        <f t="shared" si="3"/>
        <v>1</v>
      </c>
      <c r="G54" s="57">
        <f t="shared" si="4"/>
        <v>0</v>
      </c>
      <c r="H54" s="57">
        <f t="shared" si="5"/>
        <v>14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  <c r="O54" s="116">
        <v>1</v>
      </c>
      <c r="P54" s="116">
        <v>0</v>
      </c>
      <c r="Q54" s="116">
        <v>0</v>
      </c>
      <c r="R54" s="116">
        <v>0</v>
      </c>
      <c r="S54" s="116">
        <v>0</v>
      </c>
      <c r="T54" s="116">
        <v>0</v>
      </c>
      <c r="U54" s="116">
        <v>11</v>
      </c>
      <c r="V54" s="116">
        <v>3</v>
      </c>
      <c r="W54" s="116">
        <v>0</v>
      </c>
    </row>
    <row r="55" spans="1:23">
      <c r="A55" s="76" t="s">
        <v>629</v>
      </c>
      <c r="B55" s="76" t="s">
        <v>630</v>
      </c>
      <c r="C55" s="77" t="s">
        <v>909</v>
      </c>
      <c r="D55" s="57">
        <f t="shared" si="1"/>
        <v>0</v>
      </c>
      <c r="E55" s="57">
        <f t="shared" si="2"/>
        <v>0</v>
      </c>
      <c r="F55" s="57">
        <f t="shared" si="3"/>
        <v>0</v>
      </c>
      <c r="G55" s="57">
        <f t="shared" si="4"/>
        <v>12</v>
      </c>
      <c r="H55" s="57">
        <f t="shared" si="5"/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  <c r="O55" s="116">
        <v>0</v>
      </c>
      <c r="P55" s="116">
        <v>0</v>
      </c>
      <c r="Q55" s="116">
        <v>0</v>
      </c>
      <c r="R55" s="116">
        <v>10</v>
      </c>
      <c r="S55" s="116">
        <v>2</v>
      </c>
      <c r="T55" s="116">
        <v>0</v>
      </c>
      <c r="U55" s="116">
        <v>0</v>
      </c>
      <c r="V55" s="116">
        <v>0</v>
      </c>
      <c r="W55" s="116">
        <v>0</v>
      </c>
    </row>
    <row r="56" spans="1:23">
      <c r="A56" s="76" t="s">
        <v>205</v>
      </c>
      <c r="B56" s="76" t="s">
        <v>206</v>
      </c>
      <c r="C56" s="77" t="s">
        <v>909</v>
      </c>
      <c r="D56" s="57">
        <f t="shared" si="1"/>
        <v>0</v>
      </c>
      <c r="E56" s="57">
        <f t="shared" si="2"/>
        <v>0</v>
      </c>
      <c r="F56" s="57">
        <f t="shared" si="3"/>
        <v>0</v>
      </c>
      <c r="G56" s="57">
        <f t="shared" si="4"/>
        <v>16</v>
      </c>
      <c r="H56" s="57">
        <f t="shared" si="5"/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  <c r="O56" s="116">
        <v>0</v>
      </c>
      <c r="P56" s="116">
        <v>0</v>
      </c>
      <c r="Q56" s="116">
        <v>0</v>
      </c>
      <c r="R56" s="116">
        <v>13</v>
      </c>
      <c r="S56" s="116">
        <v>3</v>
      </c>
      <c r="T56" s="116">
        <v>0</v>
      </c>
      <c r="U56" s="116">
        <v>0</v>
      </c>
      <c r="V56" s="116">
        <v>0</v>
      </c>
      <c r="W56" s="116">
        <v>0</v>
      </c>
    </row>
    <row r="57" spans="1:23">
      <c r="A57" s="76" t="s">
        <v>645</v>
      </c>
      <c r="B57" s="76" t="s">
        <v>646</v>
      </c>
      <c r="C57" s="77" t="s">
        <v>909</v>
      </c>
      <c r="D57" s="57">
        <f t="shared" si="1"/>
        <v>0</v>
      </c>
      <c r="E57" s="57">
        <f t="shared" si="2"/>
        <v>0</v>
      </c>
      <c r="F57" s="57">
        <f t="shared" si="3"/>
        <v>0</v>
      </c>
      <c r="G57" s="57">
        <f t="shared" si="4"/>
        <v>0</v>
      </c>
      <c r="H57" s="57">
        <f t="shared" si="5"/>
        <v>10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  <c r="O57" s="116">
        <v>0</v>
      </c>
      <c r="P57" s="116">
        <v>0</v>
      </c>
      <c r="Q57" s="116">
        <v>0</v>
      </c>
      <c r="R57" s="116">
        <v>0</v>
      </c>
      <c r="S57" s="116">
        <v>0</v>
      </c>
      <c r="T57" s="116">
        <v>0</v>
      </c>
      <c r="U57" s="116">
        <v>9</v>
      </c>
      <c r="V57" s="116">
        <v>1</v>
      </c>
      <c r="W57" s="116">
        <v>0</v>
      </c>
    </row>
    <row r="58" spans="1:23">
      <c r="A58" s="76" t="s">
        <v>647</v>
      </c>
      <c r="B58" s="76" t="s">
        <v>648</v>
      </c>
      <c r="C58" s="77" t="s">
        <v>909</v>
      </c>
      <c r="D58" s="57">
        <f t="shared" si="1"/>
        <v>0</v>
      </c>
      <c r="E58" s="57">
        <f t="shared" si="2"/>
        <v>4</v>
      </c>
      <c r="F58" s="57">
        <f t="shared" si="3"/>
        <v>29</v>
      </c>
      <c r="G58" s="57">
        <f t="shared" si="4"/>
        <v>0</v>
      </c>
      <c r="H58" s="57">
        <f t="shared" si="5"/>
        <v>0</v>
      </c>
      <c r="I58" s="116">
        <v>0</v>
      </c>
      <c r="J58" s="116">
        <v>0</v>
      </c>
      <c r="K58" s="116">
        <v>0</v>
      </c>
      <c r="L58" s="116">
        <v>2</v>
      </c>
      <c r="M58" s="116">
        <v>2</v>
      </c>
      <c r="N58" s="116">
        <v>0</v>
      </c>
      <c r="O58" s="116">
        <v>16</v>
      </c>
      <c r="P58" s="116">
        <v>13</v>
      </c>
      <c r="Q58" s="116">
        <v>0</v>
      </c>
      <c r="R58" s="116">
        <v>0</v>
      </c>
      <c r="S58" s="116">
        <v>0</v>
      </c>
      <c r="T58" s="116">
        <v>0</v>
      </c>
      <c r="U58" s="116">
        <v>0</v>
      </c>
      <c r="V58" s="116">
        <v>0</v>
      </c>
      <c r="W58" s="116">
        <v>0</v>
      </c>
    </row>
    <row r="59" spans="1:23">
      <c r="A59" s="76" t="s">
        <v>661</v>
      </c>
      <c r="B59" s="76" t="s">
        <v>662</v>
      </c>
      <c r="C59" s="77" t="s">
        <v>909</v>
      </c>
      <c r="D59" s="57">
        <f t="shared" si="1"/>
        <v>0</v>
      </c>
      <c r="E59" s="57">
        <f t="shared" si="2"/>
        <v>2</v>
      </c>
      <c r="F59" s="57">
        <f t="shared" si="3"/>
        <v>0</v>
      </c>
      <c r="G59" s="57">
        <f t="shared" si="4"/>
        <v>15</v>
      </c>
      <c r="H59" s="57">
        <f t="shared" si="5"/>
        <v>0</v>
      </c>
      <c r="I59" s="116">
        <v>0</v>
      </c>
      <c r="J59" s="116">
        <v>0</v>
      </c>
      <c r="K59" s="116">
        <v>0</v>
      </c>
      <c r="L59" s="116">
        <v>1</v>
      </c>
      <c r="M59" s="116">
        <v>1</v>
      </c>
      <c r="N59" s="116">
        <v>0</v>
      </c>
      <c r="O59" s="116">
        <v>0</v>
      </c>
      <c r="P59" s="116">
        <v>0</v>
      </c>
      <c r="Q59" s="116">
        <v>0</v>
      </c>
      <c r="R59" s="116">
        <v>12</v>
      </c>
      <c r="S59" s="116">
        <v>3</v>
      </c>
      <c r="T59" s="116">
        <v>0</v>
      </c>
      <c r="U59" s="116">
        <v>0</v>
      </c>
      <c r="V59" s="116">
        <v>0</v>
      </c>
      <c r="W59" s="116">
        <v>0</v>
      </c>
    </row>
    <row r="60" spans="1:23">
      <c r="A60" s="76" t="s">
        <v>689</v>
      </c>
      <c r="B60" s="76" t="s">
        <v>690</v>
      </c>
      <c r="C60" s="77" t="s">
        <v>909</v>
      </c>
      <c r="D60" s="57">
        <f t="shared" si="1"/>
        <v>0</v>
      </c>
      <c r="E60" s="57">
        <f t="shared" si="2"/>
        <v>0</v>
      </c>
      <c r="F60" s="57">
        <f t="shared" si="3"/>
        <v>0</v>
      </c>
      <c r="G60" s="57">
        <f t="shared" si="4"/>
        <v>15</v>
      </c>
      <c r="H60" s="57">
        <f t="shared" si="5"/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  <c r="O60" s="116">
        <v>0</v>
      </c>
      <c r="P60" s="116">
        <v>0</v>
      </c>
      <c r="Q60" s="116">
        <v>0</v>
      </c>
      <c r="R60" s="116">
        <v>9</v>
      </c>
      <c r="S60" s="116">
        <v>6</v>
      </c>
      <c r="T60" s="116">
        <v>0</v>
      </c>
      <c r="U60" s="116">
        <v>0</v>
      </c>
      <c r="V60" s="116">
        <v>0</v>
      </c>
      <c r="W60" s="116">
        <v>0</v>
      </c>
    </row>
    <row r="61" spans="1:23">
      <c r="A61" s="76" t="s">
        <v>229</v>
      </c>
      <c r="B61" s="76" t="s">
        <v>230</v>
      </c>
      <c r="C61" s="77" t="s">
        <v>909</v>
      </c>
      <c r="D61" s="57">
        <f t="shared" si="1"/>
        <v>4</v>
      </c>
      <c r="E61" s="57">
        <f t="shared" si="2"/>
        <v>0</v>
      </c>
      <c r="F61" s="57">
        <f t="shared" si="3"/>
        <v>0</v>
      </c>
      <c r="G61" s="57">
        <f t="shared" si="4"/>
        <v>10</v>
      </c>
      <c r="H61" s="57">
        <f t="shared" si="5"/>
        <v>0</v>
      </c>
      <c r="I61" s="116">
        <v>2</v>
      </c>
      <c r="J61" s="116">
        <v>2</v>
      </c>
      <c r="K61" s="116">
        <v>0</v>
      </c>
      <c r="L61" s="116">
        <v>0</v>
      </c>
      <c r="M61" s="116">
        <v>0</v>
      </c>
      <c r="N61" s="116">
        <v>0</v>
      </c>
      <c r="O61" s="116">
        <v>0</v>
      </c>
      <c r="P61" s="116">
        <v>0</v>
      </c>
      <c r="Q61" s="116">
        <v>0</v>
      </c>
      <c r="R61" s="116">
        <v>9</v>
      </c>
      <c r="S61" s="116">
        <v>1</v>
      </c>
      <c r="T61" s="116">
        <v>0</v>
      </c>
      <c r="U61" s="116">
        <v>0</v>
      </c>
      <c r="V61" s="116">
        <v>0</v>
      </c>
      <c r="W61" s="116">
        <v>0</v>
      </c>
    </row>
    <row r="62" spans="1:23">
      <c r="A62" s="76" t="s">
        <v>723</v>
      </c>
      <c r="B62" s="76" t="s">
        <v>724</v>
      </c>
      <c r="C62" s="77" t="s">
        <v>909</v>
      </c>
      <c r="D62" s="57">
        <f t="shared" si="1"/>
        <v>0</v>
      </c>
      <c r="E62" s="57">
        <f t="shared" si="2"/>
        <v>0</v>
      </c>
      <c r="F62" s="57">
        <f t="shared" si="3"/>
        <v>0</v>
      </c>
      <c r="G62" s="57">
        <f t="shared" si="4"/>
        <v>0</v>
      </c>
      <c r="H62" s="57">
        <f t="shared" si="5"/>
        <v>14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  <c r="O62" s="116">
        <v>0</v>
      </c>
      <c r="P62" s="116">
        <v>0</v>
      </c>
      <c r="Q62" s="116">
        <v>0</v>
      </c>
      <c r="R62" s="116">
        <v>0</v>
      </c>
      <c r="S62" s="116">
        <v>0</v>
      </c>
      <c r="T62" s="116">
        <v>0</v>
      </c>
      <c r="U62" s="116">
        <v>9</v>
      </c>
      <c r="V62" s="116">
        <v>5</v>
      </c>
      <c r="W62" s="116">
        <v>0</v>
      </c>
    </row>
    <row r="63" spans="1:23">
      <c r="A63" s="76" t="s">
        <v>27</v>
      </c>
      <c r="B63" s="76" t="s">
        <v>28</v>
      </c>
      <c r="C63" s="77" t="s">
        <v>909</v>
      </c>
      <c r="D63" s="57">
        <f t="shared" si="1"/>
        <v>5</v>
      </c>
      <c r="E63" s="57">
        <f t="shared" si="2"/>
        <v>3</v>
      </c>
      <c r="F63" s="57">
        <f t="shared" si="3"/>
        <v>14</v>
      </c>
      <c r="G63" s="57">
        <f t="shared" si="4"/>
        <v>0</v>
      </c>
      <c r="H63" s="57">
        <f t="shared" si="5"/>
        <v>0</v>
      </c>
      <c r="I63" s="116">
        <v>3</v>
      </c>
      <c r="J63" s="116">
        <v>2</v>
      </c>
      <c r="K63" s="116">
        <v>0</v>
      </c>
      <c r="L63" s="116">
        <v>2</v>
      </c>
      <c r="M63" s="116">
        <v>1</v>
      </c>
      <c r="N63" s="116">
        <v>0</v>
      </c>
      <c r="O63" s="116">
        <v>8</v>
      </c>
      <c r="P63" s="116">
        <v>2</v>
      </c>
      <c r="Q63" s="116">
        <v>4</v>
      </c>
      <c r="R63" s="116">
        <v>0</v>
      </c>
      <c r="S63" s="116">
        <v>0</v>
      </c>
      <c r="T63" s="116">
        <v>0</v>
      </c>
      <c r="U63" s="116">
        <v>0</v>
      </c>
      <c r="V63" s="116">
        <v>0</v>
      </c>
      <c r="W63" s="116">
        <v>0</v>
      </c>
    </row>
    <row r="64" spans="1:23">
      <c r="A64" s="76" t="s">
        <v>157</v>
      </c>
      <c r="B64" s="76" t="s">
        <v>158</v>
      </c>
      <c r="C64" s="77" t="s">
        <v>909</v>
      </c>
      <c r="D64" s="57">
        <f t="shared" si="1"/>
        <v>1</v>
      </c>
      <c r="E64" s="57">
        <f t="shared" si="2"/>
        <v>0</v>
      </c>
      <c r="F64" s="57">
        <f t="shared" si="3"/>
        <v>1</v>
      </c>
      <c r="G64" s="57">
        <f t="shared" si="4"/>
        <v>0</v>
      </c>
      <c r="H64" s="57">
        <f t="shared" si="5"/>
        <v>17</v>
      </c>
      <c r="I64" s="116">
        <v>1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  <c r="O64" s="116">
        <v>1</v>
      </c>
      <c r="P64" s="116">
        <v>0</v>
      </c>
      <c r="Q64" s="116">
        <v>0</v>
      </c>
      <c r="R64" s="116">
        <v>0</v>
      </c>
      <c r="S64" s="116">
        <v>0</v>
      </c>
      <c r="T64" s="116">
        <v>0</v>
      </c>
      <c r="U64" s="116">
        <v>15</v>
      </c>
      <c r="V64" s="116">
        <v>2</v>
      </c>
      <c r="W64" s="116">
        <v>0</v>
      </c>
    </row>
    <row r="65" spans="1:23">
      <c r="A65" s="76" t="s">
        <v>741</v>
      </c>
      <c r="B65" s="76" t="s">
        <v>742</v>
      </c>
      <c r="C65" s="77" t="s">
        <v>909</v>
      </c>
      <c r="D65" s="57">
        <f t="shared" si="1"/>
        <v>0</v>
      </c>
      <c r="E65" s="57">
        <f t="shared" si="2"/>
        <v>2</v>
      </c>
      <c r="F65" s="57">
        <f t="shared" si="3"/>
        <v>11</v>
      </c>
      <c r="G65" s="57">
        <f t="shared" si="4"/>
        <v>0</v>
      </c>
      <c r="H65" s="57">
        <f t="shared" si="5"/>
        <v>0</v>
      </c>
      <c r="I65" s="116">
        <v>0</v>
      </c>
      <c r="J65" s="116">
        <v>0</v>
      </c>
      <c r="K65" s="116">
        <v>0</v>
      </c>
      <c r="L65" s="116">
        <v>1</v>
      </c>
      <c r="M65" s="116">
        <v>1</v>
      </c>
      <c r="N65" s="116">
        <v>0</v>
      </c>
      <c r="O65" s="116">
        <v>7</v>
      </c>
      <c r="P65" s="116">
        <v>4</v>
      </c>
      <c r="Q65" s="116">
        <v>0</v>
      </c>
      <c r="R65" s="116">
        <v>0</v>
      </c>
      <c r="S65" s="116">
        <v>0</v>
      </c>
      <c r="T65" s="116">
        <v>0</v>
      </c>
      <c r="U65" s="116">
        <v>0</v>
      </c>
      <c r="V65" s="116">
        <v>0</v>
      </c>
      <c r="W65" s="116">
        <v>0</v>
      </c>
    </row>
    <row r="66" spans="1:23">
      <c r="A66" s="76" t="s">
        <v>743</v>
      </c>
      <c r="B66" s="76" t="s">
        <v>744</v>
      </c>
      <c r="C66" s="77" t="s">
        <v>909</v>
      </c>
      <c r="D66" s="57">
        <f t="shared" si="1"/>
        <v>1</v>
      </c>
      <c r="E66" s="57">
        <f t="shared" si="2"/>
        <v>4</v>
      </c>
      <c r="F66" s="57">
        <f t="shared" si="3"/>
        <v>16</v>
      </c>
      <c r="G66" s="57">
        <f t="shared" si="4"/>
        <v>0</v>
      </c>
      <c r="H66" s="57">
        <f t="shared" si="5"/>
        <v>0</v>
      </c>
      <c r="I66" s="116">
        <v>1</v>
      </c>
      <c r="J66" s="116">
        <v>0</v>
      </c>
      <c r="K66" s="116">
        <v>0</v>
      </c>
      <c r="L66" s="116">
        <v>3</v>
      </c>
      <c r="M66" s="116">
        <v>1</v>
      </c>
      <c r="N66" s="116">
        <v>0</v>
      </c>
      <c r="O66" s="116">
        <v>13</v>
      </c>
      <c r="P66" s="116">
        <v>3</v>
      </c>
      <c r="Q66" s="116">
        <v>0</v>
      </c>
      <c r="R66" s="116">
        <v>0</v>
      </c>
      <c r="S66" s="116">
        <v>0</v>
      </c>
      <c r="T66" s="116">
        <v>0</v>
      </c>
      <c r="U66" s="116">
        <v>0</v>
      </c>
      <c r="V66" s="116">
        <v>0</v>
      </c>
      <c r="W66" s="116">
        <v>0</v>
      </c>
    </row>
    <row r="67" spans="1:23">
      <c r="A67" s="76" t="s">
        <v>755</v>
      </c>
      <c r="B67" s="76" t="s">
        <v>756</v>
      </c>
      <c r="C67" s="77" t="s">
        <v>909</v>
      </c>
      <c r="D67" s="57">
        <f t="shared" si="1"/>
        <v>0</v>
      </c>
      <c r="E67" s="57">
        <f t="shared" si="2"/>
        <v>0</v>
      </c>
      <c r="F67" s="57">
        <f t="shared" si="3"/>
        <v>1</v>
      </c>
      <c r="G67" s="57">
        <f t="shared" si="4"/>
        <v>13</v>
      </c>
      <c r="H67" s="57">
        <f t="shared" si="5"/>
        <v>0</v>
      </c>
      <c r="I67" s="116">
        <v>0</v>
      </c>
      <c r="J67" s="116">
        <v>0</v>
      </c>
      <c r="K67" s="116">
        <v>0</v>
      </c>
      <c r="L67" s="116">
        <v>0</v>
      </c>
      <c r="M67" s="116">
        <v>0</v>
      </c>
      <c r="N67" s="116">
        <v>0</v>
      </c>
      <c r="O67" s="116">
        <v>1</v>
      </c>
      <c r="P67" s="116">
        <v>0</v>
      </c>
      <c r="Q67" s="116">
        <v>0</v>
      </c>
      <c r="R67" s="116">
        <v>11</v>
      </c>
      <c r="S67" s="116">
        <v>2</v>
      </c>
      <c r="T67" s="116">
        <v>0</v>
      </c>
      <c r="U67" s="116">
        <v>0</v>
      </c>
      <c r="V67" s="116">
        <v>0</v>
      </c>
      <c r="W67" s="116">
        <v>0</v>
      </c>
    </row>
    <row r="68" spans="1:23">
      <c r="A68" s="76" t="s">
        <v>757</v>
      </c>
      <c r="B68" s="76" t="s">
        <v>758</v>
      </c>
      <c r="C68" s="77" t="s">
        <v>909</v>
      </c>
      <c r="D68" s="57">
        <f t="shared" ref="D68:D131" si="6">SUM(I68:K68)</f>
        <v>1</v>
      </c>
      <c r="E68" s="57">
        <f t="shared" ref="E68:E131" si="7">SUM(L68:N68)</f>
        <v>1</v>
      </c>
      <c r="F68" s="57">
        <f t="shared" ref="F68:F131" si="8">SUM(O68:Q68)</f>
        <v>0</v>
      </c>
      <c r="G68" s="57">
        <f t="shared" ref="G68:G131" si="9">SUM(R68:T68)</f>
        <v>11</v>
      </c>
      <c r="H68" s="57">
        <f t="shared" ref="H68:H131" si="10">SUM(U68:W68)</f>
        <v>0</v>
      </c>
      <c r="I68" s="116">
        <v>1</v>
      </c>
      <c r="J68" s="116">
        <v>0</v>
      </c>
      <c r="K68" s="116">
        <v>0</v>
      </c>
      <c r="L68" s="116">
        <v>0</v>
      </c>
      <c r="M68" s="116">
        <v>1</v>
      </c>
      <c r="N68" s="116">
        <v>0</v>
      </c>
      <c r="O68" s="116">
        <v>0</v>
      </c>
      <c r="P68" s="116">
        <v>0</v>
      </c>
      <c r="Q68" s="116">
        <v>0</v>
      </c>
      <c r="R68" s="116">
        <v>4</v>
      </c>
      <c r="S68" s="116">
        <v>7</v>
      </c>
      <c r="T68" s="116">
        <v>0</v>
      </c>
      <c r="U68" s="116">
        <v>0</v>
      </c>
      <c r="V68" s="116">
        <v>0</v>
      </c>
      <c r="W68" s="116">
        <v>0</v>
      </c>
    </row>
    <row r="69" spans="1:23">
      <c r="A69" s="76" t="s">
        <v>241</v>
      </c>
      <c r="B69" s="76" t="s">
        <v>242</v>
      </c>
      <c r="C69" s="77" t="s">
        <v>909</v>
      </c>
      <c r="D69" s="57">
        <f t="shared" si="6"/>
        <v>0</v>
      </c>
      <c r="E69" s="57">
        <f t="shared" si="7"/>
        <v>0</v>
      </c>
      <c r="F69" s="57">
        <f t="shared" si="8"/>
        <v>12</v>
      </c>
      <c r="G69" s="57">
        <f t="shared" si="9"/>
        <v>0</v>
      </c>
      <c r="H69" s="57">
        <f t="shared" si="10"/>
        <v>0</v>
      </c>
      <c r="I69" s="116">
        <v>0</v>
      </c>
      <c r="J69" s="116">
        <v>0</v>
      </c>
      <c r="K69" s="116">
        <v>0</v>
      </c>
      <c r="L69" s="116">
        <v>0</v>
      </c>
      <c r="M69" s="116">
        <v>0</v>
      </c>
      <c r="N69" s="116">
        <v>0</v>
      </c>
      <c r="O69" s="116">
        <v>9</v>
      </c>
      <c r="P69" s="116">
        <v>3</v>
      </c>
      <c r="Q69" s="116">
        <v>0</v>
      </c>
      <c r="R69" s="116">
        <v>0</v>
      </c>
      <c r="S69" s="116">
        <v>0</v>
      </c>
      <c r="T69" s="116">
        <v>0</v>
      </c>
      <c r="U69" s="116">
        <v>0</v>
      </c>
      <c r="V69" s="116">
        <v>0</v>
      </c>
      <c r="W69" s="116">
        <v>0</v>
      </c>
    </row>
    <row r="70" spans="1:23">
      <c r="A70" s="76" t="s">
        <v>250</v>
      </c>
      <c r="B70" s="76" t="s">
        <v>251</v>
      </c>
      <c r="C70" s="77" t="s">
        <v>909</v>
      </c>
      <c r="D70" s="57">
        <f t="shared" si="6"/>
        <v>3</v>
      </c>
      <c r="E70" s="57">
        <f t="shared" si="7"/>
        <v>0</v>
      </c>
      <c r="F70" s="57">
        <f t="shared" si="8"/>
        <v>13</v>
      </c>
      <c r="G70" s="57">
        <f t="shared" si="9"/>
        <v>0</v>
      </c>
      <c r="H70" s="57">
        <f t="shared" si="10"/>
        <v>0</v>
      </c>
      <c r="I70" s="116">
        <v>2</v>
      </c>
      <c r="J70" s="116">
        <v>1</v>
      </c>
      <c r="K70" s="116">
        <v>0</v>
      </c>
      <c r="L70" s="116">
        <v>0</v>
      </c>
      <c r="M70" s="116">
        <v>0</v>
      </c>
      <c r="N70" s="116">
        <v>0</v>
      </c>
      <c r="O70" s="116">
        <v>7</v>
      </c>
      <c r="P70" s="116">
        <v>4</v>
      </c>
      <c r="Q70" s="116">
        <v>2</v>
      </c>
      <c r="R70" s="116">
        <v>0</v>
      </c>
      <c r="S70" s="116">
        <v>0</v>
      </c>
      <c r="T70" s="116">
        <v>0</v>
      </c>
      <c r="U70" s="116">
        <v>0</v>
      </c>
      <c r="V70" s="116">
        <v>0</v>
      </c>
      <c r="W70" s="116">
        <v>0</v>
      </c>
    </row>
    <row r="71" spans="1:23">
      <c r="A71" s="76" t="s">
        <v>256</v>
      </c>
      <c r="B71" s="76" t="s">
        <v>257</v>
      </c>
      <c r="C71" s="77" t="s">
        <v>909</v>
      </c>
      <c r="D71" s="57">
        <f t="shared" si="6"/>
        <v>0</v>
      </c>
      <c r="E71" s="57">
        <f t="shared" si="7"/>
        <v>0</v>
      </c>
      <c r="F71" s="57">
        <f t="shared" si="8"/>
        <v>14</v>
      </c>
      <c r="G71" s="57">
        <f t="shared" si="9"/>
        <v>0</v>
      </c>
      <c r="H71" s="57">
        <f t="shared" si="10"/>
        <v>0</v>
      </c>
      <c r="I71" s="116">
        <v>0</v>
      </c>
      <c r="J71" s="116">
        <v>0</v>
      </c>
      <c r="K71" s="116">
        <v>0</v>
      </c>
      <c r="L71" s="116">
        <v>0</v>
      </c>
      <c r="M71" s="116">
        <v>0</v>
      </c>
      <c r="N71" s="116">
        <v>0</v>
      </c>
      <c r="O71" s="116">
        <v>9</v>
      </c>
      <c r="P71" s="116">
        <v>5</v>
      </c>
      <c r="Q71" s="116">
        <v>0</v>
      </c>
      <c r="R71" s="116">
        <v>0</v>
      </c>
      <c r="S71" s="116">
        <v>0</v>
      </c>
      <c r="T71" s="116">
        <v>0</v>
      </c>
      <c r="U71" s="116">
        <v>0</v>
      </c>
      <c r="V71" s="116">
        <v>0</v>
      </c>
      <c r="W71" s="116">
        <v>0</v>
      </c>
    </row>
    <row r="72" spans="1:23">
      <c r="A72" s="76" t="s">
        <v>783</v>
      </c>
      <c r="B72" s="76" t="s">
        <v>784</v>
      </c>
      <c r="C72" s="77" t="s">
        <v>909</v>
      </c>
      <c r="D72" s="57">
        <f t="shared" si="6"/>
        <v>0</v>
      </c>
      <c r="E72" s="57">
        <f t="shared" si="7"/>
        <v>0</v>
      </c>
      <c r="F72" s="57">
        <f t="shared" si="8"/>
        <v>0</v>
      </c>
      <c r="G72" s="57">
        <f t="shared" si="9"/>
        <v>0</v>
      </c>
      <c r="H72" s="57">
        <f t="shared" si="10"/>
        <v>21</v>
      </c>
      <c r="I72" s="116">
        <v>0</v>
      </c>
      <c r="J72" s="116">
        <v>0</v>
      </c>
      <c r="K72" s="116">
        <v>0</v>
      </c>
      <c r="L72" s="116">
        <v>0</v>
      </c>
      <c r="M72" s="116">
        <v>0</v>
      </c>
      <c r="N72" s="116">
        <v>0</v>
      </c>
      <c r="O72" s="116">
        <v>0</v>
      </c>
      <c r="P72" s="116">
        <v>0</v>
      </c>
      <c r="Q72" s="116">
        <v>0</v>
      </c>
      <c r="R72" s="116">
        <v>0</v>
      </c>
      <c r="S72" s="116">
        <v>0</v>
      </c>
      <c r="T72" s="116">
        <v>0</v>
      </c>
      <c r="U72" s="116">
        <v>14</v>
      </c>
      <c r="V72" s="116">
        <v>1</v>
      </c>
      <c r="W72" s="116">
        <v>6</v>
      </c>
    </row>
    <row r="73" spans="1:23">
      <c r="A73" s="76" t="s">
        <v>78</v>
      </c>
      <c r="B73" s="76" t="s">
        <v>79</v>
      </c>
      <c r="C73" s="77" t="s">
        <v>909</v>
      </c>
      <c r="D73" s="57">
        <f t="shared" si="6"/>
        <v>0</v>
      </c>
      <c r="E73" s="57">
        <f t="shared" si="7"/>
        <v>0</v>
      </c>
      <c r="F73" s="57">
        <f t="shared" si="8"/>
        <v>16</v>
      </c>
      <c r="G73" s="57">
        <f t="shared" si="9"/>
        <v>0</v>
      </c>
      <c r="H73" s="57">
        <f t="shared" si="10"/>
        <v>0</v>
      </c>
      <c r="I73" s="116">
        <v>0</v>
      </c>
      <c r="J73" s="116">
        <v>0</v>
      </c>
      <c r="K73" s="116">
        <v>0</v>
      </c>
      <c r="L73" s="116">
        <v>0</v>
      </c>
      <c r="M73" s="116">
        <v>0</v>
      </c>
      <c r="N73" s="116">
        <v>0</v>
      </c>
      <c r="O73" s="116">
        <v>15</v>
      </c>
      <c r="P73" s="116">
        <v>1</v>
      </c>
      <c r="Q73" s="116">
        <v>0</v>
      </c>
      <c r="R73" s="116">
        <v>0</v>
      </c>
      <c r="S73" s="116">
        <v>0</v>
      </c>
      <c r="T73" s="116">
        <v>0</v>
      </c>
      <c r="U73" s="116">
        <v>0</v>
      </c>
      <c r="V73" s="116">
        <v>0</v>
      </c>
      <c r="W73" s="116">
        <v>0</v>
      </c>
    </row>
    <row r="74" spans="1:23">
      <c r="A74" s="76" t="s">
        <v>259</v>
      </c>
      <c r="B74" s="76" t="s">
        <v>260</v>
      </c>
      <c r="C74" s="77" t="s">
        <v>909</v>
      </c>
      <c r="D74" s="57">
        <f t="shared" si="6"/>
        <v>0</v>
      </c>
      <c r="E74" s="57">
        <f t="shared" si="7"/>
        <v>0</v>
      </c>
      <c r="F74" s="57">
        <f t="shared" si="8"/>
        <v>12</v>
      </c>
      <c r="G74" s="57">
        <f t="shared" si="9"/>
        <v>0</v>
      </c>
      <c r="H74" s="57">
        <f t="shared" si="10"/>
        <v>0</v>
      </c>
      <c r="I74" s="116">
        <v>0</v>
      </c>
      <c r="J74" s="116">
        <v>0</v>
      </c>
      <c r="K74" s="116">
        <v>0</v>
      </c>
      <c r="L74" s="116">
        <v>0</v>
      </c>
      <c r="M74" s="116">
        <v>0</v>
      </c>
      <c r="N74" s="116">
        <v>0</v>
      </c>
      <c r="O74" s="116">
        <v>9</v>
      </c>
      <c r="P74" s="116">
        <v>3</v>
      </c>
      <c r="Q74" s="116">
        <v>0</v>
      </c>
      <c r="R74" s="116">
        <v>0</v>
      </c>
      <c r="S74" s="116">
        <v>0</v>
      </c>
      <c r="T74" s="116">
        <v>0</v>
      </c>
      <c r="U74" s="116">
        <v>0</v>
      </c>
      <c r="V74" s="116">
        <v>0</v>
      </c>
      <c r="W74" s="116">
        <v>0</v>
      </c>
    </row>
    <row r="75" spans="1:23">
      <c r="A75" s="76" t="s">
        <v>172</v>
      </c>
      <c r="B75" s="76" t="s">
        <v>173</v>
      </c>
      <c r="C75" s="77" t="s">
        <v>909</v>
      </c>
      <c r="D75" s="57">
        <f t="shared" si="6"/>
        <v>0</v>
      </c>
      <c r="E75" s="57">
        <f t="shared" si="7"/>
        <v>0</v>
      </c>
      <c r="F75" s="57">
        <f t="shared" si="8"/>
        <v>16</v>
      </c>
      <c r="G75" s="57">
        <f t="shared" si="9"/>
        <v>0</v>
      </c>
      <c r="H75" s="57">
        <f t="shared" si="10"/>
        <v>0</v>
      </c>
      <c r="I75" s="116">
        <v>0</v>
      </c>
      <c r="J75" s="116">
        <v>0</v>
      </c>
      <c r="K75" s="116">
        <v>0</v>
      </c>
      <c r="L75" s="116">
        <v>0</v>
      </c>
      <c r="M75" s="116">
        <v>0</v>
      </c>
      <c r="N75" s="116">
        <v>0</v>
      </c>
      <c r="O75" s="116">
        <v>12</v>
      </c>
      <c r="P75" s="116">
        <v>1</v>
      </c>
      <c r="Q75" s="116">
        <v>3</v>
      </c>
      <c r="R75" s="116">
        <v>0</v>
      </c>
      <c r="S75" s="116">
        <v>0</v>
      </c>
      <c r="T75" s="116">
        <v>0</v>
      </c>
      <c r="U75" s="116">
        <v>0</v>
      </c>
      <c r="V75" s="116">
        <v>0</v>
      </c>
      <c r="W75" s="116">
        <v>0</v>
      </c>
    </row>
    <row r="76" spans="1:23">
      <c r="A76" s="76" t="s">
        <v>262</v>
      </c>
      <c r="B76" s="76" t="s">
        <v>263</v>
      </c>
      <c r="C76" s="77" t="s">
        <v>909</v>
      </c>
      <c r="D76" s="57">
        <f t="shared" si="6"/>
        <v>1</v>
      </c>
      <c r="E76" s="57">
        <f t="shared" si="7"/>
        <v>2</v>
      </c>
      <c r="F76" s="57">
        <f t="shared" si="8"/>
        <v>18</v>
      </c>
      <c r="G76" s="57">
        <f t="shared" si="9"/>
        <v>0</v>
      </c>
      <c r="H76" s="57">
        <f t="shared" si="10"/>
        <v>0</v>
      </c>
      <c r="I76" s="116">
        <v>1</v>
      </c>
      <c r="J76" s="116">
        <v>0</v>
      </c>
      <c r="K76" s="116">
        <v>0</v>
      </c>
      <c r="L76" s="116">
        <v>1</v>
      </c>
      <c r="M76" s="116">
        <v>1</v>
      </c>
      <c r="N76" s="116">
        <v>0</v>
      </c>
      <c r="O76" s="116">
        <v>12</v>
      </c>
      <c r="P76" s="116">
        <v>6</v>
      </c>
      <c r="Q76" s="116">
        <v>0</v>
      </c>
      <c r="R76" s="116">
        <v>0</v>
      </c>
      <c r="S76" s="116">
        <v>0</v>
      </c>
      <c r="T76" s="116">
        <v>0</v>
      </c>
      <c r="U76" s="116">
        <v>0</v>
      </c>
      <c r="V76" s="116">
        <v>0</v>
      </c>
      <c r="W76" s="116">
        <v>0</v>
      </c>
    </row>
    <row r="77" spans="1:23">
      <c r="A77" s="76" t="s">
        <v>787</v>
      </c>
      <c r="B77" s="76" t="s">
        <v>788</v>
      </c>
      <c r="C77" s="77" t="s">
        <v>909</v>
      </c>
      <c r="D77" s="57">
        <f t="shared" si="6"/>
        <v>0</v>
      </c>
      <c r="E77" s="57">
        <f t="shared" si="7"/>
        <v>1</v>
      </c>
      <c r="F77" s="57">
        <f t="shared" si="8"/>
        <v>3</v>
      </c>
      <c r="G77" s="57">
        <f t="shared" si="9"/>
        <v>0</v>
      </c>
      <c r="H77" s="57">
        <f t="shared" si="10"/>
        <v>0</v>
      </c>
      <c r="I77" s="116">
        <v>0</v>
      </c>
      <c r="J77" s="116">
        <v>0</v>
      </c>
      <c r="K77" s="116">
        <v>0</v>
      </c>
      <c r="L77" s="116">
        <v>1</v>
      </c>
      <c r="M77" s="116">
        <v>0</v>
      </c>
      <c r="N77" s="116">
        <v>0</v>
      </c>
      <c r="O77" s="116">
        <v>2</v>
      </c>
      <c r="P77" s="116">
        <v>1</v>
      </c>
      <c r="Q77" s="116">
        <v>0</v>
      </c>
      <c r="R77" s="116">
        <v>0</v>
      </c>
      <c r="S77" s="116">
        <v>0</v>
      </c>
      <c r="T77" s="116">
        <v>0</v>
      </c>
      <c r="U77" s="116">
        <v>0</v>
      </c>
      <c r="V77" s="116">
        <v>0</v>
      </c>
      <c r="W77" s="116">
        <v>0</v>
      </c>
    </row>
    <row r="78" spans="1:23">
      <c r="A78" s="76" t="s">
        <v>791</v>
      </c>
      <c r="B78" s="76" t="s">
        <v>792</v>
      </c>
      <c r="C78" s="77" t="s">
        <v>909</v>
      </c>
      <c r="D78" s="57">
        <f t="shared" si="6"/>
        <v>0</v>
      </c>
      <c r="E78" s="57">
        <f t="shared" si="7"/>
        <v>0</v>
      </c>
      <c r="F78" s="57">
        <f t="shared" si="8"/>
        <v>0</v>
      </c>
      <c r="G78" s="57">
        <f t="shared" si="9"/>
        <v>0</v>
      </c>
      <c r="H78" s="57">
        <f t="shared" si="10"/>
        <v>24</v>
      </c>
      <c r="I78" s="116">
        <v>0</v>
      </c>
      <c r="J78" s="116">
        <v>0</v>
      </c>
      <c r="K78" s="116">
        <v>0</v>
      </c>
      <c r="L78" s="116">
        <v>0</v>
      </c>
      <c r="M78" s="116">
        <v>0</v>
      </c>
      <c r="N78" s="116">
        <v>0</v>
      </c>
      <c r="O78" s="116">
        <v>0</v>
      </c>
      <c r="P78" s="116">
        <v>0</v>
      </c>
      <c r="Q78" s="116">
        <v>0</v>
      </c>
      <c r="R78" s="116">
        <v>0</v>
      </c>
      <c r="S78" s="116">
        <v>0</v>
      </c>
      <c r="T78" s="116">
        <v>0</v>
      </c>
      <c r="U78" s="116">
        <v>15</v>
      </c>
      <c r="V78" s="116">
        <v>9</v>
      </c>
      <c r="W78" s="116">
        <v>0</v>
      </c>
    </row>
    <row r="79" spans="1:23">
      <c r="A79" s="76" t="s">
        <v>127</v>
      </c>
      <c r="B79" s="76" t="s">
        <v>128</v>
      </c>
      <c r="C79" s="77" t="s">
        <v>909</v>
      </c>
      <c r="D79" s="57">
        <f t="shared" si="6"/>
        <v>7</v>
      </c>
      <c r="E79" s="57">
        <f t="shared" si="7"/>
        <v>3</v>
      </c>
      <c r="F79" s="57">
        <f t="shared" si="8"/>
        <v>38</v>
      </c>
      <c r="G79" s="57">
        <f t="shared" si="9"/>
        <v>0</v>
      </c>
      <c r="H79" s="57">
        <f t="shared" si="10"/>
        <v>0</v>
      </c>
      <c r="I79" s="116">
        <v>5</v>
      </c>
      <c r="J79" s="116">
        <v>2</v>
      </c>
      <c r="K79" s="116">
        <v>0</v>
      </c>
      <c r="L79" s="116">
        <v>1</v>
      </c>
      <c r="M79" s="116">
        <v>2</v>
      </c>
      <c r="N79" s="116">
        <v>0</v>
      </c>
      <c r="O79" s="116">
        <v>22</v>
      </c>
      <c r="P79" s="116">
        <v>16</v>
      </c>
      <c r="Q79" s="116">
        <v>0</v>
      </c>
      <c r="R79" s="116">
        <v>0</v>
      </c>
      <c r="S79" s="116">
        <v>0</v>
      </c>
      <c r="T79" s="116">
        <v>0</v>
      </c>
      <c r="U79" s="116">
        <v>0</v>
      </c>
      <c r="V79" s="116">
        <v>0</v>
      </c>
      <c r="W79" s="116">
        <v>0</v>
      </c>
    </row>
    <row r="80" spans="1:23">
      <c r="A80" s="76" t="s">
        <v>54</v>
      </c>
      <c r="B80" s="76" t="s">
        <v>55</v>
      </c>
      <c r="C80" s="77" t="s">
        <v>909</v>
      </c>
      <c r="D80" s="57">
        <f t="shared" si="6"/>
        <v>0</v>
      </c>
      <c r="E80" s="57">
        <f t="shared" si="7"/>
        <v>0</v>
      </c>
      <c r="F80" s="57">
        <f t="shared" si="8"/>
        <v>17</v>
      </c>
      <c r="G80" s="57">
        <f t="shared" si="9"/>
        <v>0</v>
      </c>
      <c r="H80" s="57">
        <f t="shared" si="10"/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  <c r="O80" s="116">
        <v>13</v>
      </c>
      <c r="P80" s="116">
        <v>4</v>
      </c>
      <c r="Q80" s="116">
        <v>0</v>
      </c>
      <c r="R80" s="116">
        <v>0</v>
      </c>
      <c r="S80" s="116">
        <v>0</v>
      </c>
      <c r="T80" s="116">
        <v>0</v>
      </c>
      <c r="U80" s="116">
        <v>0</v>
      </c>
      <c r="V80" s="116">
        <v>0</v>
      </c>
      <c r="W80" s="116">
        <v>0</v>
      </c>
    </row>
    <row r="81" spans="1:23">
      <c r="A81" s="76" t="s">
        <v>57</v>
      </c>
      <c r="B81" s="76" t="s">
        <v>58</v>
      </c>
      <c r="C81" s="77" t="s">
        <v>909</v>
      </c>
      <c r="D81" s="57">
        <f t="shared" si="6"/>
        <v>0</v>
      </c>
      <c r="E81" s="57">
        <f t="shared" si="7"/>
        <v>0</v>
      </c>
      <c r="F81" s="57">
        <f t="shared" si="8"/>
        <v>17</v>
      </c>
      <c r="G81" s="57">
        <f t="shared" si="9"/>
        <v>0</v>
      </c>
      <c r="H81" s="57">
        <f t="shared" si="10"/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  <c r="O81" s="116">
        <v>14</v>
      </c>
      <c r="P81" s="116">
        <v>3</v>
      </c>
      <c r="Q81" s="116">
        <v>0</v>
      </c>
      <c r="R81" s="116">
        <v>0</v>
      </c>
      <c r="S81" s="116">
        <v>0</v>
      </c>
      <c r="T81" s="116">
        <v>0</v>
      </c>
      <c r="U81" s="116">
        <v>0</v>
      </c>
      <c r="V81" s="116">
        <v>0</v>
      </c>
      <c r="W81" s="116">
        <v>0</v>
      </c>
    </row>
    <row r="82" spans="1:23">
      <c r="A82" s="76" t="s">
        <v>178</v>
      </c>
      <c r="B82" s="76" t="s">
        <v>179</v>
      </c>
      <c r="C82" s="77" t="s">
        <v>909</v>
      </c>
      <c r="D82" s="57">
        <f t="shared" si="6"/>
        <v>0</v>
      </c>
      <c r="E82" s="57">
        <f t="shared" si="7"/>
        <v>0</v>
      </c>
      <c r="F82" s="57">
        <f t="shared" si="8"/>
        <v>12</v>
      </c>
      <c r="G82" s="57">
        <f t="shared" si="9"/>
        <v>0</v>
      </c>
      <c r="H82" s="57">
        <f t="shared" si="10"/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  <c r="O82" s="116">
        <v>8</v>
      </c>
      <c r="P82" s="116">
        <v>4</v>
      </c>
      <c r="Q82" s="116">
        <v>0</v>
      </c>
      <c r="R82" s="116">
        <v>0</v>
      </c>
      <c r="S82" s="116">
        <v>0</v>
      </c>
      <c r="T82" s="116">
        <v>0</v>
      </c>
      <c r="U82" s="116">
        <v>0</v>
      </c>
      <c r="V82" s="116">
        <v>0</v>
      </c>
      <c r="W82" s="116">
        <v>0</v>
      </c>
    </row>
    <row r="83" spans="1:23">
      <c r="A83" s="76" t="s">
        <v>797</v>
      </c>
      <c r="B83" s="76" t="s">
        <v>798</v>
      </c>
      <c r="C83" s="77" t="s">
        <v>909</v>
      </c>
      <c r="D83" s="57">
        <f t="shared" si="6"/>
        <v>0</v>
      </c>
      <c r="E83" s="57">
        <f t="shared" si="7"/>
        <v>0</v>
      </c>
      <c r="F83" s="57">
        <f t="shared" si="8"/>
        <v>0</v>
      </c>
      <c r="G83" s="57">
        <f t="shared" si="9"/>
        <v>12</v>
      </c>
      <c r="H83" s="57">
        <f t="shared" si="10"/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  <c r="O83" s="116">
        <v>0</v>
      </c>
      <c r="P83" s="116">
        <v>0</v>
      </c>
      <c r="Q83" s="116">
        <v>0</v>
      </c>
      <c r="R83" s="116">
        <v>10</v>
      </c>
      <c r="S83" s="116">
        <v>2</v>
      </c>
      <c r="T83" s="116">
        <v>0</v>
      </c>
      <c r="U83" s="116">
        <v>0</v>
      </c>
      <c r="V83" s="116">
        <v>0</v>
      </c>
      <c r="W83" s="116">
        <v>0</v>
      </c>
    </row>
    <row r="84" spans="1:23">
      <c r="A84" s="76" t="s">
        <v>801</v>
      </c>
      <c r="B84" s="76" t="s">
        <v>802</v>
      </c>
      <c r="C84" s="77" t="s">
        <v>909</v>
      </c>
      <c r="D84" s="57">
        <f t="shared" si="6"/>
        <v>0</v>
      </c>
      <c r="E84" s="57">
        <f t="shared" si="7"/>
        <v>0</v>
      </c>
      <c r="F84" s="57">
        <f t="shared" si="8"/>
        <v>0</v>
      </c>
      <c r="G84" s="57">
        <f t="shared" si="9"/>
        <v>0</v>
      </c>
      <c r="H84" s="57">
        <f t="shared" si="10"/>
        <v>7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  <c r="O84" s="116">
        <v>0</v>
      </c>
      <c r="P84" s="116">
        <v>0</v>
      </c>
      <c r="Q84" s="116">
        <v>0</v>
      </c>
      <c r="R84" s="116">
        <v>0</v>
      </c>
      <c r="S84" s="116">
        <v>0</v>
      </c>
      <c r="T84" s="116">
        <v>0</v>
      </c>
      <c r="U84" s="116">
        <v>4</v>
      </c>
      <c r="V84" s="116">
        <v>1</v>
      </c>
      <c r="W84" s="116">
        <v>2</v>
      </c>
    </row>
    <row r="85" spans="1:23">
      <c r="A85" s="76" t="s">
        <v>809</v>
      </c>
      <c r="B85" s="76" t="s">
        <v>810</v>
      </c>
      <c r="C85" s="77" t="s">
        <v>909</v>
      </c>
      <c r="D85" s="57">
        <f t="shared" si="6"/>
        <v>0</v>
      </c>
      <c r="E85" s="57">
        <f t="shared" si="7"/>
        <v>0</v>
      </c>
      <c r="F85" s="57">
        <f t="shared" si="8"/>
        <v>0</v>
      </c>
      <c r="G85" s="57">
        <f t="shared" si="9"/>
        <v>0</v>
      </c>
      <c r="H85" s="57">
        <f t="shared" si="10"/>
        <v>7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  <c r="O85" s="116">
        <v>0</v>
      </c>
      <c r="P85" s="116">
        <v>0</v>
      </c>
      <c r="Q85" s="116">
        <v>0</v>
      </c>
      <c r="R85" s="116">
        <v>0</v>
      </c>
      <c r="S85" s="116">
        <v>0</v>
      </c>
      <c r="T85" s="116">
        <v>0</v>
      </c>
      <c r="U85" s="116">
        <v>5</v>
      </c>
      <c r="V85" s="116">
        <v>2</v>
      </c>
      <c r="W85" s="116">
        <v>0</v>
      </c>
    </row>
    <row r="86" spans="1:23">
      <c r="A86" s="76" t="s">
        <v>87</v>
      </c>
      <c r="B86" s="76" t="s">
        <v>88</v>
      </c>
      <c r="C86" s="77" t="s">
        <v>909</v>
      </c>
      <c r="D86" s="57">
        <f t="shared" si="6"/>
        <v>0</v>
      </c>
      <c r="E86" s="57">
        <f t="shared" si="7"/>
        <v>1</v>
      </c>
      <c r="F86" s="57">
        <f t="shared" si="8"/>
        <v>1</v>
      </c>
      <c r="G86" s="57">
        <f t="shared" si="9"/>
        <v>0</v>
      </c>
      <c r="H86" s="57">
        <f t="shared" si="10"/>
        <v>18</v>
      </c>
      <c r="I86" s="116">
        <v>0</v>
      </c>
      <c r="J86" s="116">
        <v>0</v>
      </c>
      <c r="K86" s="116">
        <v>0</v>
      </c>
      <c r="L86" s="116">
        <v>0</v>
      </c>
      <c r="M86" s="116">
        <v>1</v>
      </c>
      <c r="N86" s="116">
        <v>0</v>
      </c>
      <c r="O86" s="116">
        <v>0</v>
      </c>
      <c r="P86" s="116">
        <v>1</v>
      </c>
      <c r="Q86" s="116">
        <v>0</v>
      </c>
      <c r="R86" s="116">
        <v>0</v>
      </c>
      <c r="S86" s="116">
        <v>0</v>
      </c>
      <c r="T86" s="116">
        <v>0</v>
      </c>
      <c r="U86" s="116">
        <v>13</v>
      </c>
      <c r="V86" s="116">
        <v>5</v>
      </c>
      <c r="W86" s="116">
        <v>0</v>
      </c>
    </row>
    <row r="87" spans="1:23">
      <c r="A87" s="76" t="s">
        <v>190</v>
      </c>
      <c r="B87" s="76" t="s">
        <v>191</v>
      </c>
      <c r="C87" s="77" t="s">
        <v>909</v>
      </c>
      <c r="D87" s="57">
        <f t="shared" si="6"/>
        <v>0</v>
      </c>
      <c r="E87" s="57">
        <f t="shared" si="7"/>
        <v>0</v>
      </c>
      <c r="F87" s="57">
        <f t="shared" si="8"/>
        <v>0</v>
      </c>
      <c r="G87" s="57">
        <f t="shared" si="9"/>
        <v>0</v>
      </c>
      <c r="H87" s="57">
        <f t="shared" si="10"/>
        <v>19</v>
      </c>
      <c r="I87" s="116">
        <v>0</v>
      </c>
      <c r="J87" s="116">
        <v>0</v>
      </c>
      <c r="K87" s="116">
        <v>0</v>
      </c>
      <c r="L87" s="116">
        <v>0</v>
      </c>
      <c r="M87" s="116">
        <v>0</v>
      </c>
      <c r="N87" s="116">
        <v>0</v>
      </c>
      <c r="O87" s="116">
        <v>0</v>
      </c>
      <c r="P87" s="116">
        <v>0</v>
      </c>
      <c r="Q87" s="116">
        <v>0</v>
      </c>
      <c r="R87" s="116">
        <v>0</v>
      </c>
      <c r="S87" s="116">
        <v>0</v>
      </c>
      <c r="T87" s="116">
        <v>0</v>
      </c>
      <c r="U87" s="116">
        <v>18</v>
      </c>
      <c r="V87" s="116">
        <v>1</v>
      </c>
      <c r="W87" s="116">
        <v>0</v>
      </c>
    </row>
    <row r="88" spans="1:23">
      <c r="A88" s="76" t="s">
        <v>831</v>
      </c>
      <c r="B88" s="76" t="s">
        <v>832</v>
      </c>
      <c r="C88" s="77" t="s">
        <v>909</v>
      </c>
      <c r="D88" s="57">
        <f t="shared" si="6"/>
        <v>0</v>
      </c>
      <c r="E88" s="57">
        <f t="shared" si="7"/>
        <v>0</v>
      </c>
      <c r="F88" s="57">
        <f t="shared" si="8"/>
        <v>23</v>
      </c>
      <c r="G88" s="57">
        <f t="shared" si="9"/>
        <v>0</v>
      </c>
      <c r="H88" s="57">
        <f t="shared" si="10"/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  <c r="O88" s="116">
        <v>19</v>
      </c>
      <c r="P88" s="116">
        <v>4</v>
      </c>
      <c r="Q88" s="116">
        <v>0</v>
      </c>
      <c r="R88" s="116">
        <v>0</v>
      </c>
      <c r="S88" s="116">
        <v>0</v>
      </c>
      <c r="T88" s="116">
        <v>0</v>
      </c>
      <c r="U88" s="116">
        <v>0</v>
      </c>
      <c r="V88" s="116">
        <v>0</v>
      </c>
      <c r="W88" s="116">
        <v>0</v>
      </c>
    </row>
    <row r="89" spans="1:23">
      <c r="A89" s="76" t="s">
        <v>193</v>
      </c>
      <c r="B89" s="76" t="s">
        <v>194</v>
      </c>
      <c r="C89" s="77" t="s">
        <v>909</v>
      </c>
      <c r="D89" s="57">
        <f t="shared" si="6"/>
        <v>2</v>
      </c>
      <c r="E89" s="57">
        <f t="shared" si="7"/>
        <v>0</v>
      </c>
      <c r="F89" s="57">
        <f t="shared" si="8"/>
        <v>6</v>
      </c>
      <c r="G89" s="57">
        <f t="shared" si="9"/>
        <v>0</v>
      </c>
      <c r="H89" s="57">
        <f t="shared" si="10"/>
        <v>10</v>
      </c>
      <c r="I89" s="116">
        <v>1</v>
      </c>
      <c r="J89" s="116">
        <v>1</v>
      </c>
      <c r="K89" s="116">
        <v>0</v>
      </c>
      <c r="L89" s="116">
        <v>0</v>
      </c>
      <c r="M89" s="116">
        <v>0</v>
      </c>
      <c r="N89" s="116">
        <v>0</v>
      </c>
      <c r="O89" s="116">
        <v>3</v>
      </c>
      <c r="P89" s="116">
        <v>3</v>
      </c>
      <c r="Q89" s="116">
        <v>0</v>
      </c>
      <c r="R89" s="116">
        <v>0</v>
      </c>
      <c r="S89" s="116">
        <v>0</v>
      </c>
      <c r="T89" s="116">
        <v>0</v>
      </c>
      <c r="U89" s="116">
        <v>9</v>
      </c>
      <c r="V89" s="116">
        <v>1</v>
      </c>
      <c r="W89" s="116">
        <v>0</v>
      </c>
    </row>
    <row r="90" spans="1:23">
      <c r="A90" s="76" t="s">
        <v>196</v>
      </c>
      <c r="B90" s="76" t="s">
        <v>197</v>
      </c>
      <c r="C90" s="77" t="s">
        <v>909</v>
      </c>
      <c r="D90" s="57">
        <f t="shared" si="6"/>
        <v>0</v>
      </c>
      <c r="E90" s="57">
        <f t="shared" si="7"/>
        <v>0</v>
      </c>
      <c r="F90" s="57">
        <f t="shared" si="8"/>
        <v>9</v>
      </c>
      <c r="G90" s="57">
        <f t="shared" si="9"/>
        <v>2</v>
      </c>
      <c r="H90" s="57">
        <f t="shared" si="10"/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  <c r="O90" s="116">
        <v>8</v>
      </c>
      <c r="P90" s="116">
        <v>1</v>
      </c>
      <c r="Q90" s="116">
        <v>0</v>
      </c>
      <c r="R90" s="116">
        <v>0</v>
      </c>
      <c r="S90" s="116">
        <v>2</v>
      </c>
      <c r="T90" s="116">
        <v>0</v>
      </c>
      <c r="U90" s="116">
        <v>0</v>
      </c>
      <c r="V90" s="116">
        <v>0</v>
      </c>
      <c r="W90" s="116">
        <v>0</v>
      </c>
    </row>
    <row r="91" spans="1:23">
      <c r="A91" s="76" t="s">
        <v>283</v>
      </c>
      <c r="B91" s="76" t="s">
        <v>284</v>
      </c>
      <c r="C91" s="77" t="s">
        <v>923</v>
      </c>
      <c r="D91" s="57">
        <f t="shared" si="6"/>
        <v>0</v>
      </c>
      <c r="E91" s="57">
        <f t="shared" si="7"/>
        <v>0</v>
      </c>
      <c r="F91" s="57">
        <f t="shared" si="8"/>
        <v>0</v>
      </c>
      <c r="G91" s="57">
        <f t="shared" si="9"/>
        <v>11</v>
      </c>
      <c r="H91" s="57">
        <f t="shared" si="10"/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  <c r="O91" s="116">
        <v>0</v>
      </c>
      <c r="P91" s="116">
        <v>0</v>
      </c>
      <c r="Q91" s="116">
        <v>0</v>
      </c>
      <c r="R91" s="116">
        <v>9</v>
      </c>
      <c r="S91" s="116">
        <v>2</v>
      </c>
      <c r="T91" s="116">
        <v>0</v>
      </c>
      <c r="U91" s="116">
        <v>0</v>
      </c>
      <c r="V91" s="116">
        <v>0</v>
      </c>
      <c r="W91" s="116">
        <v>0</v>
      </c>
    </row>
    <row r="92" spans="1:23">
      <c r="A92" s="76" t="s">
        <v>395</v>
      </c>
      <c r="B92" s="76" t="s">
        <v>396</v>
      </c>
      <c r="C92" s="77" t="s">
        <v>923</v>
      </c>
      <c r="D92" s="57">
        <f t="shared" si="6"/>
        <v>0</v>
      </c>
      <c r="E92" s="57">
        <f t="shared" si="7"/>
        <v>1</v>
      </c>
      <c r="F92" s="57">
        <f t="shared" si="8"/>
        <v>0</v>
      </c>
      <c r="G92" s="57">
        <f t="shared" si="9"/>
        <v>14</v>
      </c>
      <c r="H92" s="57">
        <f t="shared" si="10"/>
        <v>0</v>
      </c>
      <c r="I92" s="116">
        <v>0</v>
      </c>
      <c r="J92" s="116">
        <v>0</v>
      </c>
      <c r="K92" s="116">
        <v>0</v>
      </c>
      <c r="L92" s="116">
        <v>1</v>
      </c>
      <c r="M92" s="116">
        <v>0</v>
      </c>
      <c r="N92" s="116">
        <v>0</v>
      </c>
      <c r="O92" s="116">
        <v>0</v>
      </c>
      <c r="P92" s="116">
        <v>0</v>
      </c>
      <c r="Q92" s="116">
        <v>0</v>
      </c>
      <c r="R92" s="116">
        <v>8</v>
      </c>
      <c r="S92" s="116">
        <v>2</v>
      </c>
      <c r="T92" s="116">
        <v>4</v>
      </c>
      <c r="U92" s="116">
        <v>0</v>
      </c>
      <c r="V92" s="116">
        <v>0</v>
      </c>
      <c r="W92" s="116">
        <v>0</v>
      </c>
    </row>
    <row r="93" spans="1:23">
      <c r="A93" s="76" t="s">
        <v>587</v>
      </c>
      <c r="B93" s="76" t="s">
        <v>588</v>
      </c>
      <c r="C93" s="77" t="s">
        <v>923</v>
      </c>
      <c r="D93" s="57">
        <f t="shared" si="6"/>
        <v>0</v>
      </c>
      <c r="E93" s="57">
        <f t="shared" si="7"/>
        <v>0</v>
      </c>
      <c r="F93" s="57">
        <f t="shared" si="8"/>
        <v>14</v>
      </c>
      <c r="G93" s="57">
        <f t="shared" si="9"/>
        <v>0</v>
      </c>
      <c r="H93" s="57">
        <f t="shared" si="10"/>
        <v>3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  <c r="O93" s="116">
        <v>9</v>
      </c>
      <c r="P93" s="116">
        <v>1</v>
      </c>
      <c r="Q93" s="116">
        <v>4</v>
      </c>
      <c r="R93" s="116">
        <v>0</v>
      </c>
      <c r="S93" s="116">
        <v>0</v>
      </c>
      <c r="T93" s="116">
        <v>0</v>
      </c>
      <c r="U93" s="116">
        <v>1</v>
      </c>
      <c r="V93" s="116">
        <v>1</v>
      </c>
      <c r="W93" s="116">
        <v>1</v>
      </c>
    </row>
    <row r="94" spans="1:23">
      <c r="A94" s="76" t="s">
        <v>286</v>
      </c>
      <c r="B94" s="76" t="s">
        <v>287</v>
      </c>
      <c r="C94" s="77" t="s">
        <v>923</v>
      </c>
      <c r="D94" s="57">
        <f t="shared" si="6"/>
        <v>0</v>
      </c>
      <c r="E94" s="57">
        <f t="shared" si="7"/>
        <v>0</v>
      </c>
      <c r="F94" s="57">
        <f t="shared" si="8"/>
        <v>0</v>
      </c>
      <c r="G94" s="57">
        <f t="shared" si="9"/>
        <v>9</v>
      </c>
      <c r="H94" s="57">
        <f t="shared" si="10"/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  <c r="O94" s="116">
        <v>0</v>
      </c>
      <c r="P94" s="116">
        <v>0</v>
      </c>
      <c r="Q94" s="116">
        <v>0</v>
      </c>
      <c r="R94" s="116">
        <v>5</v>
      </c>
      <c r="S94" s="116">
        <v>4</v>
      </c>
      <c r="T94" s="116">
        <v>0</v>
      </c>
      <c r="U94" s="116">
        <v>0</v>
      </c>
      <c r="V94" s="116">
        <v>0</v>
      </c>
      <c r="W94" s="116">
        <v>0</v>
      </c>
    </row>
    <row r="95" spans="1:23">
      <c r="A95" s="76" t="s">
        <v>593</v>
      </c>
      <c r="B95" s="76" t="s">
        <v>594</v>
      </c>
      <c r="C95" s="77" t="s">
        <v>923</v>
      </c>
      <c r="D95" s="57">
        <f t="shared" si="6"/>
        <v>1</v>
      </c>
      <c r="E95" s="57">
        <f t="shared" si="7"/>
        <v>0</v>
      </c>
      <c r="F95" s="57">
        <f t="shared" si="8"/>
        <v>0</v>
      </c>
      <c r="G95" s="57">
        <f t="shared" si="9"/>
        <v>6</v>
      </c>
      <c r="H95" s="57">
        <f t="shared" si="10"/>
        <v>0</v>
      </c>
      <c r="I95" s="116">
        <v>1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  <c r="O95" s="116">
        <v>0</v>
      </c>
      <c r="P95" s="116">
        <v>0</v>
      </c>
      <c r="Q95" s="116">
        <v>0</v>
      </c>
      <c r="R95" s="116">
        <v>5</v>
      </c>
      <c r="S95" s="116">
        <v>1</v>
      </c>
      <c r="T95" s="116">
        <v>0</v>
      </c>
      <c r="U95" s="116">
        <v>0</v>
      </c>
      <c r="V95" s="116">
        <v>0</v>
      </c>
      <c r="W95" s="116">
        <v>0</v>
      </c>
    </row>
    <row r="96" spans="1:23">
      <c r="A96" s="76" t="s">
        <v>401</v>
      </c>
      <c r="B96" s="76" t="s">
        <v>402</v>
      </c>
      <c r="C96" s="77" t="s">
        <v>923</v>
      </c>
      <c r="D96" s="57">
        <f t="shared" si="6"/>
        <v>0</v>
      </c>
      <c r="E96" s="57">
        <f t="shared" si="7"/>
        <v>0</v>
      </c>
      <c r="F96" s="57">
        <f t="shared" si="8"/>
        <v>0</v>
      </c>
      <c r="G96" s="57">
        <f t="shared" si="9"/>
        <v>5</v>
      </c>
      <c r="H96" s="57">
        <f t="shared" si="10"/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  <c r="O96" s="116">
        <v>0</v>
      </c>
      <c r="P96" s="116">
        <v>0</v>
      </c>
      <c r="Q96" s="116">
        <v>0</v>
      </c>
      <c r="R96" s="116">
        <v>4</v>
      </c>
      <c r="S96" s="116">
        <v>1</v>
      </c>
      <c r="T96" s="116">
        <v>0</v>
      </c>
      <c r="U96" s="116">
        <v>0</v>
      </c>
      <c r="V96" s="116">
        <v>0</v>
      </c>
      <c r="W96" s="116">
        <v>0</v>
      </c>
    </row>
    <row r="97" spans="1:23">
      <c r="A97" s="76" t="s">
        <v>609</v>
      </c>
      <c r="B97" s="76" t="s">
        <v>610</v>
      </c>
      <c r="C97" s="77" t="s">
        <v>923</v>
      </c>
      <c r="D97" s="57">
        <f t="shared" si="6"/>
        <v>0</v>
      </c>
      <c r="E97" s="57">
        <f t="shared" si="7"/>
        <v>3</v>
      </c>
      <c r="F97" s="57">
        <f t="shared" si="8"/>
        <v>0</v>
      </c>
      <c r="G97" s="57">
        <f t="shared" si="9"/>
        <v>0</v>
      </c>
      <c r="H97" s="57">
        <f t="shared" si="10"/>
        <v>12</v>
      </c>
      <c r="I97" s="116">
        <v>0</v>
      </c>
      <c r="J97" s="116">
        <v>0</v>
      </c>
      <c r="K97" s="116">
        <v>0</v>
      </c>
      <c r="L97" s="116">
        <v>2</v>
      </c>
      <c r="M97" s="116">
        <v>1</v>
      </c>
      <c r="N97" s="116">
        <v>0</v>
      </c>
      <c r="O97" s="116">
        <v>0</v>
      </c>
      <c r="P97" s="116">
        <v>0</v>
      </c>
      <c r="Q97" s="116">
        <v>0</v>
      </c>
      <c r="R97" s="116">
        <v>0</v>
      </c>
      <c r="S97" s="116">
        <v>0</v>
      </c>
      <c r="T97" s="116">
        <v>0</v>
      </c>
      <c r="U97" s="116">
        <v>10</v>
      </c>
      <c r="V97" s="116">
        <v>2</v>
      </c>
      <c r="W97" s="116">
        <v>0</v>
      </c>
    </row>
    <row r="98" spans="1:23">
      <c r="A98" s="76" t="s">
        <v>407</v>
      </c>
      <c r="B98" s="76" t="s">
        <v>408</v>
      </c>
      <c r="C98" s="77" t="s">
        <v>923</v>
      </c>
      <c r="D98" s="57">
        <f t="shared" si="6"/>
        <v>1</v>
      </c>
      <c r="E98" s="57">
        <f t="shared" si="7"/>
        <v>1</v>
      </c>
      <c r="F98" s="57">
        <f t="shared" si="8"/>
        <v>0</v>
      </c>
      <c r="G98" s="57">
        <f t="shared" si="9"/>
        <v>15</v>
      </c>
      <c r="H98" s="57">
        <f t="shared" si="10"/>
        <v>0</v>
      </c>
      <c r="I98" s="116">
        <v>1</v>
      </c>
      <c r="J98" s="116">
        <v>0</v>
      </c>
      <c r="K98" s="116">
        <v>0</v>
      </c>
      <c r="L98" s="116">
        <v>1</v>
      </c>
      <c r="M98" s="116">
        <v>0</v>
      </c>
      <c r="N98" s="116">
        <v>0</v>
      </c>
      <c r="O98" s="116">
        <v>0</v>
      </c>
      <c r="P98" s="116">
        <v>0</v>
      </c>
      <c r="Q98" s="116">
        <v>0</v>
      </c>
      <c r="R98" s="116">
        <v>8</v>
      </c>
      <c r="S98" s="116">
        <v>3</v>
      </c>
      <c r="T98" s="116">
        <v>4</v>
      </c>
      <c r="U98" s="116">
        <v>0</v>
      </c>
      <c r="V98" s="116">
        <v>0</v>
      </c>
      <c r="W98" s="116">
        <v>0</v>
      </c>
    </row>
    <row r="99" spans="1:23">
      <c r="A99" s="76" t="s">
        <v>410</v>
      </c>
      <c r="B99" s="76" t="s">
        <v>411</v>
      </c>
      <c r="C99" s="77" t="s">
        <v>923</v>
      </c>
      <c r="D99" s="57">
        <f t="shared" si="6"/>
        <v>0</v>
      </c>
      <c r="E99" s="57">
        <f t="shared" si="7"/>
        <v>0</v>
      </c>
      <c r="F99" s="57">
        <f t="shared" si="8"/>
        <v>9</v>
      </c>
      <c r="G99" s="57">
        <f t="shared" si="9"/>
        <v>0</v>
      </c>
      <c r="H99" s="57">
        <f t="shared" si="10"/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  <c r="O99" s="116">
        <v>7</v>
      </c>
      <c r="P99" s="116">
        <v>2</v>
      </c>
      <c r="Q99" s="116">
        <v>0</v>
      </c>
      <c r="R99" s="116">
        <v>0</v>
      </c>
      <c r="S99" s="116">
        <v>0</v>
      </c>
      <c r="T99" s="116">
        <v>0</v>
      </c>
      <c r="U99" s="116">
        <v>0</v>
      </c>
      <c r="V99" s="116">
        <v>0</v>
      </c>
      <c r="W99" s="116">
        <v>0</v>
      </c>
    </row>
    <row r="100" spans="1:23">
      <c r="A100" s="76" t="s">
        <v>292</v>
      </c>
      <c r="B100" s="76" t="s">
        <v>293</v>
      </c>
      <c r="C100" s="77" t="s">
        <v>923</v>
      </c>
      <c r="D100" s="57">
        <f t="shared" si="6"/>
        <v>0</v>
      </c>
      <c r="E100" s="57">
        <f t="shared" si="7"/>
        <v>0</v>
      </c>
      <c r="F100" s="57">
        <f t="shared" si="8"/>
        <v>14</v>
      </c>
      <c r="G100" s="57">
        <f t="shared" si="9"/>
        <v>0</v>
      </c>
      <c r="H100" s="57">
        <f t="shared" si="10"/>
        <v>0</v>
      </c>
      <c r="I100" s="116">
        <v>0</v>
      </c>
      <c r="J100" s="116">
        <v>0</v>
      </c>
      <c r="K100" s="116">
        <v>0</v>
      </c>
      <c r="L100" s="116">
        <v>0</v>
      </c>
      <c r="M100" s="116">
        <v>0</v>
      </c>
      <c r="N100" s="116">
        <v>0</v>
      </c>
      <c r="O100" s="116">
        <v>12</v>
      </c>
      <c r="P100" s="116">
        <v>2</v>
      </c>
      <c r="Q100" s="116">
        <v>0</v>
      </c>
      <c r="R100" s="116">
        <v>0</v>
      </c>
      <c r="S100" s="116">
        <v>0</v>
      </c>
      <c r="T100" s="116">
        <v>0</v>
      </c>
      <c r="U100" s="116">
        <v>0</v>
      </c>
      <c r="V100" s="116">
        <v>0</v>
      </c>
      <c r="W100" s="116">
        <v>0</v>
      </c>
    </row>
    <row r="101" spans="1:23">
      <c r="A101" s="76" t="s">
        <v>611</v>
      </c>
      <c r="B101" s="76" t="s">
        <v>612</v>
      </c>
      <c r="C101" s="77" t="s">
        <v>923</v>
      </c>
      <c r="D101" s="57">
        <f t="shared" si="6"/>
        <v>0</v>
      </c>
      <c r="E101" s="57">
        <f t="shared" si="7"/>
        <v>0</v>
      </c>
      <c r="F101" s="57">
        <f t="shared" si="8"/>
        <v>10</v>
      </c>
      <c r="G101" s="57">
        <f t="shared" si="9"/>
        <v>0</v>
      </c>
      <c r="H101" s="57">
        <f t="shared" si="10"/>
        <v>0</v>
      </c>
      <c r="I101" s="116">
        <v>0</v>
      </c>
      <c r="J101" s="116">
        <v>0</v>
      </c>
      <c r="K101" s="116">
        <v>0</v>
      </c>
      <c r="L101" s="116">
        <v>0</v>
      </c>
      <c r="M101" s="116">
        <v>0</v>
      </c>
      <c r="N101" s="116">
        <v>0</v>
      </c>
      <c r="O101" s="116">
        <v>6</v>
      </c>
      <c r="P101" s="116">
        <v>4</v>
      </c>
      <c r="Q101" s="116">
        <v>0</v>
      </c>
      <c r="R101" s="116">
        <v>0</v>
      </c>
      <c r="S101" s="116">
        <v>0</v>
      </c>
      <c r="T101" s="116">
        <v>0</v>
      </c>
      <c r="U101" s="116">
        <v>0</v>
      </c>
      <c r="V101" s="116">
        <v>0</v>
      </c>
      <c r="W101" s="116">
        <v>0</v>
      </c>
    </row>
    <row r="102" spans="1:23">
      <c r="A102" s="76" t="s">
        <v>18</v>
      </c>
      <c r="B102" s="76" t="s">
        <v>19</v>
      </c>
      <c r="C102" s="77" t="s">
        <v>923</v>
      </c>
      <c r="D102" s="57">
        <f t="shared" si="6"/>
        <v>0</v>
      </c>
      <c r="E102" s="57">
        <f t="shared" si="7"/>
        <v>3</v>
      </c>
      <c r="F102" s="57">
        <f t="shared" si="8"/>
        <v>22</v>
      </c>
      <c r="G102" s="57">
        <f t="shared" si="9"/>
        <v>0</v>
      </c>
      <c r="H102" s="57">
        <f t="shared" si="10"/>
        <v>0</v>
      </c>
      <c r="I102" s="116">
        <v>0</v>
      </c>
      <c r="J102" s="116">
        <v>0</v>
      </c>
      <c r="K102" s="116">
        <v>0</v>
      </c>
      <c r="L102" s="116">
        <v>1</v>
      </c>
      <c r="M102" s="116">
        <v>1</v>
      </c>
      <c r="N102" s="116">
        <v>1</v>
      </c>
      <c r="O102" s="116">
        <v>14</v>
      </c>
      <c r="P102" s="116">
        <v>2</v>
      </c>
      <c r="Q102" s="116">
        <v>6</v>
      </c>
      <c r="R102" s="116">
        <v>0</v>
      </c>
      <c r="S102" s="116">
        <v>0</v>
      </c>
      <c r="T102" s="116">
        <v>0</v>
      </c>
      <c r="U102" s="116">
        <v>0</v>
      </c>
      <c r="V102" s="116">
        <v>0</v>
      </c>
      <c r="W102" s="116">
        <v>0</v>
      </c>
    </row>
    <row r="103" spans="1:23">
      <c r="A103" s="76" t="s">
        <v>295</v>
      </c>
      <c r="B103" s="76" t="s">
        <v>296</v>
      </c>
      <c r="C103" s="77" t="s">
        <v>923</v>
      </c>
      <c r="D103" s="57">
        <f t="shared" si="6"/>
        <v>0</v>
      </c>
      <c r="E103" s="57">
        <f t="shared" si="7"/>
        <v>0</v>
      </c>
      <c r="F103" s="57">
        <f t="shared" si="8"/>
        <v>15</v>
      </c>
      <c r="G103" s="57">
        <f t="shared" si="9"/>
        <v>0</v>
      </c>
      <c r="H103" s="57">
        <f t="shared" si="10"/>
        <v>0</v>
      </c>
      <c r="I103" s="116">
        <v>0</v>
      </c>
      <c r="J103" s="116">
        <v>0</v>
      </c>
      <c r="K103" s="116">
        <v>0</v>
      </c>
      <c r="L103" s="116">
        <v>0</v>
      </c>
      <c r="M103" s="116">
        <v>0</v>
      </c>
      <c r="N103" s="116">
        <v>0</v>
      </c>
      <c r="O103" s="116">
        <v>6</v>
      </c>
      <c r="P103" s="116">
        <v>3</v>
      </c>
      <c r="Q103" s="116">
        <v>6</v>
      </c>
      <c r="R103" s="116">
        <v>0</v>
      </c>
      <c r="S103" s="116">
        <v>0</v>
      </c>
      <c r="T103" s="116">
        <v>0</v>
      </c>
      <c r="U103" s="116">
        <v>0</v>
      </c>
      <c r="V103" s="116">
        <v>0</v>
      </c>
      <c r="W103" s="116">
        <v>0</v>
      </c>
    </row>
    <row r="104" spans="1:23">
      <c r="A104" s="76" t="s">
        <v>413</v>
      </c>
      <c r="B104" s="76" t="s">
        <v>414</v>
      </c>
      <c r="C104" s="77" t="s">
        <v>923</v>
      </c>
      <c r="D104" s="57">
        <f t="shared" si="6"/>
        <v>0</v>
      </c>
      <c r="E104" s="57">
        <f t="shared" si="7"/>
        <v>0</v>
      </c>
      <c r="F104" s="57">
        <f t="shared" si="8"/>
        <v>0</v>
      </c>
      <c r="G104" s="57">
        <f t="shared" si="9"/>
        <v>16</v>
      </c>
      <c r="H104" s="57">
        <f t="shared" si="10"/>
        <v>0</v>
      </c>
      <c r="I104" s="116">
        <v>0</v>
      </c>
      <c r="J104" s="116">
        <v>0</v>
      </c>
      <c r="K104" s="116">
        <v>0</v>
      </c>
      <c r="L104" s="116">
        <v>0</v>
      </c>
      <c r="M104" s="116">
        <v>0</v>
      </c>
      <c r="N104" s="116">
        <v>0</v>
      </c>
      <c r="O104" s="116">
        <v>0</v>
      </c>
      <c r="P104" s="116">
        <v>0</v>
      </c>
      <c r="Q104" s="116">
        <v>0</v>
      </c>
      <c r="R104" s="116">
        <v>13</v>
      </c>
      <c r="S104" s="116">
        <v>3</v>
      </c>
      <c r="T104" s="116">
        <v>0</v>
      </c>
      <c r="U104" s="116">
        <v>0</v>
      </c>
      <c r="V104" s="116">
        <v>0</v>
      </c>
      <c r="W104" s="116">
        <v>0</v>
      </c>
    </row>
    <row r="105" spans="1:23">
      <c r="A105" s="76" t="s">
        <v>106</v>
      </c>
      <c r="B105" s="76" t="s">
        <v>107</v>
      </c>
      <c r="C105" s="77" t="s">
        <v>923</v>
      </c>
      <c r="D105" s="57">
        <f t="shared" si="6"/>
        <v>0</v>
      </c>
      <c r="E105" s="57">
        <f t="shared" si="7"/>
        <v>4</v>
      </c>
      <c r="F105" s="57">
        <f t="shared" si="8"/>
        <v>10</v>
      </c>
      <c r="G105" s="57">
        <f t="shared" si="9"/>
        <v>0</v>
      </c>
      <c r="H105" s="57">
        <f t="shared" si="10"/>
        <v>0</v>
      </c>
      <c r="I105" s="116">
        <v>0</v>
      </c>
      <c r="J105" s="116">
        <v>0</v>
      </c>
      <c r="K105" s="116">
        <v>0</v>
      </c>
      <c r="L105" s="116">
        <v>2</v>
      </c>
      <c r="M105" s="116">
        <v>2</v>
      </c>
      <c r="N105" s="116">
        <v>0</v>
      </c>
      <c r="O105" s="116">
        <v>9</v>
      </c>
      <c r="P105" s="116">
        <v>1</v>
      </c>
      <c r="Q105" s="116">
        <v>0</v>
      </c>
      <c r="R105" s="116">
        <v>0</v>
      </c>
      <c r="S105" s="116">
        <v>0</v>
      </c>
      <c r="T105" s="116">
        <v>0</v>
      </c>
      <c r="U105" s="116">
        <v>0</v>
      </c>
      <c r="V105" s="116">
        <v>0</v>
      </c>
      <c r="W105" s="116">
        <v>0</v>
      </c>
    </row>
    <row r="106" spans="1:23">
      <c r="A106" s="76" t="s">
        <v>302</v>
      </c>
      <c r="B106" s="76" t="s">
        <v>303</v>
      </c>
      <c r="C106" s="77" t="s">
        <v>923</v>
      </c>
      <c r="D106" s="57">
        <f t="shared" si="6"/>
        <v>1</v>
      </c>
      <c r="E106" s="57">
        <f t="shared" si="7"/>
        <v>1</v>
      </c>
      <c r="F106" s="57">
        <f t="shared" si="8"/>
        <v>7</v>
      </c>
      <c r="G106" s="57">
        <f t="shared" si="9"/>
        <v>0</v>
      </c>
      <c r="H106" s="57">
        <f t="shared" si="10"/>
        <v>0</v>
      </c>
      <c r="I106" s="116">
        <v>1</v>
      </c>
      <c r="J106" s="116">
        <v>0</v>
      </c>
      <c r="K106" s="116">
        <v>0</v>
      </c>
      <c r="L106" s="116">
        <v>0</v>
      </c>
      <c r="M106" s="116">
        <v>1</v>
      </c>
      <c r="N106" s="116">
        <v>0</v>
      </c>
      <c r="O106" s="116">
        <v>6</v>
      </c>
      <c r="P106" s="116">
        <v>1</v>
      </c>
      <c r="Q106" s="116">
        <v>0</v>
      </c>
      <c r="R106" s="116">
        <v>0</v>
      </c>
      <c r="S106" s="116">
        <v>0</v>
      </c>
      <c r="T106" s="116">
        <v>0</v>
      </c>
      <c r="U106" s="116">
        <v>0</v>
      </c>
      <c r="V106" s="116">
        <v>0</v>
      </c>
      <c r="W106" s="116">
        <v>0</v>
      </c>
    </row>
    <row r="107" spans="1:23">
      <c r="A107" s="76" t="s">
        <v>103</v>
      </c>
      <c r="B107" s="76" t="s">
        <v>104</v>
      </c>
      <c r="C107" s="77" t="s">
        <v>923</v>
      </c>
      <c r="D107" s="57">
        <f t="shared" si="6"/>
        <v>0</v>
      </c>
      <c r="E107" s="57">
        <f t="shared" si="7"/>
        <v>5</v>
      </c>
      <c r="F107" s="57">
        <f t="shared" si="8"/>
        <v>14</v>
      </c>
      <c r="G107" s="57">
        <f t="shared" si="9"/>
        <v>0</v>
      </c>
      <c r="H107" s="57">
        <f t="shared" si="10"/>
        <v>0</v>
      </c>
      <c r="I107" s="116">
        <v>0</v>
      </c>
      <c r="J107" s="116">
        <v>0</v>
      </c>
      <c r="K107" s="116">
        <v>0</v>
      </c>
      <c r="L107" s="116">
        <v>3</v>
      </c>
      <c r="M107" s="116">
        <v>2</v>
      </c>
      <c r="N107" s="116">
        <v>0</v>
      </c>
      <c r="O107" s="116">
        <v>12</v>
      </c>
      <c r="P107" s="116">
        <v>2</v>
      </c>
      <c r="Q107" s="116">
        <v>0</v>
      </c>
      <c r="R107" s="116">
        <v>0</v>
      </c>
      <c r="S107" s="116">
        <v>0</v>
      </c>
      <c r="T107" s="116">
        <v>0</v>
      </c>
      <c r="U107" s="116">
        <v>0</v>
      </c>
      <c r="V107" s="116">
        <v>0</v>
      </c>
      <c r="W107" s="116">
        <v>0</v>
      </c>
    </row>
    <row r="108" spans="1:23">
      <c r="A108" s="76" t="s">
        <v>305</v>
      </c>
      <c r="B108" s="76" t="s">
        <v>306</v>
      </c>
      <c r="C108" s="77" t="s">
        <v>923</v>
      </c>
      <c r="D108" s="57">
        <f t="shared" si="6"/>
        <v>0</v>
      </c>
      <c r="E108" s="57">
        <f t="shared" si="7"/>
        <v>3</v>
      </c>
      <c r="F108" s="57">
        <f t="shared" si="8"/>
        <v>10</v>
      </c>
      <c r="G108" s="57">
        <f t="shared" si="9"/>
        <v>0</v>
      </c>
      <c r="H108" s="57">
        <f t="shared" si="10"/>
        <v>0</v>
      </c>
      <c r="I108" s="116">
        <v>0</v>
      </c>
      <c r="J108" s="116">
        <v>0</v>
      </c>
      <c r="K108" s="116">
        <v>0</v>
      </c>
      <c r="L108" s="116">
        <v>2</v>
      </c>
      <c r="M108" s="116">
        <v>1</v>
      </c>
      <c r="N108" s="116">
        <v>0</v>
      </c>
      <c r="O108" s="116">
        <v>9</v>
      </c>
      <c r="P108" s="116">
        <v>1</v>
      </c>
      <c r="Q108" s="116">
        <v>0</v>
      </c>
      <c r="R108" s="116">
        <v>0</v>
      </c>
      <c r="S108" s="116">
        <v>0</v>
      </c>
      <c r="T108" s="116">
        <v>0</v>
      </c>
      <c r="U108" s="116">
        <v>0</v>
      </c>
      <c r="V108" s="116">
        <v>0</v>
      </c>
      <c r="W108" s="116">
        <v>0</v>
      </c>
    </row>
    <row r="109" spans="1:23">
      <c r="A109" s="76" t="s">
        <v>422</v>
      </c>
      <c r="B109" s="76" t="s">
        <v>423</v>
      </c>
      <c r="C109" s="77" t="s">
        <v>923</v>
      </c>
      <c r="D109" s="57">
        <f t="shared" si="6"/>
        <v>1</v>
      </c>
      <c r="E109" s="57">
        <f t="shared" si="7"/>
        <v>0</v>
      </c>
      <c r="F109" s="57">
        <f t="shared" si="8"/>
        <v>0</v>
      </c>
      <c r="G109" s="57">
        <f t="shared" si="9"/>
        <v>15</v>
      </c>
      <c r="H109" s="57">
        <f t="shared" si="10"/>
        <v>0</v>
      </c>
      <c r="I109" s="116">
        <v>1</v>
      </c>
      <c r="J109" s="116">
        <v>0</v>
      </c>
      <c r="K109" s="116">
        <v>0</v>
      </c>
      <c r="L109" s="116">
        <v>0</v>
      </c>
      <c r="M109" s="116">
        <v>0</v>
      </c>
      <c r="N109" s="116">
        <v>0</v>
      </c>
      <c r="O109" s="116">
        <v>0</v>
      </c>
      <c r="P109" s="116">
        <v>0</v>
      </c>
      <c r="Q109" s="116">
        <v>0</v>
      </c>
      <c r="R109" s="116">
        <v>10</v>
      </c>
      <c r="S109" s="116">
        <v>5</v>
      </c>
      <c r="T109" s="116">
        <v>0</v>
      </c>
      <c r="U109" s="116">
        <v>0</v>
      </c>
      <c r="V109" s="116">
        <v>0</v>
      </c>
      <c r="W109" s="116">
        <v>0</v>
      </c>
    </row>
    <row r="110" spans="1:23">
      <c r="A110" s="76" t="s">
        <v>619</v>
      </c>
      <c r="B110" s="76" t="s">
        <v>620</v>
      </c>
      <c r="C110" s="77" t="s">
        <v>923</v>
      </c>
      <c r="D110" s="57">
        <f t="shared" si="6"/>
        <v>0</v>
      </c>
      <c r="E110" s="57">
        <f t="shared" si="7"/>
        <v>0</v>
      </c>
      <c r="F110" s="57">
        <f t="shared" si="8"/>
        <v>0</v>
      </c>
      <c r="G110" s="57">
        <f t="shared" si="9"/>
        <v>11</v>
      </c>
      <c r="H110" s="57">
        <f t="shared" si="10"/>
        <v>0</v>
      </c>
      <c r="I110" s="116">
        <v>0</v>
      </c>
      <c r="J110" s="116">
        <v>0</v>
      </c>
      <c r="K110" s="116">
        <v>0</v>
      </c>
      <c r="L110" s="116">
        <v>0</v>
      </c>
      <c r="M110" s="116">
        <v>0</v>
      </c>
      <c r="N110" s="116">
        <v>0</v>
      </c>
      <c r="O110" s="116">
        <v>0</v>
      </c>
      <c r="P110" s="116">
        <v>0</v>
      </c>
      <c r="Q110" s="116">
        <v>0</v>
      </c>
      <c r="R110" s="116">
        <v>8</v>
      </c>
      <c r="S110" s="116">
        <v>3</v>
      </c>
      <c r="T110" s="116">
        <v>0</v>
      </c>
      <c r="U110" s="116">
        <v>0</v>
      </c>
      <c r="V110" s="116">
        <v>0</v>
      </c>
      <c r="W110" s="116">
        <v>0</v>
      </c>
    </row>
    <row r="111" spans="1:23">
      <c r="A111" s="76" t="s">
        <v>308</v>
      </c>
      <c r="B111" s="76" t="s">
        <v>309</v>
      </c>
      <c r="C111" s="77" t="s">
        <v>923</v>
      </c>
      <c r="D111" s="57">
        <f t="shared" si="6"/>
        <v>0</v>
      </c>
      <c r="E111" s="57">
        <f t="shared" si="7"/>
        <v>0</v>
      </c>
      <c r="F111" s="57">
        <f t="shared" si="8"/>
        <v>12</v>
      </c>
      <c r="G111" s="57">
        <f t="shared" si="9"/>
        <v>0</v>
      </c>
      <c r="H111" s="57">
        <f t="shared" si="10"/>
        <v>0</v>
      </c>
      <c r="I111" s="116">
        <v>0</v>
      </c>
      <c r="J111" s="116">
        <v>0</v>
      </c>
      <c r="K111" s="116">
        <v>0</v>
      </c>
      <c r="L111" s="116">
        <v>0</v>
      </c>
      <c r="M111" s="116">
        <v>0</v>
      </c>
      <c r="N111" s="116">
        <v>0</v>
      </c>
      <c r="O111" s="116">
        <v>11</v>
      </c>
      <c r="P111" s="116">
        <v>1</v>
      </c>
      <c r="Q111" s="116">
        <v>0</v>
      </c>
      <c r="R111" s="116">
        <v>0</v>
      </c>
      <c r="S111" s="116">
        <v>0</v>
      </c>
      <c r="T111" s="116">
        <v>0</v>
      </c>
      <c r="U111" s="116">
        <v>0</v>
      </c>
      <c r="V111" s="116">
        <v>0</v>
      </c>
      <c r="W111" s="116">
        <v>0</v>
      </c>
    </row>
    <row r="112" spans="1:23">
      <c r="A112" s="76" t="s">
        <v>311</v>
      </c>
      <c r="B112" s="76" t="s">
        <v>312</v>
      </c>
      <c r="C112" s="77" t="s">
        <v>923</v>
      </c>
      <c r="D112" s="57">
        <f t="shared" si="6"/>
        <v>0</v>
      </c>
      <c r="E112" s="57">
        <f t="shared" si="7"/>
        <v>0</v>
      </c>
      <c r="F112" s="57">
        <f t="shared" si="8"/>
        <v>16</v>
      </c>
      <c r="G112" s="57">
        <f t="shared" si="9"/>
        <v>0</v>
      </c>
      <c r="H112" s="57">
        <f t="shared" si="10"/>
        <v>0</v>
      </c>
      <c r="I112" s="116">
        <v>0</v>
      </c>
      <c r="J112" s="116">
        <v>0</v>
      </c>
      <c r="K112" s="116">
        <v>0</v>
      </c>
      <c r="L112" s="116">
        <v>0</v>
      </c>
      <c r="M112" s="116">
        <v>0</v>
      </c>
      <c r="N112" s="116">
        <v>0</v>
      </c>
      <c r="O112" s="116">
        <v>13</v>
      </c>
      <c r="P112" s="116">
        <v>3</v>
      </c>
      <c r="Q112" s="116">
        <v>0</v>
      </c>
      <c r="R112" s="116">
        <v>0</v>
      </c>
      <c r="S112" s="116">
        <v>0</v>
      </c>
      <c r="T112" s="116">
        <v>0</v>
      </c>
      <c r="U112" s="116">
        <v>0</v>
      </c>
      <c r="V112" s="116">
        <v>0</v>
      </c>
      <c r="W112" s="116">
        <v>0</v>
      </c>
    </row>
    <row r="113" spans="1:23">
      <c r="A113" s="76" t="s">
        <v>425</v>
      </c>
      <c r="B113" s="76" t="s">
        <v>426</v>
      </c>
      <c r="C113" s="77" t="s">
        <v>923</v>
      </c>
      <c r="D113" s="57">
        <f t="shared" si="6"/>
        <v>0</v>
      </c>
      <c r="E113" s="57">
        <f t="shared" si="7"/>
        <v>0</v>
      </c>
      <c r="F113" s="57">
        <f t="shared" si="8"/>
        <v>0</v>
      </c>
      <c r="G113" s="57">
        <f t="shared" si="9"/>
        <v>16</v>
      </c>
      <c r="H113" s="57">
        <f t="shared" si="10"/>
        <v>0</v>
      </c>
      <c r="I113" s="116">
        <v>0</v>
      </c>
      <c r="J113" s="116">
        <v>0</v>
      </c>
      <c r="K113" s="116">
        <v>0</v>
      </c>
      <c r="L113" s="116">
        <v>0</v>
      </c>
      <c r="M113" s="116">
        <v>0</v>
      </c>
      <c r="N113" s="116">
        <v>0</v>
      </c>
      <c r="O113" s="116">
        <v>0</v>
      </c>
      <c r="P113" s="116">
        <v>0</v>
      </c>
      <c r="Q113" s="116">
        <v>0</v>
      </c>
      <c r="R113" s="116">
        <v>12</v>
      </c>
      <c r="S113" s="116">
        <v>4</v>
      </c>
      <c r="T113" s="116">
        <v>0</v>
      </c>
      <c r="U113" s="116">
        <v>0</v>
      </c>
      <c r="V113" s="116">
        <v>0</v>
      </c>
      <c r="W113" s="116">
        <v>0</v>
      </c>
    </row>
    <row r="114" spans="1:23">
      <c r="A114" s="76" t="s">
        <v>314</v>
      </c>
      <c r="B114" s="76" t="s">
        <v>315</v>
      </c>
      <c r="C114" s="77" t="s">
        <v>923</v>
      </c>
      <c r="D114" s="57">
        <f t="shared" si="6"/>
        <v>0</v>
      </c>
      <c r="E114" s="57">
        <f t="shared" si="7"/>
        <v>6</v>
      </c>
      <c r="F114" s="57">
        <f t="shared" si="8"/>
        <v>22</v>
      </c>
      <c r="G114" s="57">
        <f t="shared" si="9"/>
        <v>0</v>
      </c>
      <c r="H114" s="57">
        <f t="shared" si="10"/>
        <v>0</v>
      </c>
      <c r="I114" s="116">
        <v>0</v>
      </c>
      <c r="J114" s="116">
        <v>0</v>
      </c>
      <c r="K114" s="116">
        <v>0</v>
      </c>
      <c r="L114" s="116">
        <v>5</v>
      </c>
      <c r="M114" s="116">
        <v>1</v>
      </c>
      <c r="N114" s="116">
        <v>0</v>
      </c>
      <c r="O114" s="116">
        <v>18</v>
      </c>
      <c r="P114" s="116">
        <v>4</v>
      </c>
      <c r="Q114" s="116">
        <v>0</v>
      </c>
      <c r="R114" s="116">
        <v>0</v>
      </c>
      <c r="S114" s="116">
        <v>0</v>
      </c>
      <c r="T114" s="116">
        <v>0</v>
      </c>
      <c r="U114" s="116">
        <v>0</v>
      </c>
      <c r="V114" s="116">
        <v>0</v>
      </c>
      <c r="W114" s="116">
        <v>0</v>
      </c>
    </row>
    <row r="115" spans="1:23">
      <c r="A115" s="76" t="s">
        <v>431</v>
      </c>
      <c r="B115" s="76" t="s">
        <v>432</v>
      </c>
      <c r="C115" s="77" t="s">
        <v>923</v>
      </c>
      <c r="D115" s="57">
        <f t="shared" si="6"/>
        <v>0</v>
      </c>
      <c r="E115" s="57">
        <f t="shared" si="7"/>
        <v>0</v>
      </c>
      <c r="F115" s="57">
        <f t="shared" si="8"/>
        <v>0</v>
      </c>
      <c r="G115" s="57">
        <f t="shared" si="9"/>
        <v>22</v>
      </c>
      <c r="H115" s="57">
        <f t="shared" si="10"/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  <c r="O115" s="116">
        <v>0</v>
      </c>
      <c r="P115" s="116">
        <v>0</v>
      </c>
      <c r="Q115" s="116">
        <v>0</v>
      </c>
      <c r="R115" s="116">
        <v>15</v>
      </c>
      <c r="S115" s="116">
        <v>7</v>
      </c>
      <c r="T115" s="116">
        <v>0</v>
      </c>
      <c r="U115" s="116">
        <v>0</v>
      </c>
      <c r="V115" s="116">
        <v>0</v>
      </c>
      <c r="W115" s="116">
        <v>0</v>
      </c>
    </row>
    <row r="116" spans="1:23">
      <c r="A116" s="76" t="s">
        <v>625</v>
      </c>
      <c r="B116" s="76" t="s">
        <v>626</v>
      </c>
      <c r="C116" s="77" t="s">
        <v>923</v>
      </c>
      <c r="D116" s="57">
        <f t="shared" si="6"/>
        <v>26</v>
      </c>
      <c r="E116" s="57">
        <f t="shared" si="7"/>
        <v>0</v>
      </c>
      <c r="F116" s="57">
        <f t="shared" si="8"/>
        <v>7</v>
      </c>
      <c r="G116" s="57">
        <f t="shared" si="9"/>
        <v>0</v>
      </c>
      <c r="H116" s="57">
        <f t="shared" si="10"/>
        <v>4</v>
      </c>
      <c r="I116" s="116">
        <v>14</v>
      </c>
      <c r="J116" s="116">
        <v>12</v>
      </c>
      <c r="K116" s="116">
        <v>0</v>
      </c>
      <c r="L116" s="116">
        <v>0</v>
      </c>
      <c r="M116" s="116">
        <v>0</v>
      </c>
      <c r="N116" s="116">
        <v>0</v>
      </c>
      <c r="O116" s="116">
        <v>4</v>
      </c>
      <c r="P116" s="116">
        <v>3</v>
      </c>
      <c r="Q116" s="116">
        <v>0</v>
      </c>
      <c r="R116" s="116">
        <v>0</v>
      </c>
      <c r="S116" s="116">
        <v>0</v>
      </c>
      <c r="T116" s="116">
        <v>0</v>
      </c>
      <c r="U116" s="116">
        <v>4</v>
      </c>
      <c r="V116" s="116">
        <v>0</v>
      </c>
      <c r="W116" s="116">
        <v>0</v>
      </c>
    </row>
    <row r="117" spans="1:23">
      <c r="A117" s="76" t="s">
        <v>317</v>
      </c>
      <c r="B117" s="76" t="s">
        <v>318</v>
      </c>
      <c r="C117" s="77" t="s">
        <v>923</v>
      </c>
      <c r="D117" s="57">
        <f t="shared" si="6"/>
        <v>0</v>
      </c>
      <c r="E117" s="57">
        <f t="shared" si="7"/>
        <v>0</v>
      </c>
      <c r="F117" s="57">
        <f t="shared" si="8"/>
        <v>12</v>
      </c>
      <c r="G117" s="57">
        <f t="shared" si="9"/>
        <v>0</v>
      </c>
      <c r="H117" s="57">
        <f t="shared" si="10"/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  <c r="O117" s="116">
        <v>8</v>
      </c>
      <c r="P117" s="116">
        <v>4</v>
      </c>
      <c r="Q117" s="116">
        <v>0</v>
      </c>
      <c r="R117" s="116">
        <v>0</v>
      </c>
      <c r="S117" s="116">
        <v>0</v>
      </c>
      <c r="T117" s="116">
        <v>0</v>
      </c>
      <c r="U117" s="116">
        <v>0</v>
      </c>
      <c r="V117" s="116">
        <v>0</v>
      </c>
      <c r="W117" s="116">
        <v>0</v>
      </c>
    </row>
    <row r="118" spans="1:23">
      <c r="A118" s="76" t="s">
        <v>320</v>
      </c>
      <c r="B118" s="76" t="s">
        <v>321</v>
      </c>
      <c r="C118" s="77" t="s">
        <v>923</v>
      </c>
      <c r="D118" s="57">
        <f t="shared" si="6"/>
        <v>0</v>
      </c>
      <c r="E118" s="57">
        <f t="shared" si="7"/>
        <v>1</v>
      </c>
      <c r="F118" s="57">
        <f t="shared" si="8"/>
        <v>9</v>
      </c>
      <c r="G118" s="57">
        <f t="shared" si="9"/>
        <v>0</v>
      </c>
      <c r="H118" s="57">
        <f t="shared" si="10"/>
        <v>0</v>
      </c>
      <c r="I118" s="116">
        <v>0</v>
      </c>
      <c r="J118" s="116">
        <v>0</v>
      </c>
      <c r="K118" s="116">
        <v>0</v>
      </c>
      <c r="L118" s="116">
        <v>1</v>
      </c>
      <c r="M118" s="116">
        <v>0</v>
      </c>
      <c r="N118" s="116">
        <v>0</v>
      </c>
      <c r="O118" s="116">
        <v>7</v>
      </c>
      <c r="P118" s="116">
        <v>2</v>
      </c>
      <c r="Q118" s="116">
        <v>0</v>
      </c>
      <c r="R118" s="116">
        <v>0</v>
      </c>
      <c r="S118" s="116">
        <v>0</v>
      </c>
      <c r="T118" s="116">
        <v>0</v>
      </c>
      <c r="U118" s="116">
        <v>0</v>
      </c>
      <c r="V118" s="116">
        <v>0</v>
      </c>
      <c r="W118" s="116">
        <v>0</v>
      </c>
    </row>
    <row r="119" spans="1:23">
      <c r="A119" s="76" t="s">
        <v>639</v>
      </c>
      <c r="B119" s="76" t="s">
        <v>640</v>
      </c>
      <c r="C119" s="77" t="s">
        <v>923</v>
      </c>
      <c r="D119" s="57">
        <f t="shared" si="6"/>
        <v>0</v>
      </c>
      <c r="E119" s="57">
        <f t="shared" si="7"/>
        <v>1</v>
      </c>
      <c r="F119" s="57">
        <f t="shared" si="8"/>
        <v>16</v>
      </c>
      <c r="G119" s="57">
        <f t="shared" si="9"/>
        <v>0</v>
      </c>
      <c r="H119" s="57">
        <f t="shared" si="10"/>
        <v>0</v>
      </c>
      <c r="I119" s="116">
        <v>0</v>
      </c>
      <c r="J119" s="116">
        <v>0</v>
      </c>
      <c r="K119" s="116">
        <v>0</v>
      </c>
      <c r="L119" s="116">
        <v>1</v>
      </c>
      <c r="M119" s="116">
        <v>0</v>
      </c>
      <c r="N119" s="116">
        <v>0</v>
      </c>
      <c r="O119" s="116">
        <v>14</v>
      </c>
      <c r="P119" s="116">
        <v>2</v>
      </c>
      <c r="Q119" s="116">
        <v>0</v>
      </c>
      <c r="R119" s="116">
        <v>0</v>
      </c>
      <c r="S119" s="116">
        <v>0</v>
      </c>
      <c r="T119" s="116">
        <v>0</v>
      </c>
      <c r="U119" s="116">
        <v>0</v>
      </c>
      <c r="V119" s="116">
        <v>0</v>
      </c>
      <c r="W119" s="116">
        <v>0</v>
      </c>
    </row>
    <row r="120" spans="1:23">
      <c r="A120" s="76" t="s">
        <v>557</v>
      </c>
      <c r="B120" s="76" t="s">
        <v>558</v>
      </c>
      <c r="C120" s="77" t="s">
        <v>923</v>
      </c>
      <c r="D120" s="57">
        <f t="shared" si="6"/>
        <v>0</v>
      </c>
      <c r="E120" s="57">
        <f t="shared" si="7"/>
        <v>7</v>
      </c>
      <c r="F120" s="57">
        <f t="shared" si="8"/>
        <v>19</v>
      </c>
      <c r="G120" s="57">
        <f t="shared" si="9"/>
        <v>0</v>
      </c>
      <c r="H120" s="57">
        <f t="shared" si="10"/>
        <v>0</v>
      </c>
      <c r="I120" s="116">
        <v>0</v>
      </c>
      <c r="J120" s="116">
        <v>0</v>
      </c>
      <c r="K120" s="116">
        <v>0</v>
      </c>
      <c r="L120" s="116">
        <v>6</v>
      </c>
      <c r="M120" s="116">
        <v>1</v>
      </c>
      <c r="N120" s="116">
        <v>0</v>
      </c>
      <c r="O120" s="116">
        <v>17</v>
      </c>
      <c r="P120" s="116">
        <v>2</v>
      </c>
      <c r="Q120" s="116">
        <v>0</v>
      </c>
      <c r="R120" s="116">
        <v>0</v>
      </c>
      <c r="S120" s="116">
        <v>0</v>
      </c>
      <c r="T120" s="116">
        <v>0</v>
      </c>
      <c r="U120" s="116">
        <v>0</v>
      </c>
      <c r="V120" s="116">
        <v>0</v>
      </c>
      <c r="W120" s="116">
        <v>0</v>
      </c>
    </row>
    <row r="121" spans="1:23">
      <c r="A121" s="76" t="s">
        <v>548</v>
      </c>
      <c r="B121" s="76" t="s">
        <v>549</v>
      </c>
      <c r="C121" s="77" t="s">
        <v>923</v>
      </c>
      <c r="D121" s="57">
        <f t="shared" si="6"/>
        <v>0</v>
      </c>
      <c r="E121" s="57">
        <f t="shared" si="7"/>
        <v>1</v>
      </c>
      <c r="F121" s="57">
        <f t="shared" si="8"/>
        <v>0</v>
      </c>
      <c r="G121" s="57">
        <f t="shared" si="9"/>
        <v>16</v>
      </c>
      <c r="H121" s="57">
        <f t="shared" si="10"/>
        <v>0</v>
      </c>
      <c r="I121" s="116">
        <v>0</v>
      </c>
      <c r="J121" s="116">
        <v>0</v>
      </c>
      <c r="K121" s="116">
        <v>0</v>
      </c>
      <c r="L121" s="116">
        <v>0</v>
      </c>
      <c r="M121" s="116">
        <v>1</v>
      </c>
      <c r="N121" s="116">
        <v>0</v>
      </c>
      <c r="O121" s="116">
        <v>0</v>
      </c>
      <c r="P121" s="116">
        <v>0</v>
      </c>
      <c r="Q121" s="116">
        <v>0</v>
      </c>
      <c r="R121" s="116">
        <v>15</v>
      </c>
      <c r="S121" s="116">
        <v>1</v>
      </c>
      <c r="T121" s="116">
        <v>0</v>
      </c>
      <c r="U121" s="116">
        <v>0</v>
      </c>
      <c r="V121" s="116">
        <v>0</v>
      </c>
      <c r="W121" s="116">
        <v>0</v>
      </c>
    </row>
    <row r="122" spans="1:23">
      <c r="A122" s="76" t="s">
        <v>542</v>
      </c>
      <c r="B122" s="76" t="s">
        <v>543</v>
      </c>
      <c r="C122" s="77" t="s">
        <v>923</v>
      </c>
      <c r="D122" s="57">
        <f t="shared" si="6"/>
        <v>0</v>
      </c>
      <c r="E122" s="57">
        <f t="shared" si="7"/>
        <v>6</v>
      </c>
      <c r="F122" s="57">
        <f t="shared" si="8"/>
        <v>0</v>
      </c>
      <c r="G122" s="57">
        <f t="shared" si="9"/>
        <v>0</v>
      </c>
      <c r="H122" s="57">
        <f t="shared" si="10"/>
        <v>9</v>
      </c>
      <c r="I122" s="116">
        <v>0</v>
      </c>
      <c r="J122" s="116">
        <v>0</v>
      </c>
      <c r="K122" s="116">
        <v>0</v>
      </c>
      <c r="L122" s="116">
        <v>4</v>
      </c>
      <c r="M122" s="116">
        <v>2</v>
      </c>
      <c r="N122" s="116">
        <v>0</v>
      </c>
      <c r="O122" s="116">
        <v>0</v>
      </c>
      <c r="P122" s="116">
        <v>0</v>
      </c>
      <c r="Q122" s="116">
        <v>0</v>
      </c>
      <c r="R122" s="116">
        <v>0</v>
      </c>
      <c r="S122" s="116">
        <v>0</v>
      </c>
      <c r="T122" s="116">
        <v>0</v>
      </c>
      <c r="U122" s="116">
        <v>5</v>
      </c>
      <c r="V122" s="116">
        <v>1</v>
      </c>
      <c r="W122" s="116">
        <v>3</v>
      </c>
    </row>
    <row r="123" spans="1:23">
      <c r="A123" s="76" t="s">
        <v>21</v>
      </c>
      <c r="B123" s="76" t="s">
        <v>22</v>
      </c>
      <c r="C123" s="77" t="s">
        <v>923</v>
      </c>
      <c r="D123" s="57">
        <f t="shared" si="6"/>
        <v>0</v>
      </c>
      <c r="E123" s="57">
        <f t="shared" si="7"/>
        <v>0</v>
      </c>
      <c r="F123" s="57">
        <f t="shared" si="8"/>
        <v>0</v>
      </c>
      <c r="G123" s="57">
        <f t="shared" si="9"/>
        <v>0</v>
      </c>
      <c r="H123" s="57">
        <f t="shared" si="10"/>
        <v>42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  <c r="O123" s="116">
        <v>0</v>
      </c>
      <c r="P123" s="116">
        <v>0</v>
      </c>
      <c r="Q123" s="116">
        <v>0</v>
      </c>
      <c r="R123" s="116">
        <v>0</v>
      </c>
      <c r="S123" s="116">
        <v>0</v>
      </c>
      <c r="T123" s="116">
        <v>0</v>
      </c>
      <c r="U123" s="116">
        <v>35</v>
      </c>
      <c r="V123" s="116">
        <v>7</v>
      </c>
      <c r="W123" s="116">
        <v>0</v>
      </c>
    </row>
    <row r="124" spans="1:23">
      <c r="A124" s="76" t="s">
        <v>329</v>
      </c>
      <c r="B124" s="76" t="s">
        <v>330</v>
      </c>
      <c r="C124" s="77" t="s">
        <v>923</v>
      </c>
      <c r="D124" s="57">
        <f t="shared" si="6"/>
        <v>0</v>
      </c>
      <c r="E124" s="57">
        <f t="shared" si="7"/>
        <v>0</v>
      </c>
      <c r="F124" s="57">
        <f t="shared" si="8"/>
        <v>11</v>
      </c>
      <c r="G124" s="57">
        <f t="shared" si="9"/>
        <v>0</v>
      </c>
      <c r="H124" s="57">
        <f t="shared" si="10"/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  <c r="O124" s="116">
        <v>10</v>
      </c>
      <c r="P124" s="116">
        <v>1</v>
      </c>
      <c r="Q124" s="116">
        <v>0</v>
      </c>
      <c r="R124" s="116">
        <v>0</v>
      </c>
      <c r="S124" s="116">
        <v>0</v>
      </c>
      <c r="T124" s="116">
        <v>0</v>
      </c>
      <c r="U124" s="116">
        <v>0</v>
      </c>
      <c r="V124" s="116">
        <v>0</v>
      </c>
      <c r="W124" s="116">
        <v>0</v>
      </c>
    </row>
    <row r="125" spans="1:23">
      <c r="A125" s="76" t="s">
        <v>440</v>
      </c>
      <c r="B125" s="76" t="s">
        <v>441</v>
      </c>
      <c r="C125" s="77" t="s">
        <v>923</v>
      </c>
      <c r="D125" s="57">
        <f t="shared" si="6"/>
        <v>0</v>
      </c>
      <c r="E125" s="57">
        <f t="shared" si="7"/>
        <v>0</v>
      </c>
      <c r="F125" s="57">
        <f t="shared" si="8"/>
        <v>13</v>
      </c>
      <c r="G125" s="57">
        <f t="shared" si="9"/>
        <v>0</v>
      </c>
      <c r="H125" s="57">
        <f t="shared" si="10"/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  <c r="O125" s="116">
        <v>8</v>
      </c>
      <c r="P125" s="116">
        <v>2</v>
      </c>
      <c r="Q125" s="116">
        <v>3</v>
      </c>
      <c r="R125" s="116">
        <v>0</v>
      </c>
      <c r="S125" s="116">
        <v>0</v>
      </c>
      <c r="T125" s="116">
        <v>0</v>
      </c>
      <c r="U125" s="116">
        <v>0</v>
      </c>
      <c r="V125" s="116">
        <v>0</v>
      </c>
      <c r="W125" s="116">
        <v>0</v>
      </c>
    </row>
    <row r="126" spans="1:23">
      <c r="A126" s="76" t="s">
        <v>90</v>
      </c>
      <c r="B126" s="76" t="s">
        <v>91</v>
      </c>
      <c r="C126" s="77" t="s">
        <v>923</v>
      </c>
      <c r="D126" s="57">
        <f t="shared" si="6"/>
        <v>0</v>
      </c>
      <c r="E126" s="57">
        <f t="shared" si="7"/>
        <v>6</v>
      </c>
      <c r="F126" s="57">
        <f t="shared" si="8"/>
        <v>14</v>
      </c>
      <c r="G126" s="57">
        <f t="shared" si="9"/>
        <v>0</v>
      </c>
      <c r="H126" s="57">
        <f t="shared" si="10"/>
        <v>0</v>
      </c>
      <c r="I126" s="116">
        <v>0</v>
      </c>
      <c r="J126" s="116">
        <v>0</v>
      </c>
      <c r="K126" s="116">
        <v>0</v>
      </c>
      <c r="L126" s="116">
        <v>4</v>
      </c>
      <c r="M126" s="116">
        <v>2</v>
      </c>
      <c r="N126" s="116">
        <v>0</v>
      </c>
      <c r="O126" s="116">
        <v>8</v>
      </c>
      <c r="P126" s="116">
        <v>2</v>
      </c>
      <c r="Q126" s="116">
        <v>4</v>
      </c>
      <c r="R126" s="116">
        <v>0</v>
      </c>
      <c r="S126" s="116">
        <v>0</v>
      </c>
      <c r="T126" s="116">
        <v>0</v>
      </c>
      <c r="U126" s="116">
        <v>0</v>
      </c>
      <c r="V126" s="116">
        <v>0</v>
      </c>
      <c r="W126" s="116">
        <v>0</v>
      </c>
    </row>
    <row r="127" spans="1:23">
      <c r="A127" s="76" t="s">
        <v>332</v>
      </c>
      <c r="B127" s="76" t="s">
        <v>333</v>
      </c>
      <c r="C127" s="77" t="s">
        <v>923</v>
      </c>
      <c r="D127" s="57">
        <f t="shared" si="6"/>
        <v>0</v>
      </c>
      <c r="E127" s="57">
        <f t="shared" si="7"/>
        <v>0</v>
      </c>
      <c r="F127" s="57">
        <f t="shared" si="8"/>
        <v>20</v>
      </c>
      <c r="G127" s="57">
        <f t="shared" si="9"/>
        <v>0</v>
      </c>
      <c r="H127" s="57">
        <f t="shared" si="10"/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  <c r="O127" s="116">
        <v>13</v>
      </c>
      <c r="P127" s="116">
        <v>2</v>
      </c>
      <c r="Q127" s="116">
        <v>5</v>
      </c>
      <c r="R127" s="116">
        <v>0</v>
      </c>
      <c r="S127" s="116">
        <v>0</v>
      </c>
      <c r="T127" s="116">
        <v>0</v>
      </c>
      <c r="U127" s="116">
        <v>0</v>
      </c>
      <c r="V127" s="116">
        <v>0</v>
      </c>
      <c r="W127" s="116">
        <v>0</v>
      </c>
    </row>
    <row r="128" spans="1:23">
      <c r="A128" s="76" t="s">
        <v>443</v>
      </c>
      <c r="B128" s="76" t="s">
        <v>444</v>
      </c>
      <c r="C128" s="77" t="s">
        <v>923</v>
      </c>
      <c r="D128" s="57">
        <f t="shared" si="6"/>
        <v>0</v>
      </c>
      <c r="E128" s="57">
        <f t="shared" si="7"/>
        <v>1</v>
      </c>
      <c r="F128" s="57">
        <f t="shared" si="8"/>
        <v>4</v>
      </c>
      <c r="G128" s="57">
        <f t="shared" si="9"/>
        <v>0</v>
      </c>
      <c r="H128" s="57">
        <f t="shared" si="10"/>
        <v>6</v>
      </c>
      <c r="I128" s="116">
        <v>0</v>
      </c>
      <c r="J128" s="116">
        <v>0</v>
      </c>
      <c r="K128" s="116">
        <v>0</v>
      </c>
      <c r="L128" s="116">
        <v>1</v>
      </c>
      <c r="M128" s="116">
        <v>0</v>
      </c>
      <c r="N128" s="116">
        <v>0</v>
      </c>
      <c r="O128" s="116">
        <v>2</v>
      </c>
      <c r="P128" s="116">
        <v>2</v>
      </c>
      <c r="Q128" s="116">
        <v>0</v>
      </c>
      <c r="R128" s="116">
        <v>0</v>
      </c>
      <c r="S128" s="116">
        <v>0</v>
      </c>
      <c r="T128" s="116">
        <v>0</v>
      </c>
      <c r="U128" s="116">
        <v>4</v>
      </c>
      <c r="V128" s="116">
        <v>2</v>
      </c>
      <c r="W128" s="116">
        <v>0</v>
      </c>
    </row>
    <row r="129" spans="1:23">
      <c r="A129" s="76" t="s">
        <v>653</v>
      </c>
      <c r="B129" s="76" t="s">
        <v>654</v>
      </c>
      <c r="C129" s="77" t="s">
        <v>923</v>
      </c>
      <c r="D129" s="57">
        <f t="shared" si="6"/>
        <v>0</v>
      </c>
      <c r="E129" s="57">
        <f t="shared" si="7"/>
        <v>0</v>
      </c>
      <c r="F129" s="57">
        <f t="shared" si="8"/>
        <v>9</v>
      </c>
      <c r="G129" s="57">
        <f t="shared" si="9"/>
        <v>0</v>
      </c>
      <c r="H129" s="57">
        <f t="shared" si="10"/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  <c r="O129" s="116">
        <v>5</v>
      </c>
      <c r="P129" s="116">
        <v>1</v>
      </c>
      <c r="Q129" s="116">
        <v>3</v>
      </c>
      <c r="R129" s="116">
        <v>0</v>
      </c>
      <c r="S129" s="116">
        <v>0</v>
      </c>
      <c r="T129" s="116">
        <v>0</v>
      </c>
      <c r="U129" s="116">
        <v>0</v>
      </c>
      <c r="V129" s="116">
        <v>0</v>
      </c>
      <c r="W129" s="116">
        <v>0</v>
      </c>
    </row>
    <row r="130" spans="1:23">
      <c r="A130" s="76" t="s">
        <v>24</v>
      </c>
      <c r="B130" s="76" t="s">
        <v>25</v>
      </c>
      <c r="C130" s="77" t="s">
        <v>923</v>
      </c>
      <c r="D130" s="57">
        <f t="shared" si="6"/>
        <v>0</v>
      </c>
      <c r="E130" s="57">
        <f t="shared" si="7"/>
        <v>0</v>
      </c>
      <c r="F130" s="57">
        <f t="shared" si="8"/>
        <v>10</v>
      </c>
      <c r="G130" s="57">
        <f t="shared" si="9"/>
        <v>0</v>
      </c>
      <c r="H130" s="57">
        <f t="shared" si="10"/>
        <v>10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  <c r="O130" s="116">
        <v>8</v>
      </c>
      <c r="P130" s="116">
        <v>2</v>
      </c>
      <c r="Q130" s="116">
        <v>0</v>
      </c>
      <c r="R130" s="116">
        <v>0</v>
      </c>
      <c r="S130" s="116">
        <v>0</v>
      </c>
      <c r="T130" s="116">
        <v>0</v>
      </c>
      <c r="U130" s="116">
        <v>8</v>
      </c>
      <c r="V130" s="116">
        <v>2</v>
      </c>
      <c r="W130" s="116">
        <v>0</v>
      </c>
    </row>
    <row r="131" spans="1:23">
      <c r="A131" s="76" t="s">
        <v>335</v>
      </c>
      <c r="B131" s="76" t="s">
        <v>336</v>
      </c>
      <c r="C131" s="77" t="s">
        <v>923</v>
      </c>
      <c r="D131" s="57">
        <f t="shared" si="6"/>
        <v>0</v>
      </c>
      <c r="E131" s="57">
        <f t="shared" si="7"/>
        <v>0</v>
      </c>
      <c r="F131" s="57">
        <f t="shared" si="8"/>
        <v>0</v>
      </c>
      <c r="G131" s="57">
        <f t="shared" si="9"/>
        <v>16</v>
      </c>
      <c r="H131" s="57">
        <f t="shared" si="10"/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  <c r="O131" s="116">
        <v>0</v>
      </c>
      <c r="P131" s="116">
        <v>0</v>
      </c>
      <c r="Q131" s="116">
        <v>0</v>
      </c>
      <c r="R131" s="116">
        <v>9</v>
      </c>
      <c r="S131" s="116">
        <v>2</v>
      </c>
      <c r="T131" s="116">
        <v>5</v>
      </c>
      <c r="U131" s="116">
        <v>0</v>
      </c>
      <c r="V131" s="116">
        <v>0</v>
      </c>
      <c r="W131" s="116">
        <v>0</v>
      </c>
    </row>
    <row r="132" spans="1:23">
      <c r="A132" s="76" t="s">
        <v>655</v>
      </c>
      <c r="B132" s="76" t="s">
        <v>656</v>
      </c>
      <c r="C132" s="77" t="s">
        <v>923</v>
      </c>
      <c r="D132" s="57">
        <f t="shared" ref="D132:D195" si="11">SUM(I132:K132)</f>
        <v>0</v>
      </c>
      <c r="E132" s="57">
        <f t="shared" ref="E132:E195" si="12">SUM(L132:N132)</f>
        <v>0</v>
      </c>
      <c r="F132" s="57">
        <f t="shared" ref="F132:F195" si="13">SUM(O132:Q132)</f>
        <v>16</v>
      </c>
      <c r="G132" s="57">
        <f t="shared" ref="G132:G195" si="14">SUM(R132:T132)</f>
        <v>0</v>
      </c>
      <c r="H132" s="57">
        <f t="shared" ref="H132:H195" si="15">SUM(U132:W132)</f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  <c r="O132" s="116">
        <v>13</v>
      </c>
      <c r="P132" s="116">
        <v>3</v>
      </c>
      <c r="Q132" s="116">
        <v>0</v>
      </c>
      <c r="R132" s="116">
        <v>0</v>
      </c>
      <c r="S132" s="116">
        <v>0</v>
      </c>
      <c r="T132" s="116">
        <v>0</v>
      </c>
      <c r="U132" s="116">
        <v>0</v>
      </c>
      <c r="V132" s="116">
        <v>0</v>
      </c>
      <c r="W132" s="116">
        <v>0</v>
      </c>
    </row>
    <row r="133" spans="1:23">
      <c r="A133" s="76" t="s">
        <v>338</v>
      </c>
      <c r="B133" s="76" t="s">
        <v>339</v>
      </c>
      <c r="C133" s="77" t="s">
        <v>923</v>
      </c>
      <c r="D133" s="57">
        <f t="shared" si="11"/>
        <v>0</v>
      </c>
      <c r="E133" s="57">
        <f t="shared" si="12"/>
        <v>3</v>
      </c>
      <c r="F133" s="57">
        <f t="shared" si="13"/>
        <v>18</v>
      </c>
      <c r="G133" s="57">
        <f t="shared" si="14"/>
        <v>0</v>
      </c>
      <c r="H133" s="57">
        <f t="shared" si="15"/>
        <v>0</v>
      </c>
      <c r="I133" s="116">
        <v>0</v>
      </c>
      <c r="J133" s="116">
        <v>0</v>
      </c>
      <c r="K133" s="116">
        <v>0</v>
      </c>
      <c r="L133" s="116">
        <v>2</v>
      </c>
      <c r="M133" s="116">
        <v>1</v>
      </c>
      <c r="N133" s="116">
        <v>0</v>
      </c>
      <c r="O133" s="116">
        <v>10</v>
      </c>
      <c r="P133" s="116">
        <v>4</v>
      </c>
      <c r="Q133" s="116">
        <v>4</v>
      </c>
      <c r="R133" s="116">
        <v>0</v>
      </c>
      <c r="S133" s="116">
        <v>0</v>
      </c>
      <c r="T133" s="116">
        <v>0</v>
      </c>
      <c r="U133" s="116">
        <v>0</v>
      </c>
      <c r="V133" s="116">
        <v>0</v>
      </c>
      <c r="W133" s="116">
        <v>0</v>
      </c>
    </row>
    <row r="134" spans="1:23">
      <c r="A134" s="76" t="s">
        <v>446</v>
      </c>
      <c r="B134" s="76" t="s">
        <v>447</v>
      </c>
      <c r="C134" s="77" t="s">
        <v>923</v>
      </c>
      <c r="D134" s="57">
        <f t="shared" si="11"/>
        <v>0</v>
      </c>
      <c r="E134" s="57">
        <f t="shared" si="12"/>
        <v>0</v>
      </c>
      <c r="F134" s="57">
        <f t="shared" si="13"/>
        <v>10</v>
      </c>
      <c r="G134" s="57">
        <f t="shared" si="14"/>
        <v>0</v>
      </c>
      <c r="H134" s="57">
        <f t="shared" si="15"/>
        <v>0</v>
      </c>
      <c r="I134" s="116">
        <v>0</v>
      </c>
      <c r="J134" s="116">
        <v>0</v>
      </c>
      <c r="K134" s="116">
        <v>0</v>
      </c>
      <c r="L134" s="116">
        <v>0</v>
      </c>
      <c r="M134" s="116">
        <v>0</v>
      </c>
      <c r="N134" s="116">
        <v>0</v>
      </c>
      <c r="O134" s="116">
        <v>8</v>
      </c>
      <c r="P134" s="116">
        <v>2</v>
      </c>
      <c r="Q134" s="116">
        <v>0</v>
      </c>
      <c r="R134" s="116">
        <v>0</v>
      </c>
      <c r="S134" s="116">
        <v>0</v>
      </c>
      <c r="T134" s="116">
        <v>0</v>
      </c>
      <c r="U134" s="116">
        <v>0</v>
      </c>
      <c r="V134" s="116">
        <v>0</v>
      </c>
      <c r="W134" s="116">
        <v>0</v>
      </c>
    </row>
    <row r="135" spans="1:23">
      <c r="A135" s="76" t="s">
        <v>455</v>
      </c>
      <c r="B135" s="76" t="s">
        <v>456</v>
      </c>
      <c r="C135" s="77" t="s">
        <v>923</v>
      </c>
      <c r="D135" s="57">
        <f t="shared" si="11"/>
        <v>2</v>
      </c>
      <c r="E135" s="57">
        <f t="shared" si="12"/>
        <v>0</v>
      </c>
      <c r="F135" s="57">
        <f t="shared" si="13"/>
        <v>15</v>
      </c>
      <c r="G135" s="57">
        <f t="shared" si="14"/>
        <v>0</v>
      </c>
      <c r="H135" s="57">
        <f t="shared" si="15"/>
        <v>0</v>
      </c>
      <c r="I135" s="116">
        <v>1</v>
      </c>
      <c r="J135" s="116">
        <v>1</v>
      </c>
      <c r="K135" s="116">
        <v>0</v>
      </c>
      <c r="L135" s="116">
        <v>0</v>
      </c>
      <c r="M135" s="116">
        <v>0</v>
      </c>
      <c r="N135" s="116">
        <v>0</v>
      </c>
      <c r="O135" s="116">
        <v>11</v>
      </c>
      <c r="P135" s="116">
        <v>4</v>
      </c>
      <c r="Q135" s="116">
        <v>0</v>
      </c>
      <c r="R135" s="116">
        <v>0</v>
      </c>
      <c r="S135" s="116">
        <v>0</v>
      </c>
      <c r="T135" s="116">
        <v>0</v>
      </c>
      <c r="U135" s="116">
        <v>0</v>
      </c>
      <c r="V135" s="116">
        <v>0</v>
      </c>
      <c r="W135" s="116">
        <v>0</v>
      </c>
    </row>
    <row r="136" spans="1:23">
      <c r="A136" s="76" t="s">
        <v>344</v>
      </c>
      <c r="B136" s="76" t="s">
        <v>345</v>
      </c>
      <c r="C136" s="77" t="s">
        <v>923</v>
      </c>
      <c r="D136" s="57">
        <f t="shared" si="11"/>
        <v>1</v>
      </c>
      <c r="E136" s="57">
        <f t="shared" si="12"/>
        <v>3</v>
      </c>
      <c r="F136" s="57">
        <f t="shared" si="13"/>
        <v>11</v>
      </c>
      <c r="G136" s="57">
        <f t="shared" si="14"/>
        <v>0</v>
      </c>
      <c r="H136" s="57">
        <f t="shared" si="15"/>
        <v>0</v>
      </c>
      <c r="I136" s="116">
        <v>1</v>
      </c>
      <c r="J136" s="116">
        <v>0</v>
      </c>
      <c r="K136" s="116">
        <v>0</v>
      </c>
      <c r="L136" s="116">
        <v>1</v>
      </c>
      <c r="M136" s="116">
        <v>1</v>
      </c>
      <c r="N136" s="116">
        <v>1</v>
      </c>
      <c r="O136" s="116">
        <v>7</v>
      </c>
      <c r="P136" s="116">
        <v>1</v>
      </c>
      <c r="Q136" s="116">
        <v>3</v>
      </c>
      <c r="R136" s="116">
        <v>0</v>
      </c>
      <c r="S136" s="116">
        <v>0</v>
      </c>
      <c r="T136" s="116">
        <v>0</v>
      </c>
      <c r="U136" s="116">
        <v>0</v>
      </c>
      <c r="V136" s="116">
        <v>0</v>
      </c>
      <c r="W136" s="116">
        <v>0</v>
      </c>
    </row>
    <row r="137" spans="1:23">
      <c r="A137" s="76" t="s">
        <v>347</v>
      </c>
      <c r="B137" s="76" t="s">
        <v>348</v>
      </c>
      <c r="C137" s="77" t="s">
        <v>923</v>
      </c>
      <c r="D137" s="57">
        <f t="shared" si="11"/>
        <v>0</v>
      </c>
      <c r="E137" s="57">
        <f t="shared" si="12"/>
        <v>1</v>
      </c>
      <c r="F137" s="57">
        <f t="shared" si="13"/>
        <v>10</v>
      </c>
      <c r="G137" s="57">
        <f t="shared" si="14"/>
        <v>0</v>
      </c>
      <c r="H137" s="57">
        <f t="shared" si="15"/>
        <v>0</v>
      </c>
      <c r="I137" s="116">
        <v>0</v>
      </c>
      <c r="J137" s="116">
        <v>0</v>
      </c>
      <c r="K137" s="116">
        <v>0</v>
      </c>
      <c r="L137" s="116">
        <v>0</v>
      </c>
      <c r="M137" s="116">
        <v>1</v>
      </c>
      <c r="N137" s="116">
        <v>0</v>
      </c>
      <c r="O137" s="116">
        <v>9</v>
      </c>
      <c r="P137" s="116">
        <v>1</v>
      </c>
      <c r="Q137" s="116">
        <v>0</v>
      </c>
      <c r="R137" s="116">
        <v>0</v>
      </c>
      <c r="S137" s="116">
        <v>0</v>
      </c>
      <c r="T137" s="116">
        <v>0</v>
      </c>
      <c r="U137" s="116">
        <v>0</v>
      </c>
      <c r="V137" s="116">
        <v>0</v>
      </c>
      <c r="W137" s="116">
        <v>0</v>
      </c>
    </row>
    <row r="138" spans="1:23">
      <c r="A138" s="76" t="s">
        <v>677</v>
      </c>
      <c r="B138" s="76" t="s">
        <v>678</v>
      </c>
      <c r="C138" s="77" t="s">
        <v>923</v>
      </c>
      <c r="D138" s="57">
        <f t="shared" si="11"/>
        <v>0</v>
      </c>
      <c r="E138" s="57">
        <f t="shared" si="12"/>
        <v>0</v>
      </c>
      <c r="F138" s="57">
        <f t="shared" si="13"/>
        <v>0</v>
      </c>
      <c r="G138" s="57">
        <f t="shared" si="14"/>
        <v>0</v>
      </c>
      <c r="H138" s="57">
        <f t="shared" si="15"/>
        <v>14</v>
      </c>
      <c r="I138" s="116">
        <v>0</v>
      </c>
      <c r="J138" s="116">
        <v>0</v>
      </c>
      <c r="K138" s="116">
        <v>0</v>
      </c>
      <c r="L138" s="116">
        <v>0</v>
      </c>
      <c r="M138" s="116">
        <v>0</v>
      </c>
      <c r="N138" s="116">
        <v>0</v>
      </c>
      <c r="O138" s="116">
        <v>0</v>
      </c>
      <c r="P138" s="116">
        <v>0</v>
      </c>
      <c r="Q138" s="116">
        <v>0</v>
      </c>
      <c r="R138" s="116">
        <v>0</v>
      </c>
      <c r="S138" s="116">
        <v>0</v>
      </c>
      <c r="T138" s="116">
        <v>0</v>
      </c>
      <c r="U138" s="116">
        <v>12</v>
      </c>
      <c r="V138" s="116">
        <v>2</v>
      </c>
      <c r="W138" s="116">
        <v>0</v>
      </c>
    </row>
    <row r="139" spans="1:23">
      <c r="A139" s="76" t="s">
        <v>124</v>
      </c>
      <c r="B139" s="76" t="s">
        <v>125</v>
      </c>
      <c r="C139" s="77" t="s">
        <v>923</v>
      </c>
      <c r="D139" s="57">
        <f t="shared" si="11"/>
        <v>0</v>
      </c>
      <c r="E139" s="57">
        <f t="shared" si="12"/>
        <v>10</v>
      </c>
      <c r="F139" s="57">
        <f t="shared" si="13"/>
        <v>0</v>
      </c>
      <c r="G139" s="57">
        <f t="shared" si="14"/>
        <v>0</v>
      </c>
      <c r="H139" s="57">
        <f t="shared" si="15"/>
        <v>12</v>
      </c>
      <c r="I139" s="116">
        <v>0</v>
      </c>
      <c r="J139" s="116">
        <v>0</v>
      </c>
      <c r="K139" s="116">
        <v>0</v>
      </c>
      <c r="L139" s="116">
        <v>6</v>
      </c>
      <c r="M139" s="116">
        <v>4</v>
      </c>
      <c r="N139" s="116">
        <v>0</v>
      </c>
      <c r="O139" s="116">
        <v>0</v>
      </c>
      <c r="P139" s="116">
        <v>0</v>
      </c>
      <c r="Q139" s="116">
        <v>0</v>
      </c>
      <c r="R139" s="116">
        <v>0</v>
      </c>
      <c r="S139" s="116">
        <v>0</v>
      </c>
      <c r="T139" s="116">
        <v>0</v>
      </c>
      <c r="U139" s="116">
        <v>4</v>
      </c>
      <c r="V139" s="116">
        <v>6</v>
      </c>
      <c r="W139" s="116">
        <v>2</v>
      </c>
    </row>
    <row r="140" spans="1:23">
      <c r="A140" s="76" t="s">
        <v>681</v>
      </c>
      <c r="B140" s="76" t="s">
        <v>682</v>
      </c>
      <c r="C140" s="77" t="s">
        <v>923</v>
      </c>
      <c r="D140" s="57">
        <f t="shared" si="11"/>
        <v>0</v>
      </c>
      <c r="E140" s="57">
        <f t="shared" si="12"/>
        <v>2</v>
      </c>
      <c r="F140" s="57">
        <f t="shared" si="13"/>
        <v>0</v>
      </c>
      <c r="G140" s="57">
        <f t="shared" si="14"/>
        <v>0</v>
      </c>
      <c r="H140" s="57">
        <f t="shared" si="15"/>
        <v>7</v>
      </c>
      <c r="I140" s="116">
        <v>0</v>
      </c>
      <c r="J140" s="116">
        <v>0</v>
      </c>
      <c r="K140" s="116">
        <v>0</v>
      </c>
      <c r="L140" s="116">
        <v>2</v>
      </c>
      <c r="M140" s="116">
        <v>0</v>
      </c>
      <c r="N140" s="116">
        <v>0</v>
      </c>
      <c r="O140" s="116">
        <v>0</v>
      </c>
      <c r="P140" s="116">
        <v>0</v>
      </c>
      <c r="Q140" s="116">
        <v>0</v>
      </c>
      <c r="R140" s="116">
        <v>0</v>
      </c>
      <c r="S140" s="116">
        <v>0</v>
      </c>
      <c r="T140" s="116">
        <v>0</v>
      </c>
      <c r="U140" s="116">
        <v>5</v>
      </c>
      <c r="V140" s="116">
        <v>2</v>
      </c>
      <c r="W140" s="116">
        <v>0</v>
      </c>
    </row>
    <row r="141" spans="1:23">
      <c r="A141" s="76" t="s">
        <v>350</v>
      </c>
      <c r="B141" s="76" t="s">
        <v>351</v>
      </c>
      <c r="C141" s="77" t="s">
        <v>923</v>
      </c>
      <c r="D141" s="57">
        <f t="shared" si="11"/>
        <v>0</v>
      </c>
      <c r="E141" s="57">
        <f t="shared" si="12"/>
        <v>0</v>
      </c>
      <c r="F141" s="57">
        <f t="shared" si="13"/>
        <v>0</v>
      </c>
      <c r="G141" s="57">
        <f t="shared" si="14"/>
        <v>12</v>
      </c>
      <c r="H141" s="57">
        <f t="shared" si="15"/>
        <v>0</v>
      </c>
      <c r="I141" s="116">
        <v>0</v>
      </c>
      <c r="J141" s="116">
        <v>0</v>
      </c>
      <c r="K141" s="116">
        <v>0</v>
      </c>
      <c r="L141" s="116">
        <v>0</v>
      </c>
      <c r="M141" s="116">
        <v>0</v>
      </c>
      <c r="N141" s="116">
        <v>0</v>
      </c>
      <c r="O141" s="116">
        <v>0</v>
      </c>
      <c r="P141" s="116">
        <v>0</v>
      </c>
      <c r="Q141" s="116">
        <v>0</v>
      </c>
      <c r="R141" s="116">
        <v>7</v>
      </c>
      <c r="S141" s="116">
        <v>5</v>
      </c>
      <c r="T141" s="116">
        <v>0</v>
      </c>
      <c r="U141" s="116">
        <v>0</v>
      </c>
      <c r="V141" s="116">
        <v>0</v>
      </c>
      <c r="W141" s="116">
        <v>0</v>
      </c>
    </row>
    <row r="142" spans="1:23">
      <c r="A142" s="76" t="s">
        <v>458</v>
      </c>
      <c r="B142" s="76" t="s">
        <v>459</v>
      </c>
      <c r="C142" s="77" t="s">
        <v>923</v>
      </c>
      <c r="D142" s="57">
        <f t="shared" si="11"/>
        <v>0</v>
      </c>
      <c r="E142" s="57">
        <f t="shared" si="12"/>
        <v>0</v>
      </c>
      <c r="F142" s="57">
        <f t="shared" si="13"/>
        <v>15</v>
      </c>
      <c r="G142" s="57">
        <f t="shared" si="14"/>
        <v>0</v>
      </c>
      <c r="H142" s="57">
        <f t="shared" si="15"/>
        <v>0</v>
      </c>
      <c r="I142" s="116">
        <v>0</v>
      </c>
      <c r="J142" s="116">
        <v>0</v>
      </c>
      <c r="K142" s="116">
        <v>0</v>
      </c>
      <c r="L142" s="116">
        <v>0</v>
      </c>
      <c r="M142" s="116">
        <v>0</v>
      </c>
      <c r="N142" s="116">
        <v>0</v>
      </c>
      <c r="O142" s="116">
        <v>12</v>
      </c>
      <c r="P142" s="116">
        <v>3</v>
      </c>
      <c r="Q142" s="116">
        <v>0</v>
      </c>
      <c r="R142" s="116">
        <v>0</v>
      </c>
      <c r="S142" s="116">
        <v>0</v>
      </c>
      <c r="T142" s="116">
        <v>0</v>
      </c>
      <c r="U142" s="116">
        <v>0</v>
      </c>
      <c r="V142" s="116">
        <v>0</v>
      </c>
      <c r="W142" s="116">
        <v>0</v>
      </c>
    </row>
    <row r="143" spans="1:23">
      <c r="A143" s="76" t="s">
        <v>353</v>
      </c>
      <c r="B143" s="76" t="s">
        <v>354</v>
      </c>
      <c r="C143" s="77" t="s">
        <v>923</v>
      </c>
      <c r="D143" s="57">
        <f t="shared" si="11"/>
        <v>0</v>
      </c>
      <c r="E143" s="57">
        <f t="shared" si="12"/>
        <v>0</v>
      </c>
      <c r="F143" s="57">
        <f t="shared" si="13"/>
        <v>13</v>
      </c>
      <c r="G143" s="57">
        <f t="shared" si="14"/>
        <v>0</v>
      </c>
      <c r="H143" s="57">
        <f t="shared" si="15"/>
        <v>0</v>
      </c>
      <c r="I143" s="116">
        <v>0</v>
      </c>
      <c r="J143" s="116">
        <v>0</v>
      </c>
      <c r="K143" s="116">
        <v>0</v>
      </c>
      <c r="L143" s="116">
        <v>0</v>
      </c>
      <c r="M143" s="116">
        <v>0</v>
      </c>
      <c r="N143" s="116">
        <v>0</v>
      </c>
      <c r="O143" s="116">
        <v>10</v>
      </c>
      <c r="P143" s="116">
        <v>3</v>
      </c>
      <c r="Q143" s="116">
        <v>0</v>
      </c>
      <c r="R143" s="116">
        <v>0</v>
      </c>
      <c r="S143" s="116">
        <v>0</v>
      </c>
      <c r="T143" s="116">
        <v>0</v>
      </c>
      <c r="U143" s="116">
        <v>0</v>
      </c>
      <c r="V143" s="116">
        <v>0</v>
      </c>
      <c r="W143" s="116">
        <v>0</v>
      </c>
    </row>
    <row r="144" spans="1:23">
      <c r="A144" s="76" t="s">
        <v>687</v>
      </c>
      <c r="B144" s="76" t="s">
        <v>688</v>
      </c>
      <c r="C144" s="77" t="s">
        <v>923</v>
      </c>
      <c r="D144" s="57">
        <f t="shared" si="11"/>
        <v>0</v>
      </c>
      <c r="E144" s="57">
        <f t="shared" si="12"/>
        <v>4</v>
      </c>
      <c r="F144" s="57">
        <f t="shared" si="13"/>
        <v>0</v>
      </c>
      <c r="G144" s="57">
        <f t="shared" si="14"/>
        <v>36</v>
      </c>
      <c r="H144" s="57">
        <f t="shared" si="15"/>
        <v>0</v>
      </c>
      <c r="I144" s="116">
        <v>0</v>
      </c>
      <c r="J144" s="116">
        <v>0</v>
      </c>
      <c r="K144" s="116">
        <v>0</v>
      </c>
      <c r="L144" s="116">
        <v>0</v>
      </c>
      <c r="M144" s="116">
        <v>4</v>
      </c>
      <c r="N144" s="116">
        <v>0</v>
      </c>
      <c r="O144" s="116">
        <v>0</v>
      </c>
      <c r="P144" s="116">
        <v>0</v>
      </c>
      <c r="Q144" s="116">
        <v>0</v>
      </c>
      <c r="R144" s="116">
        <v>17</v>
      </c>
      <c r="S144" s="116">
        <v>19</v>
      </c>
      <c r="T144" s="116">
        <v>0</v>
      </c>
      <c r="U144" s="116">
        <v>0</v>
      </c>
      <c r="V144" s="116">
        <v>0</v>
      </c>
      <c r="W144" s="116">
        <v>0</v>
      </c>
    </row>
    <row r="145" spans="1:23">
      <c r="A145" s="76" t="s">
        <v>356</v>
      </c>
      <c r="B145" s="76" t="s">
        <v>357</v>
      </c>
      <c r="C145" s="77" t="s">
        <v>923</v>
      </c>
      <c r="D145" s="57">
        <f t="shared" si="11"/>
        <v>4</v>
      </c>
      <c r="E145" s="57">
        <f t="shared" si="12"/>
        <v>0</v>
      </c>
      <c r="F145" s="57">
        <f t="shared" si="13"/>
        <v>8</v>
      </c>
      <c r="G145" s="57">
        <f t="shared" si="14"/>
        <v>0</v>
      </c>
      <c r="H145" s="57">
        <f t="shared" si="15"/>
        <v>0</v>
      </c>
      <c r="I145" s="116">
        <v>2</v>
      </c>
      <c r="J145" s="116">
        <v>2</v>
      </c>
      <c r="K145" s="116">
        <v>0</v>
      </c>
      <c r="L145" s="116">
        <v>0</v>
      </c>
      <c r="M145" s="116">
        <v>0</v>
      </c>
      <c r="N145" s="116">
        <v>0</v>
      </c>
      <c r="O145" s="116">
        <v>4</v>
      </c>
      <c r="P145" s="116">
        <v>4</v>
      </c>
      <c r="Q145" s="116">
        <v>0</v>
      </c>
      <c r="R145" s="116">
        <v>0</v>
      </c>
      <c r="S145" s="116">
        <v>0</v>
      </c>
      <c r="T145" s="116">
        <v>0</v>
      </c>
      <c r="U145" s="116">
        <v>0</v>
      </c>
      <c r="V145" s="116">
        <v>0</v>
      </c>
      <c r="W145" s="116">
        <v>0</v>
      </c>
    </row>
    <row r="146" spans="1:23">
      <c r="A146" s="76" t="s">
        <v>461</v>
      </c>
      <c r="B146" s="76" t="s">
        <v>462</v>
      </c>
      <c r="C146" s="77" t="s">
        <v>923</v>
      </c>
      <c r="D146" s="57">
        <f t="shared" si="11"/>
        <v>0</v>
      </c>
      <c r="E146" s="57">
        <f t="shared" si="12"/>
        <v>2</v>
      </c>
      <c r="F146" s="57">
        <f t="shared" si="13"/>
        <v>0</v>
      </c>
      <c r="G146" s="57">
        <f t="shared" si="14"/>
        <v>0</v>
      </c>
      <c r="H146" s="57">
        <f t="shared" si="15"/>
        <v>12</v>
      </c>
      <c r="I146" s="116">
        <v>0</v>
      </c>
      <c r="J146" s="116">
        <v>0</v>
      </c>
      <c r="K146" s="116">
        <v>0</v>
      </c>
      <c r="L146" s="116">
        <v>1</v>
      </c>
      <c r="M146" s="116">
        <v>1</v>
      </c>
      <c r="N146" s="116">
        <v>0</v>
      </c>
      <c r="O146" s="116">
        <v>0</v>
      </c>
      <c r="P146" s="116">
        <v>0</v>
      </c>
      <c r="Q146" s="116">
        <v>0</v>
      </c>
      <c r="R146" s="116">
        <v>0</v>
      </c>
      <c r="S146" s="116">
        <v>0</v>
      </c>
      <c r="T146" s="116">
        <v>0</v>
      </c>
      <c r="U146" s="116">
        <v>10</v>
      </c>
      <c r="V146" s="116">
        <v>2</v>
      </c>
      <c r="W146" s="116">
        <v>0</v>
      </c>
    </row>
    <row r="147" spans="1:23">
      <c r="A147" s="76" t="s">
        <v>691</v>
      </c>
      <c r="B147" s="76" t="s">
        <v>692</v>
      </c>
      <c r="C147" s="77" t="s">
        <v>923</v>
      </c>
      <c r="D147" s="57">
        <f t="shared" si="11"/>
        <v>0</v>
      </c>
      <c r="E147" s="57">
        <f t="shared" si="12"/>
        <v>1</v>
      </c>
      <c r="F147" s="57">
        <f t="shared" si="13"/>
        <v>25</v>
      </c>
      <c r="G147" s="57">
        <f t="shared" si="14"/>
        <v>0</v>
      </c>
      <c r="H147" s="57">
        <f t="shared" si="15"/>
        <v>0</v>
      </c>
      <c r="I147" s="116">
        <v>0</v>
      </c>
      <c r="J147" s="116">
        <v>0</v>
      </c>
      <c r="K147" s="116">
        <v>0</v>
      </c>
      <c r="L147" s="116">
        <v>1</v>
      </c>
      <c r="M147" s="116">
        <v>0</v>
      </c>
      <c r="N147" s="116">
        <v>0</v>
      </c>
      <c r="O147" s="116">
        <v>20</v>
      </c>
      <c r="P147" s="116">
        <v>5</v>
      </c>
      <c r="Q147" s="116">
        <v>0</v>
      </c>
      <c r="R147" s="116">
        <v>0</v>
      </c>
      <c r="S147" s="116">
        <v>0</v>
      </c>
      <c r="T147" s="116">
        <v>0</v>
      </c>
      <c r="U147" s="116">
        <v>0</v>
      </c>
      <c r="V147" s="116">
        <v>0</v>
      </c>
      <c r="W147" s="116">
        <v>0</v>
      </c>
    </row>
    <row r="148" spans="1:23">
      <c r="A148" s="76" t="s">
        <v>464</v>
      </c>
      <c r="B148" s="76" t="s">
        <v>465</v>
      </c>
      <c r="C148" s="77" t="s">
        <v>923</v>
      </c>
      <c r="D148" s="57">
        <f t="shared" si="11"/>
        <v>0</v>
      </c>
      <c r="E148" s="57">
        <f t="shared" si="12"/>
        <v>0</v>
      </c>
      <c r="F148" s="57">
        <f t="shared" si="13"/>
        <v>13</v>
      </c>
      <c r="G148" s="57">
        <f t="shared" si="14"/>
        <v>0</v>
      </c>
      <c r="H148" s="57">
        <f t="shared" si="15"/>
        <v>0</v>
      </c>
      <c r="I148" s="116">
        <v>0</v>
      </c>
      <c r="J148" s="116">
        <v>0</v>
      </c>
      <c r="K148" s="116">
        <v>0</v>
      </c>
      <c r="L148" s="116">
        <v>0</v>
      </c>
      <c r="M148" s="116">
        <v>0</v>
      </c>
      <c r="N148" s="116">
        <v>0</v>
      </c>
      <c r="O148" s="116">
        <v>9</v>
      </c>
      <c r="P148" s="116">
        <v>4</v>
      </c>
      <c r="Q148" s="116">
        <v>0</v>
      </c>
      <c r="R148" s="116">
        <v>0</v>
      </c>
      <c r="S148" s="116">
        <v>0</v>
      </c>
      <c r="T148" s="116">
        <v>0</v>
      </c>
      <c r="U148" s="116">
        <v>0</v>
      </c>
      <c r="V148" s="116">
        <v>0</v>
      </c>
      <c r="W148" s="116">
        <v>0</v>
      </c>
    </row>
    <row r="149" spans="1:23">
      <c r="A149" s="76" t="s">
        <v>695</v>
      </c>
      <c r="B149" s="76" t="s">
        <v>696</v>
      </c>
      <c r="C149" s="77" t="s">
        <v>923</v>
      </c>
      <c r="D149" s="57">
        <f t="shared" si="11"/>
        <v>4</v>
      </c>
      <c r="E149" s="57">
        <f t="shared" si="12"/>
        <v>0</v>
      </c>
      <c r="F149" s="57">
        <f t="shared" si="13"/>
        <v>17</v>
      </c>
      <c r="G149" s="57">
        <f t="shared" si="14"/>
        <v>0</v>
      </c>
      <c r="H149" s="57">
        <f t="shared" si="15"/>
        <v>0</v>
      </c>
      <c r="I149" s="116">
        <v>2</v>
      </c>
      <c r="J149" s="116">
        <v>2</v>
      </c>
      <c r="K149" s="116">
        <v>0</v>
      </c>
      <c r="L149" s="116">
        <v>0</v>
      </c>
      <c r="M149" s="116">
        <v>0</v>
      </c>
      <c r="N149" s="116">
        <v>0</v>
      </c>
      <c r="O149" s="116">
        <v>12</v>
      </c>
      <c r="P149" s="116">
        <v>5</v>
      </c>
      <c r="Q149" s="116">
        <v>0</v>
      </c>
      <c r="R149" s="116">
        <v>0</v>
      </c>
      <c r="S149" s="116">
        <v>0</v>
      </c>
      <c r="T149" s="116">
        <v>0</v>
      </c>
      <c r="U149" s="116">
        <v>0</v>
      </c>
      <c r="V149" s="116">
        <v>0</v>
      </c>
      <c r="W149" s="116">
        <v>0</v>
      </c>
    </row>
    <row r="150" spans="1:23">
      <c r="A150" s="76" t="s">
        <v>473</v>
      </c>
      <c r="B150" s="76" t="s">
        <v>474</v>
      </c>
      <c r="C150" s="77" t="s">
        <v>923</v>
      </c>
      <c r="D150" s="57">
        <f t="shared" si="11"/>
        <v>2</v>
      </c>
      <c r="E150" s="57">
        <f t="shared" si="12"/>
        <v>0</v>
      </c>
      <c r="F150" s="57">
        <f t="shared" si="13"/>
        <v>5</v>
      </c>
      <c r="G150" s="57">
        <f t="shared" si="14"/>
        <v>0</v>
      </c>
      <c r="H150" s="57">
        <f t="shared" si="15"/>
        <v>8</v>
      </c>
      <c r="I150" s="116">
        <v>1</v>
      </c>
      <c r="J150" s="116">
        <v>1</v>
      </c>
      <c r="K150" s="116">
        <v>0</v>
      </c>
      <c r="L150" s="116">
        <v>0</v>
      </c>
      <c r="M150" s="116">
        <v>0</v>
      </c>
      <c r="N150" s="116">
        <v>0</v>
      </c>
      <c r="O150" s="116">
        <v>5</v>
      </c>
      <c r="P150" s="116">
        <v>0</v>
      </c>
      <c r="Q150" s="116">
        <v>0</v>
      </c>
      <c r="R150" s="116">
        <v>0</v>
      </c>
      <c r="S150" s="116">
        <v>0</v>
      </c>
      <c r="T150" s="116">
        <v>0</v>
      </c>
      <c r="U150" s="116">
        <v>3</v>
      </c>
      <c r="V150" s="116">
        <v>5</v>
      </c>
      <c r="W150" s="116">
        <v>0</v>
      </c>
    </row>
    <row r="151" spans="1:23">
      <c r="A151" s="76" t="s">
        <v>476</v>
      </c>
      <c r="B151" s="76" t="s">
        <v>477</v>
      </c>
      <c r="C151" s="77" t="s">
        <v>923</v>
      </c>
      <c r="D151" s="57">
        <f t="shared" si="11"/>
        <v>0</v>
      </c>
      <c r="E151" s="57">
        <f t="shared" si="12"/>
        <v>0</v>
      </c>
      <c r="F151" s="57">
        <f t="shared" si="13"/>
        <v>16</v>
      </c>
      <c r="G151" s="57">
        <f t="shared" si="14"/>
        <v>0</v>
      </c>
      <c r="H151" s="57">
        <f t="shared" si="15"/>
        <v>0</v>
      </c>
      <c r="I151" s="116">
        <v>0</v>
      </c>
      <c r="J151" s="116">
        <v>0</v>
      </c>
      <c r="K151" s="116">
        <v>0</v>
      </c>
      <c r="L151" s="116">
        <v>0</v>
      </c>
      <c r="M151" s="116">
        <v>0</v>
      </c>
      <c r="N151" s="116">
        <v>0</v>
      </c>
      <c r="O151" s="116">
        <v>12</v>
      </c>
      <c r="P151" s="116">
        <v>4</v>
      </c>
      <c r="Q151" s="116">
        <v>0</v>
      </c>
      <c r="R151" s="116">
        <v>0</v>
      </c>
      <c r="S151" s="116">
        <v>0</v>
      </c>
      <c r="T151" s="116">
        <v>0</v>
      </c>
      <c r="U151" s="116">
        <v>0</v>
      </c>
      <c r="V151" s="116">
        <v>0</v>
      </c>
      <c r="W151" s="116">
        <v>0</v>
      </c>
    </row>
    <row r="152" spans="1:23">
      <c r="A152" s="76" t="s">
        <v>359</v>
      </c>
      <c r="B152" s="76" t="s">
        <v>360</v>
      </c>
      <c r="C152" s="77" t="s">
        <v>923</v>
      </c>
      <c r="D152" s="57">
        <f t="shared" si="11"/>
        <v>4</v>
      </c>
      <c r="E152" s="57">
        <f t="shared" si="12"/>
        <v>0</v>
      </c>
      <c r="F152" s="57">
        <f t="shared" si="13"/>
        <v>7</v>
      </c>
      <c r="G152" s="57">
        <f t="shared" si="14"/>
        <v>1</v>
      </c>
      <c r="H152" s="57">
        <f t="shared" si="15"/>
        <v>0</v>
      </c>
      <c r="I152" s="116">
        <v>3</v>
      </c>
      <c r="J152" s="116">
        <v>1</v>
      </c>
      <c r="K152" s="116">
        <v>0</v>
      </c>
      <c r="L152" s="116">
        <v>0</v>
      </c>
      <c r="M152" s="116">
        <v>0</v>
      </c>
      <c r="N152" s="116">
        <v>0</v>
      </c>
      <c r="O152" s="116">
        <v>3</v>
      </c>
      <c r="P152" s="116">
        <v>1</v>
      </c>
      <c r="Q152" s="116">
        <v>3</v>
      </c>
      <c r="R152" s="116">
        <v>0</v>
      </c>
      <c r="S152" s="116">
        <v>1</v>
      </c>
      <c r="T152" s="116">
        <v>0</v>
      </c>
      <c r="U152" s="116">
        <v>0</v>
      </c>
      <c r="V152" s="116">
        <v>0</v>
      </c>
      <c r="W152" s="116">
        <v>0</v>
      </c>
    </row>
    <row r="153" spans="1:23">
      <c r="A153" s="76" t="s">
        <v>479</v>
      </c>
      <c r="B153" s="76" t="s">
        <v>480</v>
      </c>
      <c r="C153" s="77" t="s">
        <v>923</v>
      </c>
      <c r="D153" s="57">
        <f t="shared" si="11"/>
        <v>1</v>
      </c>
      <c r="E153" s="57">
        <f t="shared" si="12"/>
        <v>0</v>
      </c>
      <c r="F153" s="57">
        <f t="shared" si="13"/>
        <v>0</v>
      </c>
      <c r="G153" s="57">
        <f t="shared" si="14"/>
        <v>0</v>
      </c>
      <c r="H153" s="57">
        <f t="shared" si="15"/>
        <v>10</v>
      </c>
      <c r="I153" s="116">
        <v>1</v>
      </c>
      <c r="J153" s="116">
        <v>0</v>
      </c>
      <c r="K153" s="116">
        <v>0</v>
      </c>
      <c r="L153" s="116">
        <v>0</v>
      </c>
      <c r="M153" s="116">
        <v>0</v>
      </c>
      <c r="N153" s="116">
        <v>0</v>
      </c>
      <c r="O153" s="116">
        <v>0</v>
      </c>
      <c r="P153" s="116">
        <v>0</v>
      </c>
      <c r="Q153" s="116">
        <v>0</v>
      </c>
      <c r="R153" s="116">
        <v>0</v>
      </c>
      <c r="S153" s="116">
        <v>0</v>
      </c>
      <c r="T153" s="116">
        <v>0</v>
      </c>
      <c r="U153" s="116">
        <v>7</v>
      </c>
      <c r="V153" s="116">
        <v>3</v>
      </c>
      <c r="W153" s="116">
        <v>0</v>
      </c>
    </row>
    <row r="154" spans="1:23">
      <c r="A154" s="76" t="s">
        <v>563</v>
      </c>
      <c r="B154" s="76" t="s">
        <v>564</v>
      </c>
      <c r="C154" s="77" t="s">
        <v>923</v>
      </c>
      <c r="D154" s="57">
        <f t="shared" si="11"/>
        <v>14</v>
      </c>
      <c r="E154" s="57">
        <f t="shared" si="12"/>
        <v>0</v>
      </c>
      <c r="F154" s="57">
        <f t="shared" si="13"/>
        <v>5</v>
      </c>
      <c r="G154" s="57">
        <f t="shared" si="14"/>
        <v>0</v>
      </c>
      <c r="H154" s="57">
        <f t="shared" si="15"/>
        <v>0</v>
      </c>
      <c r="I154" s="116">
        <v>11</v>
      </c>
      <c r="J154" s="116">
        <v>3</v>
      </c>
      <c r="K154" s="116">
        <v>0</v>
      </c>
      <c r="L154" s="116">
        <v>0</v>
      </c>
      <c r="M154" s="116">
        <v>0</v>
      </c>
      <c r="N154" s="116">
        <v>0</v>
      </c>
      <c r="O154" s="116">
        <v>5</v>
      </c>
      <c r="P154" s="116">
        <v>0</v>
      </c>
      <c r="Q154" s="116">
        <v>0</v>
      </c>
      <c r="R154" s="116">
        <v>0</v>
      </c>
      <c r="S154" s="116">
        <v>0</v>
      </c>
      <c r="T154" s="116">
        <v>0</v>
      </c>
      <c r="U154" s="116">
        <v>0</v>
      </c>
      <c r="V154" s="116">
        <v>0</v>
      </c>
      <c r="W154" s="116">
        <v>0</v>
      </c>
    </row>
    <row r="155" spans="1:23">
      <c r="A155" s="76" t="s">
        <v>703</v>
      </c>
      <c r="B155" s="76" t="s">
        <v>704</v>
      </c>
      <c r="C155" s="77" t="s">
        <v>923</v>
      </c>
      <c r="D155" s="57">
        <f t="shared" si="11"/>
        <v>0</v>
      </c>
      <c r="E155" s="57">
        <f t="shared" si="12"/>
        <v>0</v>
      </c>
      <c r="F155" s="57">
        <f t="shared" si="13"/>
        <v>16</v>
      </c>
      <c r="G155" s="57">
        <f t="shared" si="14"/>
        <v>0</v>
      </c>
      <c r="H155" s="57">
        <f t="shared" si="15"/>
        <v>0</v>
      </c>
      <c r="I155" s="116">
        <v>0</v>
      </c>
      <c r="J155" s="116">
        <v>0</v>
      </c>
      <c r="K155" s="116">
        <v>0</v>
      </c>
      <c r="L155" s="116">
        <v>0</v>
      </c>
      <c r="M155" s="116">
        <v>0</v>
      </c>
      <c r="N155" s="116">
        <v>0</v>
      </c>
      <c r="O155" s="116">
        <v>10</v>
      </c>
      <c r="P155" s="116">
        <v>6</v>
      </c>
      <c r="Q155" s="116">
        <v>0</v>
      </c>
      <c r="R155" s="116">
        <v>0</v>
      </c>
      <c r="S155" s="116">
        <v>0</v>
      </c>
      <c r="T155" s="116">
        <v>0</v>
      </c>
      <c r="U155" s="116">
        <v>0</v>
      </c>
      <c r="V155" s="116">
        <v>0</v>
      </c>
      <c r="W155" s="116">
        <v>0</v>
      </c>
    </row>
    <row r="156" spans="1:23">
      <c r="A156" s="76" t="s">
        <v>482</v>
      </c>
      <c r="B156" s="76" t="s">
        <v>483</v>
      </c>
      <c r="C156" s="77" t="s">
        <v>923</v>
      </c>
      <c r="D156" s="57">
        <f t="shared" si="11"/>
        <v>0</v>
      </c>
      <c r="E156" s="57">
        <f t="shared" si="12"/>
        <v>0</v>
      </c>
      <c r="F156" s="57">
        <f t="shared" si="13"/>
        <v>12</v>
      </c>
      <c r="G156" s="57">
        <f t="shared" si="14"/>
        <v>0</v>
      </c>
      <c r="H156" s="57">
        <f t="shared" si="15"/>
        <v>0</v>
      </c>
      <c r="I156" s="116">
        <v>0</v>
      </c>
      <c r="J156" s="116">
        <v>0</v>
      </c>
      <c r="K156" s="116">
        <v>0</v>
      </c>
      <c r="L156" s="116">
        <v>0</v>
      </c>
      <c r="M156" s="116">
        <v>0</v>
      </c>
      <c r="N156" s="116">
        <v>0</v>
      </c>
      <c r="O156" s="116">
        <v>10</v>
      </c>
      <c r="P156" s="116">
        <v>2</v>
      </c>
      <c r="Q156" s="116">
        <v>0</v>
      </c>
      <c r="R156" s="116">
        <v>0</v>
      </c>
      <c r="S156" s="116">
        <v>0</v>
      </c>
      <c r="T156" s="116">
        <v>0</v>
      </c>
      <c r="U156" s="116">
        <v>0</v>
      </c>
      <c r="V156" s="116">
        <v>0</v>
      </c>
      <c r="W156" s="116">
        <v>0</v>
      </c>
    </row>
    <row r="157" spans="1:23">
      <c r="A157" s="76" t="s">
        <v>491</v>
      </c>
      <c r="B157" s="76" t="s">
        <v>492</v>
      </c>
      <c r="C157" s="77" t="s">
        <v>923</v>
      </c>
      <c r="D157" s="57">
        <f t="shared" si="11"/>
        <v>0</v>
      </c>
      <c r="E157" s="57">
        <f t="shared" si="12"/>
        <v>0</v>
      </c>
      <c r="F157" s="57">
        <f t="shared" si="13"/>
        <v>1</v>
      </c>
      <c r="G157" s="57">
        <f t="shared" si="14"/>
        <v>0</v>
      </c>
      <c r="H157" s="57">
        <f t="shared" si="15"/>
        <v>10</v>
      </c>
      <c r="I157" s="116">
        <v>0</v>
      </c>
      <c r="J157" s="116">
        <v>0</v>
      </c>
      <c r="K157" s="116">
        <v>0</v>
      </c>
      <c r="L157" s="116">
        <v>0</v>
      </c>
      <c r="M157" s="116">
        <v>0</v>
      </c>
      <c r="N157" s="116">
        <v>0</v>
      </c>
      <c r="O157" s="116">
        <v>1</v>
      </c>
      <c r="P157" s="116">
        <v>0</v>
      </c>
      <c r="Q157" s="116">
        <v>0</v>
      </c>
      <c r="R157" s="116">
        <v>0</v>
      </c>
      <c r="S157" s="116">
        <v>0</v>
      </c>
      <c r="T157" s="116">
        <v>0</v>
      </c>
      <c r="U157" s="116">
        <v>6</v>
      </c>
      <c r="V157" s="116">
        <v>4</v>
      </c>
      <c r="W157" s="116">
        <v>0</v>
      </c>
    </row>
    <row r="158" spans="1:23">
      <c r="A158" s="76" t="s">
        <v>362</v>
      </c>
      <c r="B158" s="76" t="s">
        <v>363</v>
      </c>
      <c r="C158" s="77" t="s">
        <v>923</v>
      </c>
      <c r="D158" s="57">
        <f t="shared" si="11"/>
        <v>1</v>
      </c>
      <c r="E158" s="57">
        <f t="shared" si="12"/>
        <v>2</v>
      </c>
      <c r="F158" s="57">
        <f t="shared" si="13"/>
        <v>19</v>
      </c>
      <c r="G158" s="57">
        <f t="shared" si="14"/>
        <v>0</v>
      </c>
      <c r="H158" s="57">
        <f t="shared" si="15"/>
        <v>0</v>
      </c>
      <c r="I158" s="116">
        <v>1</v>
      </c>
      <c r="J158" s="116">
        <v>0</v>
      </c>
      <c r="K158" s="116">
        <v>0</v>
      </c>
      <c r="L158" s="116">
        <v>1</v>
      </c>
      <c r="M158" s="116">
        <v>1</v>
      </c>
      <c r="N158" s="116">
        <v>0</v>
      </c>
      <c r="O158" s="116">
        <v>15</v>
      </c>
      <c r="P158" s="116">
        <v>4</v>
      </c>
      <c r="Q158" s="116">
        <v>0</v>
      </c>
      <c r="R158" s="116">
        <v>0</v>
      </c>
      <c r="S158" s="116">
        <v>0</v>
      </c>
      <c r="T158" s="116">
        <v>0</v>
      </c>
      <c r="U158" s="116">
        <v>0</v>
      </c>
      <c r="V158" s="116">
        <v>0</v>
      </c>
      <c r="W158" s="116">
        <v>0</v>
      </c>
    </row>
    <row r="159" spans="1:23">
      <c r="A159" s="76" t="s">
        <v>494</v>
      </c>
      <c r="B159" s="76" t="s">
        <v>495</v>
      </c>
      <c r="C159" s="77" t="s">
        <v>923</v>
      </c>
      <c r="D159" s="57">
        <f t="shared" si="11"/>
        <v>1</v>
      </c>
      <c r="E159" s="57">
        <f t="shared" si="12"/>
        <v>0</v>
      </c>
      <c r="F159" s="57">
        <f t="shared" si="13"/>
        <v>11</v>
      </c>
      <c r="G159" s="57">
        <f t="shared" si="14"/>
        <v>0</v>
      </c>
      <c r="H159" s="57">
        <f t="shared" si="15"/>
        <v>4</v>
      </c>
      <c r="I159" s="116">
        <v>1</v>
      </c>
      <c r="J159" s="116">
        <v>0</v>
      </c>
      <c r="K159" s="116">
        <v>0</v>
      </c>
      <c r="L159" s="116">
        <v>0</v>
      </c>
      <c r="M159" s="116">
        <v>0</v>
      </c>
      <c r="N159" s="116">
        <v>0</v>
      </c>
      <c r="O159" s="116">
        <v>11</v>
      </c>
      <c r="P159" s="116">
        <v>0</v>
      </c>
      <c r="Q159" s="116">
        <v>0</v>
      </c>
      <c r="R159" s="116">
        <v>0</v>
      </c>
      <c r="S159" s="116">
        <v>0</v>
      </c>
      <c r="T159" s="116">
        <v>0</v>
      </c>
      <c r="U159" s="116">
        <v>0</v>
      </c>
      <c r="V159" s="116">
        <v>4</v>
      </c>
      <c r="W159" s="116">
        <v>0</v>
      </c>
    </row>
    <row r="160" spans="1:23">
      <c r="A160" s="76" t="s">
        <v>30</v>
      </c>
      <c r="B160" s="76" t="s">
        <v>31</v>
      </c>
      <c r="C160" s="77" t="s">
        <v>923</v>
      </c>
      <c r="D160" s="57">
        <f t="shared" si="11"/>
        <v>0</v>
      </c>
      <c r="E160" s="57">
        <f t="shared" si="12"/>
        <v>4</v>
      </c>
      <c r="F160" s="57">
        <f t="shared" si="13"/>
        <v>0</v>
      </c>
      <c r="G160" s="57">
        <f t="shared" si="14"/>
        <v>0</v>
      </c>
      <c r="H160" s="57">
        <f t="shared" si="15"/>
        <v>16</v>
      </c>
      <c r="I160" s="116">
        <v>0</v>
      </c>
      <c r="J160" s="116">
        <v>0</v>
      </c>
      <c r="K160" s="116">
        <v>0</v>
      </c>
      <c r="L160" s="116">
        <v>2</v>
      </c>
      <c r="M160" s="116">
        <v>2</v>
      </c>
      <c r="N160" s="116">
        <v>0</v>
      </c>
      <c r="O160" s="116">
        <v>0</v>
      </c>
      <c r="P160" s="116">
        <v>0</v>
      </c>
      <c r="Q160" s="116">
        <v>0</v>
      </c>
      <c r="R160" s="116">
        <v>0</v>
      </c>
      <c r="S160" s="116">
        <v>0</v>
      </c>
      <c r="T160" s="116">
        <v>0</v>
      </c>
      <c r="U160" s="116">
        <v>12</v>
      </c>
      <c r="V160" s="116">
        <v>4</v>
      </c>
      <c r="W160" s="116">
        <v>0</v>
      </c>
    </row>
    <row r="161" spans="1:23">
      <c r="A161" s="76" t="s">
        <v>497</v>
      </c>
      <c r="B161" s="76" t="s">
        <v>498</v>
      </c>
      <c r="C161" s="77" t="s">
        <v>923</v>
      </c>
      <c r="D161" s="57">
        <f t="shared" si="11"/>
        <v>0</v>
      </c>
      <c r="E161" s="57">
        <f t="shared" si="12"/>
        <v>0</v>
      </c>
      <c r="F161" s="57">
        <f t="shared" si="13"/>
        <v>0</v>
      </c>
      <c r="G161" s="57">
        <f t="shared" si="14"/>
        <v>0</v>
      </c>
      <c r="H161" s="57">
        <f t="shared" si="15"/>
        <v>14</v>
      </c>
      <c r="I161" s="116">
        <v>0</v>
      </c>
      <c r="J161" s="116">
        <v>0</v>
      </c>
      <c r="K161" s="116">
        <v>0</v>
      </c>
      <c r="L161" s="116">
        <v>0</v>
      </c>
      <c r="M161" s="116">
        <v>0</v>
      </c>
      <c r="N161" s="116">
        <v>0</v>
      </c>
      <c r="O161" s="116">
        <v>0</v>
      </c>
      <c r="P161" s="116">
        <v>0</v>
      </c>
      <c r="Q161" s="116">
        <v>0</v>
      </c>
      <c r="R161" s="116">
        <v>0</v>
      </c>
      <c r="S161" s="116">
        <v>0</v>
      </c>
      <c r="T161" s="116">
        <v>0</v>
      </c>
      <c r="U161" s="116">
        <v>10</v>
      </c>
      <c r="V161" s="116">
        <v>4</v>
      </c>
      <c r="W161" s="116">
        <v>0</v>
      </c>
    </row>
    <row r="162" spans="1:23">
      <c r="A162" s="76" t="s">
        <v>749</v>
      </c>
      <c r="B162" s="76" t="s">
        <v>750</v>
      </c>
      <c r="C162" s="77" t="s">
        <v>923</v>
      </c>
      <c r="D162" s="57">
        <f t="shared" si="11"/>
        <v>3</v>
      </c>
      <c r="E162" s="57">
        <f t="shared" si="12"/>
        <v>0</v>
      </c>
      <c r="F162" s="57">
        <f t="shared" si="13"/>
        <v>10</v>
      </c>
      <c r="G162" s="57">
        <f t="shared" si="14"/>
        <v>0</v>
      </c>
      <c r="H162" s="57">
        <f t="shared" si="15"/>
        <v>0</v>
      </c>
      <c r="I162" s="116">
        <v>2</v>
      </c>
      <c r="J162" s="116">
        <v>1</v>
      </c>
      <c r="K162" s="116">
        <v>0</v>
      </c>
      <c r="L162" s="116">
        <v>0</v>
      </c>
      <c r="M162" s="116">
        <v>0</v>
      </c>
      <c r="N162" s="116">
        <v>0</v>
      </c>
      <c r="O162" s="116">
        <v>9</v>
      </c>
      <c r="P162" s="116">
        <v>1</v>
      </c>
      <c r="Q162" s="116">
        <v>0</v>
      </c>
      <c r="R162" s="116">
        <v>0</v>
      </c>
      <c r="S162" s="116">
        <v>0</v>
      </c>
      <c r="T162" s="116">
        <v>0</v>
      </c>
      <c r="U162" s="116">
        <v>0</v>
      </c>
      <c r="V162" s="116">
        <v>0</v>
      </c>
      <c r="W162" s="116">
        <v>0</v>
      </c>
    </row>
    <row r="163" spans="1:23">
      <c r="A163" s="76" t="s">
        <v>751</v>
      </c>
      <c r="B163" s="76" t="s">
        <v>752</v>
      </c>
      <c r="C163" s="77" t="s">
        <v>923</v>
      </c>
      <c r="D163" s="57">
        <f t="shared" si="11"/>
        <v>0</v>
      </c>
      <c r="E163" s="57">
        <f t="shared" si="12"/>
        <v>0</v>
      </c>
      <c r="F163" s="57">
        <f t="shared" si="13"/>
        <v>10</v>
      </c>
      <c r="G163" s="57">
        <f t="shared" si="14"/>
        <v>0</v>
      </c>
      <c r="H163" s="57">
        <f t="shared" si="15"/>
        <v>0</v>
      </c>
      <c r="I163" s="116">
        <v>0</v>
      </c>
      <c r="J163" s="116">
        <v>0</v>
      </c>
      <c r="K163" s="116">
        <v>0</v>
      </c>
      <c r="L163" s="116">
        <v>0</v>
      </c>
      <c r="M163" s="116">
        <v>0</v>
      </c>
      <c r="N163" s="116">
        <v>0</v>
      </c>
      <c r="O163" s="116">
        <v>7</v>
      </c>
      <c r="P163" s="116">
        <v>3</v>
      </c>
      <c r="Q163" s="116">
        <v>0</v>
      </c>
      <c r="R163" s="116">
        <v>0</v>
      </c>
      <c r="S163" s="116">
        <v>0</v>
      </c>
      <c r="T163" s="116">
        <v>0</v>
      </c>
      <c r="U163" s="116">
        <v>0</v>
      </c>
      <c r="V163" s="116">
        <v>0</v>
      </c>
      <c r="W163" s="116">
        <v>0</v>
      </c>
    </row>
    <row r="164" spans="1:23">
      <c r="A164" s="76" t="s">
        <v>500</v>
      </c>
      <c r="B164" s="76" t="s">
        <v>501</v>
      </c>
      <c r="C164" s="77" t="s">
        <v>923</v>
      </c>
      <c r="D164" s="57">
        <f t="shared" si="11"/>
        <v>2</v>
      </c>
      <c r="E164" s="57">
        <f t="shared" si="12"/>
        <v>0</v>
      </c>
      <c r="F164" s="57">
        <f t="shared" si="13"/>
        <v>0</v>
      </c>
      <c r="G164" s="57">
        <f t="shared" si="14"/>
        <v>0</v>
      </c>
      <c r="H164" s="57">
        <f t="shared" si="15"/>
        <v>11</v>
      </c>
      <c r="I164" s="116">
        <v>0</v>
      </c>
      <c r="J164" s="116">
        <v>2</v>
      </c>
      <c r="K164" s="116">
        <v>0</v>
      </c>
      <c r="L164" s="116">
        <v>0</v>
      </c>
      <c r="M164" s="116">
        <v>0</v>
      </c>
      <c r="N164" s="116">
        <v>0</v>
      </c>
      <c r="O164" s="116">
        <v>0</v>
      </c>
      <c r="P164" s="116">
        <v>0</v>
      </c>
      <c r="Q164" s="116">
        <v>0</v>
      </c>
      <c r="R164" s="116">
        <v>0</v>
      </c>
      <c r="S164" s="116">
        <v>0</v>
      </c>
      <c r="T164" s="116">
        <v>0</v>
      </c>
      <c r="U164" s="116">
        <v>8</v>
      </c>
      <c r="V164" s="116">
        <v>3</v>
      </c>
      <c r="W164" s="116">
        <v>0</v>
      </c>
    </row>
    <row r="165" spans="1:23">
      <c r="A165" s="76" t="s">
        <v>767</v>
      </c>
      <c r="B165" s="76" t="s">
        <v>768</v>
      </c>
      <c r="C165" s="77" t="s">
        <v>923</v>
      </c>
      <c r="D165" s="57">
        <f t="shared" si="11"/>
        <v>0</v>
      </c>
      <c r="E165" s="57">
        <f t="shared" si="12"/>
        <v>0</v>
      </c>
      <c r="F165" s="57">
        <f t="shared" si="13"/>
        <v>13</v>
      </c>
      <c r="G165" s="57">
        <f t="shared" si="14"/>
        <v>0</v>
      </c>
      <c r="H165" s="57">
        <f t="shared" si="15"/>
        <v>0</v>
      </c>
      <c r="I165" s="116">
        <v>0</v>
      </c>
      <c r="J165" s="116">
        <v>0</v>
      </c>
      <c r="K165" s="116">
        <v>0</v>
      </c>
      <c r="L165" s="116">
        <v>0</v>
      </c>
      <c r="M165" s="116">
        <v>0</v>
      </c>
      <c r="N165" s="116">
        <v>0</v>
      </c>
      <c r="O165" s="116">
        <v>11</v>
      </c>
      <c r="P165" s="116">
        <v>2</v>
      </c>
      <c r="Q165" s="116">
        <v>0</v>
      </c>
      <c r="R165" s="116">
        <v>0</v>
      </c>
      <c r="S165" s="116">
        <v>0</v>
      </c>
      <c r="T165" s="116">
        <v>0</v>
      </c>
      <c r="U165" s="116">
        <v>0</v>
      </c>
      <c r="V165" s="116">
        <v>0</v>
      </c>
      <c r="W165" s="116">
        <v>0</v>
      </c>
    </row>
    <row r="166" spans="1:23">
      <c r="A166" s="76" t="s">
        <v>769</v>
      </c>
      <c r="B166" s="76" t="s">
        <v>770</v>
      </c>
      <c r="C166" s="77" t="s">
        <v>923</v>
      </c>
      <c r="D166" s="57">
        <f t="shared" si="11"/>
        <v>0</v>
      </c>
      <c r="E166" s="57">
        <f t="shared" si="12"/>
        <v>1</v>
      </c>
      <c r="F166" s="57">
        <f t="shared" si="13"/>
        <v>0</v>
      </c>
      <c r="G166" s="57">
        <f t="shared" si="14"/>
        <v>0</v>
      </c>
      <c r="H166" s="57">
        <f t="shared" si="15"/>
        <v>18</v>
      </c>
      <c r="I166" s="116">
        <v>0</v>
      </c>
      <c r="J166" s="116">
        <v>0</v>
      </c>
      <c r="K166" s="116">
        <v>0</v>
      </c>
      <c r="L166" s="116">
        <v>1</v>
      </c>
      <c r="M166" s="116">
        <v>0</v>
      </c>
      <c r="N166" s="116">
        <v>0</v>
      </c>
      <c r="O166" s="116">
        <v>0</v>
      </c>
      <c r="P166" s="116">
        <v>0</v>
      </c>
      <c r="Q166" s="116">
        <v>0</v>
      </c>
      <c r="R166" s="116">
        <v>0</v>
      </c>
      <c r="S166" s="116">
        <v>0</v>
      </c>
      <c r="T166" s="116">
        <v>0</v>
      </c>
      <c r="U166" s="116">
        <v>13</v>
      </c>
      <c r="V166" s="116">
        <v>5</v>
      </c>
      <c r="W166" s="116">
        <v>0</v>
      </c>
    </row>
    <row r="167" spans="1:23">
      <c r="A167" s="76" t="s">
        <v>115</v>
      </c>
      <c r="B167" s="76" t="s">
        <v>116</v>
      </c>
      <c r="C167" s="77" t="s">
        <v>923</v>
      </c>
      <c r="D167" s="57">
        <f t="shared" si="11"/>
        <v>5</v>
      </c>
      <c r="E167" s="57">
        <f t="shared" si="12"/>
        <v>0</v>
      </c>
      <c r="F167" s="57">
        <f t="shared" si="13"/>
        <v>0</v>
      </c>
      <c r="G167" s="57">
        <f t="shared" si="14"/>
        <v>0</v>
      </c>
      <c r="H167" s="57">
        <f t="shared" si="15"/>
        <v>22</v>
      </c>
      <c r="I167" s="116">
        <v>2</v>
      </c>
      <c r="J167" s="116">
        <v>3</v>
      </c>
      <c r="K167" s="116">
        <v>0</v>
      </c>
      <c r="L167" s="116">
        <v>0</v>
      </c>
      <c r="M167" s="116">
        <v>0</v>
      </c>
      <c r="N167" s="116">
        <v>0</v>
      </c>
      <c r="O167" s="116">
        <v>0</v>
      </c>
      <c r="P167" s="116">
        <v>0</v>
      </c>
      <c r="Q167" s="116">
        <v>0</v>
      </c>
      <c r="R167" s="116">
        <v>0</v>
      </c>
      <c r="S167" s="116">
        <v>0</v>
      </c>
      <c r="T167" s="116">
        <v>0</v>
      </c>
      <c r="U167" s="116">
        <v>21</v>
      </c>
      <c r="V167" s="116">
        <v>1</v>
      </c>
      <c r="W167" s="116">
        <v>0</v>
      </c>
    </row>
    <row r="168" spans="1:23">
      <c r="A168" s="76" t="s">
        <v>380</v>
      </c>
      <c r="B168" s="76" t="s">
        <v>381</v>
      </c>
      <c r="C168" s="77" t="s">
        <v>923</v>
      </c>
      <c r="D168" s="57">
        <f t="shared" si="11"/>
        <v>0</v>
      </c>
      <c r="E168" s="57">
        <f t="shared" si="12"/>
        <v>1</v>
      </c>
      <c r="F168" s="57">
        <f t="shared" si="13"/>
        <v>13</v>
      </c>
      <c r="G168" s="57">
        <f t="shared" si="14"/>
        <v>0</v>
      </c>
      <c r="H168" s="57">
        <f t="shared" si="15"/>
        <v>0</v>
      </c>
      <c r="I168" s="116">
        <v>0</v>
      </c>
      <c r="J168" s="116">
        <v>0</v>
      </c>
      <c r="K168" s="116">
        <v>0</v>
      </c>
      <c r="L168" s="116">
        <v>1</v>
      </c>
      <c r="M168" s="116">
        <v>0</v>
      </c>
      <c r="N168" s="116">
        <v>0</v>
      </c>
      <c r="O168" s="116">
        <v>11</v>
      </c>
      <c r="P168" s="116">
        <v>2</v>
      </c>
      <c r="Q168" s="116">
        <v>0</v>
      </c>
      <c r="R168" s="116">
        <v>0</v>
      </c>
      <c r="S168" s="116">
        <v>0</v>
      </c>
      <c r="T168" s="116">
        <v>0</v>
      </c>
      <c r="U168" s="116">
        <v>0</v>
      </c>
      <c r="V168" s="116">
        <v>0</v>
      </c>
      <c r="W168" s="116">
        <v>0</v>
      </c>
    </row>
    <row r="169" spans="1:23">
      <c r="A169" s="76" t="s">
        <v>509</v>
      </c>
      <c r="B169" s="76" t="s">
        <v>510</v>
      </c>
      <c r="C169" s="77" t="s">
        <v>923</v>
      </c>
      <c r="D169" s="57">
        <f t="shared" si="11"/>
        <v>0</v>
      </c>
      <c r="E169" s="57">
        <f t="shared" si="12"/>
        <v>2</v>
      </c>
      <c r="F169" s="57">
        <f t="shared" si="13"/>
        <v>5</v>
      </c>
      <c r="G169" s="57">
        <f t="shared" si="14"/>
        <v>0</v>
      </c>
      <c r="H169" s="57">
        <f t="shared" si="15"/>
        <v>8</v>
      </c>
      <c r="I169" s="116">
        <v>0</v>
      </c>
      <c r="J169" s="116">
        <v>0</v>
      </c>
      <c r="K169" s="116">
        <v>0</v>
      </c>
      <c r="L169" s="116">
        <v>1</v>
      </c>
      <c r="M169" s="116">
        <v>1</v>
      </c>
      <c r="N169" s="116">
        <v>0</v>
      </c>
      <c r="O169" s="116">
        <v>5</v>
      </c>
      <c r="P169" s="116">
        <v>0</v>
      </c>
      <c r="Q169" s="116">
        <v>0</v>
      </c>
      <c r="R169" s="116">
        <v>0</v>
      </c>
      <c r="S169" s="116">
        <v>0</v>
      </c>
      <c r="T169" s="116">
        <v>0</v>
      </c>
      <c r="U169" s="116">
        <v>5</v>
      </c>
      <c r="V169" s="116">
        <v>3</v>
      </c>
      <c r="W169" s="116">
        <v>0</v>
      </c>
    </row>
    <row r="170" spans="1:23">
      <c r="A170" s="76" t="s">
        <v>566</v>
      </c>
      <c r="B170" s="76" t="s">
        <v>567</v>
      </c>
      <c r="C170" s="77" t="s">
        <v>923</v>
      </c>
      <c r="D170" s="57">
        <f t="shared" si="11"/>
        <v>0</v>
      </c>
      <c r="E170" s="57">
        <f t="shared" si="12"/>
        <v>3</v>
      </c>
      <c r="F170" s="57">
        <f t="shared" si="13"/>
        <v>33</v>
      </c>
      <c r="G170" s="57">
        <f t="shared" si="14"/>
        <v>0</v>
      </c>
      <c r="H170" s="57">
        <f t="shared" si="15"/>
        <v>1</v>
      </c>
      <c r="I170" s="116">
        <v>0</v>
      </c>
      <c r="J170" s="116">
        <v>0</v>
      </c>
      <c r="K170" s="116">
        <v>0</v>
      </c>
      <c r="L170" s="116">
        <v>3</v>
      </c>
      <c r="M170" s="116">
        <v>0</v>
      </c>
      <c r="N170" s="116">
        <v>0</v>
      </c>
      <c r="O170" s="116">
        <v>12</v>
      </c>
      <c r="P170" s="116">
        <v>21</v>
      </c>
      <c r="Q170" s="116">
        <v>0</v>
      </c>
      <c r="R170" s="116">
        <v>0</v>
      </c>
      <c r="S170" s="116">
        <v>0</v>
      </c>
      <c r="T170" s="116">
        <v>0</v>
      </c>
      <c r="U170" s="116">
        <v>0</v>
      </c>
      <c r="V170" s="116">
        <v>1</v>
      </c>
      <c r="W170" s="116">
        <v>0</v>
      </c>
    </row>
    <row r="171" spans="1:23">
      <c r="A171" s="76" t="s">
        <v>118</v>
      </c>
      <c r="B171" s="76" t="s">
        <v>119</v>
      </c>
      <c r="C171" s="77" t="s">
        <v>923</v>
      </c>
      <c r="D171" s="57">
        <f t="shared" si="11"/>
        <v>0</v>
      </c>
      <c r="E171" s="57">
        <f t="shared" si="12"/>
        <v>0</v>
      </c>
      <c r="F171" s="57">
        <f t="shared" si="13"/>
        <v>23</v>
      </c>
      <c r="G171" s="57">
        <f t="shared" si="14"/>
        <v>0</v>
      </c>
      <c r="H171" s="57">
        <f t="shared" si="15"/>
        <v>0</v>
      </c>
      <c r="I171" s="116">
        <v>0</v>
      </c>
      <c r="J171" s="116">
        <v>0</v>
      </c>
      <c r="K171" s="116">
        <v>0</v>
      </c>
      <c r="L171" s="116">
        <v>0</v>
      </c>
      <c r="M171" s="116">
        <v>0</v>
      </c>
      <c r="N171" s="116">
        <v>0</v>
      </c>
      <c r="O171" s="116">
        <v>16</v>
      </c>
      <c r="P171" s="116">
        <v>7</v>
      </c>
      <c r="Q171" s="116">
        <v>0</v>
      </c>
      <c r="R171" s="116">
        <v>0</v>
      </c>
      <c r="S171" s="116">
        <v>0</v>
      </c>
      <c r="T171" s="116">
        <v>0</v>
      </c>
      <c r="U171" s="116">
        <v>0</v>
      </c>
      <c r="V171" s="116">
        <v>0</v>
      </c>
      <c r="W171" s="116">
        <v>0</v>
      </c>
    </row>
    <row r="172" spans="1:23">
      <c r="A172" s="76" t="s">
        <v>789</v>
      </c>
      <c r="B172" s="76" t="s">
        <v>790</v>
      </c>
      <c r="C172" s="77" t="s">
        <v>923</v>
      </c>
      <c r="D172" s="57">
        <f t="shared" si="11"/>
        <v>6</v>
      </c>
      <c r="E172" s="57">
        <f t="shared" si="12"/>
        <v>0</v>
      </c>
      <c r="F172" s="57">
        <f t="shared" si="13"/>
        <v>13</v>
      </c>
      <c r="G172" s="57">
        <f t="shared" si="14"/>
        <v>0</v>
      </c>
      <c r="H172" s="57">
        <f t="shared" si="15"/>
        <v>0</v>
      </c>
      <c r="I172" s="116">
        <v>4</v>
      </c>
      <c r="J172" s="116">
        <v>2</v>
      </c>
      <c r="K172" s="116">
        <v>0</v>
      </c>
      <c r="L172" s="116">
        <v>0</v>
      </c>
      <c r="M172" s="116">
        <v>0</v>
      </c>
      <c r="N172" s="116">
        <v>0</v>
      </c>
      <c r="O172" s="116">
        <v>9</v>
      </c>
      <c r="P172" s="116">
        <v>4</v>
      </c>
      <c r="Q172" s="116">
        <v>0</v>
      </c>
      <c r="R172" s="116">
        <v>0</v>
      </c>
      <c r="S172" s="116">
        <v>0</v>
      </c>
      <c r="T172" s="116">
        <v>0</v>
      </c>
      <c r="U172" s="116">
        <v>0</v>
      </c>
      <c r="V172" s="116">
        <v>0</v>
      </c>
      <c r="W172" s="116">
        <v>0</v>
      </c>
    </row>
    <row r="173" spans="1:23">
      <c r="A173" s="76" t="s">
        <v>805</v>
      </c>
      <c r="B173" s="76" t="s">
        <v>806</v>
      </c>
      <c r="C173" s="77" t="s">
        <v>923</v>
      </c>
      <c r="D173" s="57">
        <f t="shared" si="11"/>
        <v>0</v>
      </c>
      <c r="E173" s="57">
        <f t="shared" si="12"/>
        <v>3</v>
      </c>
      <c r="F173" s="57">
        <f t="shared" si="13"/>
        <v>0</v>
      </c>
      <c r="G173" s="57">
        <f t="shared" si="14"/>
        <v>0</v>
      </c>
      <c r="H173" s="57">
        <f t="shared" si="15"/>
        <v>23</v>
      </c>
      <c r="I173" s="116">
        <v>0</v>
      </c>
      <c r="J173" s="116">
        <v>0</v>
      </c>
      <c r="K173" s="116">
        <v>0</v>
      </c>
      <c r="L173" s="116">
        <v>2</v>
      </c>
      <c r="M173" s="116">
        <v>1</v>
      </c>
      <c r="N173" s="116">
        <v>0</v>
      </c>
      <c r="O173" s="116">
        <v>0</v>
      </c>
      <c r="P173" s="116">
        <v>0</v>
      </c>
      <c r="Q173" s="116">
        <v>0</v>
      </c>
      <c r="R173" s="116">
        <v>0</v>
      </c>
      <c r="S173" s="116">
        <v>0</v>
      </c>
      <c r="T173" s="116">
        <v>0</v>
      </c>
      <c r="U173" s="116">
        <v>20</v>
      </c>
      <c r="V173" s="116">
        <v>3</v>
      </c>
      <c r="W173" s="116">
        <v>0</v>
      </c>
    </row>
    <row r="174" spans="1:23">
      <c r="A174" s="76" t="s">
        <v>60</v>
      </c>
      <c r="B174" s="76" t="s">
        <v>61</v>
      </c>
      <c r="C174" s="77" t="s">
        <v>923</v>
      </c>
      <c r="D174" s="57">
        <f t="shared" si="11"/>
        <v>2</v>
      </c>
      <c r="E174" s="57">
        <f t="shared" si="12"/>
        <v>3</v>
      </c>
      <c r="F174" s="57">
        <f t="shared" si="13"/>
        <v>0</v>
      </c>
      <c r="G174" s="57">
        <f t="shared" si="14"/>
        <v>24</v>
      </c>
      <c r="H174" s="57">
        <f t="shared" si="15"/>
        <v>0</v>
      </c>
      <c r="I174" s="116">
        <v>2</v>
      </c>
      <c r="J174" s="116">
        <v>0</v>
      </c>
      <c r="K174" s="116">
        <v>0</v>
      </c>
      <c r="L174" s="116">
        <v>2</v>
      </c>
      <c r="M174" s="116">
        <v>1</v>
      </c>
      <c r="N174" s="116">
        <v>0</v>
      </c>
      <c r="O174" s="116">
        <v>0</v>
      </c>
      <c r="P174" s="116">
        <v>0</v>
      </c>
      <c r="Q174" s="116">
        <v>0</v>
      </c>
      <c r="R174" s="116">
        <v>11</v>
      </c>
      <c r="S174" s="116">
        <v>13</v>
      </c>
      <c r="T174" s="116">
        <v>0</v>
      </c>
      <c r="U174" s="116">
        <v>0</v>
      </c>
      <c r="V174" s="116">
        <v>0</v>
      </c>
      <c r="W174" s="116">
        <v>0</v>
      </c>
    </row>
    <row r="175" spans="1:23">
      <c r="A175" s="76" t="s">
        <v>63</v>
      </c>
      <c r="B175" s="76" t="s">
        <v>64</v>
      </c>
      <c r="C175" s="77" t="s">
        <v>923</v>
      </c>
      <c r="D175" s="57">
        <f t="shared" si="11"/>
        <v>1</v>
      </c>
      <c r="E175" s="57">
        <f t="shared" si="12"/>
        <v>0</v>
      </c>
      <c r="F175" s="57">
        <f t="shared" si="13"/>
        <v>3</v>
      </c>
      <c r="G175" s="57">
        <f t="shared" si="14"/>
        <v>0</v>
      </c>
      <c r="H175" s="57">
        <f t="shared" si="15"/>
        <v>9</v>
      </c>
      <c r="I175" s="116">
        <v>1</v>
      </c>
      <c r="J175" s="116">
        <v>0</v>
      </c>
      <c r="K175" s="116">
        <v>0</v>
      </c>
      <c r="L175" s="116">
        <v>0</v>
      </c>
      <c r="M175" s="116">
        <v>0</v>
      </c>
      <c r="N175" s="116">
        <v>0</v>
      </c>
      <c r="O175" s="116">
        <v>1</v>
      </c>
      <c r="P175" s="116">
        <v>2</v>
      </c>
      <c r="Q175" s="116">
        <v>0</v>
      </c>
      <c r="R175" s="116">
        <v>0</v>
      </c>
      <c r="S175" s="116">
        <v>0</v>
      </c>
      <c r="T175" s="116">
        <v>0</v>
      </c>
      <c r="U175" s="116">
        <v>8</v>
      </c>
      <c r="V175" s="116">
        <v>1</v>
      </c>
      <c r="W175" s="116">
        <v>0</v>
      </c>
    </row>
    <row r="176" spans="1:23">
      <c r="A176" s="76" t="s">
        <v>66</v>
      </c>
      <c r="B176" s="76" t="s">
        <v>67</v>
      </c>
      <c r="C176" s="77" t="s">
        <v>923</v>
      </c>
      <c r="D176" s="57">
        <f t="shared" si="11"/>
        <v>0</v>
      </c>
      <c r="E176" s="57">
        <f t="shared" si="12"/>
        <v>2</v>
      </c>
      <c r="F176" s="57">
        <f t="shared" si="13"/>
        <v>12</v>
      </c>
      <c r="G176" s="57">
        <f t="shared" si="14"/>
        <v>0</v>
      </c>
      <c r="H176" s="57">
        <f t="shared" si="15"/>
        <v>0</v>
      </c>
      <c r="I176" s="116">
        <v>0</v>
      </c>
      <c r="J176" s="116">
        <v>0</v>
      </c>
      <c r="K176" s="116">
        <v>0</v>
      </c>
      <c r="L176" s="116">
        <v>1</v>
      </c>
      <c r="M176" s="116">
        <v>1</v>
      </c>
      <c r="N176" s="116">
        <v>0</v>
      </c>
      <c r="O176" s="116">
        <v>10</v>
      </c>
      <c r="P176" s="116">
        <v>2</v>
      </c>
      <c r="Q176" s="116">
        <v>0</v>
      </c>
      <c r="R176" s="116">
        <v>0</v>
      </c>
      <c r="S176" s="116">
        <v>0</v>
      </c>
      <c r="T176" s="116">
        <v>0</v>
      </c>
      <c r="U176" s="116">
        <v>0</v>
      </c>
      <c r="V176" s="116">
        <v>0</v>
      </c>
      <c r="W176" s="116">
        <v>0</v>
      </c>
    </row>
    <row r="177" spans="1:23">
      <c r="A177" s="76" t="s">
        <v>823</v>
      </c>
      <c r="B177" s="76" t="s">
        <v>824</v>
      </c>
      <c r="C177" s="77" t="s">
        <v>923</v>
      </c>
      <c r="D177" s="57">
        <f t="shared" si="11"/>
        <v>0</v>
      </c>
      <c r="E177" s="57">
        <f t="shared" si="12"/>
        <v>0</v>
      </c>
      <c r="F177" s="57">
        <f t="shared" si="13"/>
        <v>32</v>
      </c>
      <c r="G177" s="57">
        <f t="shared" si="14"/>
        <v>0</v>
      </c>
      <c r="H177" s="57">
        <f t="shared" si="15"/>
        <v>0</v>
      </c>
      <c r="I177" s="116">
        <v>0</v>
      </c>
      <c r="J177" s="116">
        <v>0</v>
      </c>
      <c r="K177" s="116">
        <v>0</v>
      </c>
      <c r="L177" s="116">
        <v>0</v>
      </c>
      <c r="M177" s="116">
        <v>0</v>
      </c>
      <c r="N177" s="116">
        <v>0</v>
      </c>
      <c r="O177" s="116">
        <v>25</v>
      </c>
      <c r="P177" s="116">
        <v>7</v>
      </c>
      <c r="Q177" s="116">
        <v>0</v>
      </c>
      <c r="R177" s="116">
        <v>0</v>
      </c>
      <c r="S177" s="116">
        <v>0</v>
      </c>
      <c r="T177" s="116">
        <v>0</v>
      </c>
      <c r="U177" s="116">
        <v>0</v>
      </c>
      <c r="V177" s="116">
        <v>0</v>
      </c>
      <c r="W177" s="116">
        <v>0</v>
      </c>
    </row>
    <row r="178" spans="1:23">
      <c r="A178" s="76" t="s">
        <v>45</v>
      </c>
      <c r="B178" s="76" t="s">
        <v>46</v>
      </c>
      <c r="C178" s="77" t="s">
        <v>923</v>
      </c>
      <c r="D178" s="57">
        <f t="shared" si="11"/>
        <v>2</v>
      </c>
      <c r="E178" s="57">
        <f t="shared" si="12"/>
        <v>0</v>
      </c>
      <c r="F178" s="57">
        <f t="shared" si="13"/>
        <v>22</v>
      </c>
      <c r="G178" s="57">
        <f t="shared" si="14"/>
        <v>0</v>
      </c>
      <c r="H178" s="57">
        <f t="shared" si="15"/>
        <v>0</v>
      </c>
      <c r="I178" s="116">
        <v>1</v>
      </c>
      <c r="J178" s="116">
        <v>0</v>
      </c>
      <c r="K178" s="116">
        <v>1</v>
      </c>
      <c r="L178" s="116">
        <v>0</v>
      </c>
      <c r="M178" s="116">
        <v>0</v>
      </c>
      <c r="N178" s="116">
        <v>0</v>
      </c>
      <c r="O178" s="116">
        <v>15</v>
      </c>
      <c r="P178" s="116">
        <v>2</v>
      </c>
      <c r="Q178" s="116">
        <v>5</v>
      </c>
      <c r="R178" s="116">
        <v>0</v>
      </c>
      <c r="S178" s="116">
        <v>0</v>
      </c>
      <c r="T178" s="116">
        <v>0</v>
      </c>
      <c r="U178" s="116">
        <v>0</v>
      </c>
      <c r="V178" s="116">
        <v>0</v>
      </c>
      <c r="W178" s="116">
        <v>0</v>
      </c>
    </row>
    <row r="179" spans="1:23">
      <c r="A179" s="76" t="s">
        <v>527</v>
      </c>
      <c r="B179" s="76" t="s">
        <v>528</v>
      </c>
      <c r="C179" s="77" t="s">
        <v>923</v>
      </c>
      <c r="D179" s="57">
        <f t="shared" si="11"/>
        <v>1</v>
      </c>
      <c r="E179" s="57">
        <f t="shared" si="12"/>
        <v>0</v>
      </c>
      <c r="F179" s="57">
        <f t="shared" si="13"/>
        <v>0</v>
      </c>
      <c r="G179" s="57">
        <f t="shared" si="14"/>
        <v>0</v>
      </c>
      <c r="H179" s="57">
        <f t="shared" si="15"/>
        <v>14</v>
      </c>
      <c r="I179" s="116">
        <v>1</v>
      </c>
      <c r="J179" s="116">
        <v>0</v>
      </c>
      <c r="K179" s="116">
        <v>0</v>
      </c>
      <c r="L179" s="116">
        <v>0</v>
      </c>
      <c r="M179" s="116">
        <v>0</v>
      </c>
      <c r="N179" s="116">
        <v>0</v>
      </c>
      <c r="O179" s="116">
        <v>0</v>
      </c>
      <c r="P179" s="116">
        <v>0</v>
      </c>
      <c r="Q179" s="116">
        <v>0</v>
      </c>
      <c r="R179" s="116">
        <v>0</v>
      </c>
      <c r="S179" s="116">
        <v>0</v>
      </c>
      <c r="T179" s="116">
        <v>0</v>
      </c>
      <c r="U179" s="116">
        <v>8</v>
      </c>
      <c r="V179" s="116">
        <v>6</v>
      </c>
      <c r="W179" s="116">
        <v>0</v>
      </c>
    </row>
    <row r="180" spans="1:23">
      <c r="A180" s="76" t="s">
        <v>591</v>
      </c>
      <c r="B180" s="76" t="s">
        <v>592</v>
      </c>
      <c r="C180" s="77" t="s">
        <v>940</v>
      </c>
      <c r="D180" s="57">
        <f t="shared" si="11"/>
        <v>0</v>
      </c>
      <c r="E180" s="57">
        <f t="shared" si="12"/>
        <v>9</v>
      </c>
      <c r="F180" s="57">
        <f t="shared" si="13"/>
        <v>0</v>
      </c>
      <c r="G180" s="57">
        <f t="shared" si="14"/>
        <v>0</v>
      </c>
      <c r="H180" s="57">
        <f t="shared" si="15"/>
        <v>12</v>
      </c>
      <c r="I180" s="116">
        <v>0</v>
      </c>
      <c r="J180" s="116">
        <v>0</v>
      </c>
      <c r="K180" s="116">
        <v>0</v>
      </c>
      <c r="L180" s="116">
        <v>3</v>
      </c>
      <c r="M180" s="116">
        <v>1</v>
      </c>
      <c r="N180" s="116">
        <v>5</v>
      </c>
      <c r="O180" s="116">
        <v>0</v>
      </c>
      <c r="P180" s="116">
        <v>0</v>
      </c>
      <c r="Q180" s="116">
        <v>0</v>
      </c>
      <c r="R180" s="116">
        <v>0</v>
      </c>
      <c r="S180" s="116">
        <v>0</v>
      </c>
      <c r="T180" s="116">
        <v>0</v>
      </c>
      <c r="U180" s="116">
        <v>11</v>
      </c>
      <c r="V180" s="116">
        <v>1</v>
      </c>
      <c r="W180" s="116">
        <v>0</v>
      </c>
    </row>
    <row r="181" spans="1:23">
      <c r="A181" s="76" t="s">
        <v>398</v>
      </c>
      <c r="B181" s="76" t="s">
        <v>399</v>
      </c>
      <c r="C181" s="77" t="s">
        <v>940</v>
      </c>
      <c r="D181" s="57">
        <f t="shared" si="11"/>
        <v>1</v>
      </c>
      <c r="E181" s="57">
        <f t="shared" si="12"/>
        <v>2</v>
      </c>
      <c r="F181" s="57">
        <f t="shared" si="13"/>
        <v>14</v>
      </c>
      <c r="G181" s="57">
        <f t="shared" si="14"/>
        <v>0</v>
      </c>
      <c r="H181" s="57">
        <f t="shared" si="15"/>
        <v>0</v>
      </c>
      <c r="I181" s="116">
        <v>1</v>
      </c>
      <c r="J181" s="116">
        <v>0</v>
      </c>
      <c r="K181" s="116">
        <v>0</v>
      </c>
      <c r="L181" s="116">
        <v>1</v>
      </c>
      <c r="M181" s="116">
        <v>1</v>
      </c>
      <c r="N181" s="116">
        <v>0</v>
      </c>
      <c r="O181" s="116">
        <v>11</v>
      </c>
      <c r="P181" s="116">
        <v>3</v>
      </c>
      <c r="Q181" s="116">
        <v>0</v>
      </c>
      <c r="R181" s="116">
        <v>0</v>
      </c>
      <c r="S181" s="116">
        <v>0</v>
      </c>
      <c r="T181" s="116">
        <v>0</v>
      </c>
      <c r="U181" s="116">
        <v>0</v>
      </c>
      <c r="V181" s="116">
        <v>0</v>
      </c>
      <c r="W181" s="116">
        <v>0</v>
      </c>
    </row>
    <row r="182" spans="1:23">
      <c r="A182" s="76" t="s">
        <v>597</v>
      </c>
      <c r="B182" s="76" t="s">
        <v>598</v>
      </c>
      <c r="C182" s="77" t="s">
        <v>940</v>
      </c>
      <c r="D182" s="57">
        <f t="shared" si="11"/>
        <v>1</v>
      </c>
      <c r="E182" s="57">
        <f t="shared" si="12"/>
        <v>0</v>
      </c>
      <c r="F182" s="57">
        <f t="shared" si="13"/>
        <v>8</v>
      </c>
      <c r="G182" s="57">
        <f t="shared" si="14"/>
        <v>0</v>
      </c>
      <c r="H182" s="57">
        <f t="shared" si="15"/>
        <v>0</v>
      </c>
      <c r="I182" s="116">
        <v>1</v>
      </c>
      <c r="J182" s="116">
        <v>0</v>
      </c>
      <c r="K182" s="116">
        <v>0</v>
      </c>
      <c r="L182" s="116">
        <v>0</v>
      </c>
      <c r="M182" s="116">
        <v>0</v>
      </c>
      <c r="N182" s="116">
        <v>0</v>
      </c>
      <c r="O182" s="116">
        <v>7</v>
      </c>
      <c r="P182" s="116">
        <v>1</v>
      </c>
      <c r="Q182" s="116">
        <v>0</v>
      </c>
      <c r="R182" s="116">
        <v>0</v>
      </c>
      <c r="S182" s="116">
        <v>0</v>
      </c>
      <c r="T182" s="116">
        <v>0</v>
      </c>
      <c r="U182" s="116">
        <v>0</v>
      </c>
      <c r="V182" s="116">
        <v>0</v>
      </c>
      <c r="W182" s="116">
        <v>0</v>
      </c>
    </row>
    <row r="183" spans="1:23">
      <c r="A183" s="76" t="s">
        <v>10</v>
      </c>
      <c r="B183" s="76" t="s">
        <v>11</v>
      </c>
      <c r="C183" s="77" t="s">
        <v>940</v>
      </c>
      <c r="D183" s="57">
        <f t="shared" si="11"/>
        <v>0</v>
      </c>
      <c r="E183" s="57">
        <f t="shared" si="12"/>
        <v>4</v>
      </c>
      <c r="F183" s="57">
        <f t="shared" si="13"/>
        <v>37</v>
      </c>
      <c r="G183" s="57">
        <f t="shared" si="14"/>
        <v>0</v>
      </c>
      <c r="H183" s="57">
        <f t="shared" si="15"/>
        <v>0</v>
      </c>
      <c r="I183" s="116">
        <v>0</v>
      </c>
      <c r="J183" s="116">
        <v>0</v>
      </c>
      <c r="K183" s="116">
        <v>0</v>
      </c>
      <c r="L183" s="116">
        <v>2</v>
      </c>
      <c r="M183" s="116">
        <v>2</v>
      </c>
      <c r="N183" s="116">
        <v>0</v>
      </c>
      <c r="O183" s="116">
        <v>18</v>
      </c>
      <c r="P183" s="116">
        <v>19</v>
      </c>
      <c r="Q183" s="116">
        <v>0</v>
      </c>
      <c r="R183" s="116">
        <v>0</v>
      </c>
      <c r="S183" s="116">
        <v>0</v>
      </c>
      <c r="T183" s="116">
        <v>0</v>
      </c>
      <c r="U183" s="116">
        <v>0</v>
      </c>
      <c r="V183" s="116">
        <v>0</v>
      </c>
      <c r="W183" s="116">
        <v>0</v>
      </c>
    </row>
    <row r="184" spans="1:23">
      <c r="A184" s="76" t="s">
        <v>133</v>
      </c>
      <c r="B184" s="76" t="s">
        <v>134</v>
      </c>
      <c r="C184" s="77" t="s">
        <v>940</v>
      </c>
      <c r="D184" s="57">
        <f t="shared" si="11"/>
        <v>1</v>
      </c>
      <c r="E184" s="57">
        <f t="shared" si="12"/>
        <v>2</v>
      </c>
      <c r="F184" s="57">
        <f t="shared" si="13"/>
        <v>18</v>
      </c>
      <c r="G184" s="57">
        <f t="shared" si="14"/>
        <v>0</v>
      </c>
      <c r="H184" s="57">
        <f t="shared" si="15"/>
        <v>0</v>
      </c>
      <c r="I184" s="116">
        <v>1</v>
      </c>
      <c r="J184" s="116">
        <v>0</v>
      </c>
      <c r="K184" s="116">
        <v>0</v>
      </c>
      <c r="L184" s="116">
        <v>1</v>
      </c>
      <c r="M184" s="116">
        <v>1</v>
      </c>
      <c r="N184" s="116">
        <v>0</v>
      </c>
      <c r="O184" s="116">
        <v>12</v>
      </c>
      <c r="P184" s="116">
        <v>6</v>
      </c>
      <c r="Q184" s="116">
        <v>0</v>
      </c>
      <c r="R184" s="116">
        <v>0</v>
      </c>
      <c r="S184" s="116">
        <v>0</v>
      </c>
      <c r="T184" s="116">
        <v>0</v>
      </c>
      <c r="U184" s="116">
        <v>0</v>
      </c>
      <c r="V184" s="116">
        <v>0</v>
      </c>
      <c r="W184" s="116">
        <v>0</v>
      </c>
    </row>
    <row r="185" spans="1:23">
      <c r="A185" s="76" t="s">
        <v>289</v>
      </c>
      <c r="B185" s="76" t="s">
        <v>290</v>
      </c>
      <c r="C185" s="77" t="s">
        <v>940</v>
      </c>
      <c r="D185" s="57">
        <f t="shared" si="11"/>
        <v>5</v>
      </c>
      <c r="E185" s="57">
        <f t="shared" si="12"/>
        <v>0</v>
      </c>
      <c r="F185" s="57">
        <f t="shared" si="13"/>
        <v>10</v>
      </c>
      <c r="G185" s="57">
        <f t="shared" si="14"/>
        <v>0</v>
      </c>
      <c r="H185" s="57">
        <f t="shared" si="15"/>
        <v>0</v>
      </c>
      <c r="I185" s="116">
        <v>4</v>
      </c>
      <c r="J185" s="116">
        <v>1</v>
      </c>
      <c r="K185" s="116">
        <v>0</v>
      </c>
      <c r="L185" s="116">
        <v>0</v>
      </c>
      <c r="M185" s="116">
        <v>0</v>
      </c>
      <c r="N185" s="116">
        <v>0</v>
      </c>
      <c r="O185" s="116">
        <v>7</v>
      </c>
      <c r="P185" s="116">
        <v>3</v>
      </c>
      <c r="Q185" s="116">
        <v>0</v>
      </c>
      <c r="R185" s="116">
        <v>0</v>
      </c>
      <c r="S185" s="116">
        <v>0</v>
      </c>
      <c r="T185" s="116">
        <v>0</v>
      </c>
      <c r="U185" s="116">
        <v>0</v>
      </c>
      <c r="V185" s="116">
        <v>0</v>
      </c>
      <c r="W185" s="116">
        <v>0</v>
      </c>
    </row>
    <row r="186" spans="1:23">
      <c r="A186" s="76" t="s">
        <v>404</v>
      </c>
      <c r="B186" s="76" t="s">
        <v>405</v>
      </c>
      <c r="C186" s="77" t="s">
        <v>940</v>
      </c>
      <c r="D186" s="57">
        <f t="shared" si="11"/>
        <v>0</v>
      </c>
      <c r="E186" s="57">
        <f t="shared" si="12"/>
        <v>1</v>
      </c>
      <c r="F186" s="57">
        <f t="shared" si="13"/>
        <v>9</v>
      </c>
      <c r="G186" s="57">
        <f t="shared" si="14"/>
        <v>0</v>
      </c>
      <c r="H186" s="57">
        <f t="shared" si="15"/>
        <v>0</v>
      </c>
      <c r="I186" s="116">
        <v>0</v>
      </c>
      <c r="J186" s="116">
        <v>0</v>
      </c>
      <c r="K186" s="116">
        <v>0</v>
      </c>
      <c r="L186" s="116">
        <v>1</v>
      </c>
      <c r="M186" s="116">
        <v>0</v>
      </c>
      <c r="N186" s="116">
        <v>0</v>
      </c>
      <c r="O186" s="116">
        <v>6</v>
      </c>
      <c r="P186" s="116">
        <v>3</v>
      </c>
      <c r="Q186" s="116">
        <v>0</v>
      </c>
      <c r="R186" s="116">
        <v>0</v>
      </c>
      <c r="S186" s="116">
        <v>0</v>
      </c>
      <c r="T186" s="116">
        <v>0</v>
      </c>
      <c r="U186" s="116">
        <v>0</v>
      </c>
      <c r="V186" s="116">
        <v>0</v>
      </c>
      <c r="W186" s="116">
        <v>0</v>
      </c>
    </row>
    <row r="187" spans="1:23">
      <c r="A187" s="76" t="s">
        <v>599</v>
      </c>
      <c r="B187" s="76" t="s">
        <v>600</v>
      </c>
      <c r="C187" s="77" t="s">
        <v>940</v>
      </c>
      <c r="D187" s="57">
        <f t="shared" si="11"/>
        <v>0</v>
      </c>
      <c r="E187" s="57">
        <f t="shared" si="12"/>
        <v>1</v>
      </c>
      <c r="F187" s="57">
        <f t="shared" si="13"/>
        <v>6</v>
      </c>
      <c r="G187" s="57">
        <f t="shared" si="14"/>
        <v>0</v>
      </c>
      <c r="H187" s="57">
        <f t="shared" si="15"/>
        <v>0</v>
      </c>
      <c r="I187" s="116">
        <v>0</v>
      </c>
      <c r="J187" s="116">
        <v>0</v>
      </c>
      <c r="K187" s="116">
        <v>0</v>
      </c>
      <c r="L187" s="116">
        <v>1</v>
      </c>
      <c r="M187" s="116">
        <v>0</v>
      </c>
      <c r="N187" s="116">
        <v>0</v>
      </c>
      <c r="O187" s="116">
        <v>4</v>
      </c>
      <c r="P187" s="116">
        <v>2</v>
      </c>
      <c r="Q187" s="116">
        <v>0</v>
      </c>
      <c r="R187" s="116">
        <v>0</v>
      </c>
      <c r="S187" s="116">
        <v>0</v>
      </c>
      <c r="T187" s="116">
        <v>0</v>
      </c>
      <c r="U187" s="116">
        <v>0</v>
      </c>
      <c r="V187" s="116">
        <v>0</v>
      </c>
      <c r="W187" s="116">
        <v>0</v>
      </c>
    </row>
    <row r="188" spans="1:23">
      <c r="A188" s="76" t="s">
        <v>613</v>
      </c>
      <c r="B188" s="76" t="s">
        <v>614</v>
      </c>
      <c r="C188" s="77" t="s">
        <v>940</v>
      </c>
      <c r="D188" s="57">
        <f t="shared" si="11"/>
        <v>0</v>
      </c>
      <c r="E188" s="57">
        <f t="shared" si="12"/>
        <v>0</v>
      </c>
      <c r="F188" s="57">
        <f t="shared" si="13"/>
        <v>14</v>
      </c>
      <c r="G188" s="57">
        <f t="shared" si="14"/>
        <v>0</v>
      </c>
      <c r="H188" s="57">
        <f t="shared" si="15"/>
        <v>0</v>
      </c>
      <c r="I188" s="116">
        <v>0</v>
      </c>
      <c r="J188" s="116">
        <v>0</v>
      </c>
      <c r="K188" s="116">
        <v>0</v>
      </c>
      <c r="L188" s="116">
        <v>0</v>
      </c>
      <c r="M188" s="116">
        <v>0</v>
      </c>
      <c r="N188" s="116">
        <v>0</v>
      </c>
      <c r="O188" s="116">
        <v>10</v>
      </c>
      <c r="P188" s="116">
        <v>4</v>
      </c>
      <c r="Q188" s="116">
        <v>0</v>
      </c>
      <c r="R188" s="116">
        <v>0</v>
      </c>
      <c r="S188" s="116">
        <v>0</v>
      </c>
      <c r="T188" s="116">
        <v>0</v>
      </c>
      <c r="U188" s="116">
        <v>0</v>
      </c>
      <c r="V188" s="116">
        <v>0</v>
      </c>
      <c r="W188" s="116">
        <v>0</v>
      </c>
    </row>
    <row r="189" spans="1:23">
      <c r="A189" s="76" t="s">
        <v>15</v>
      </c>
      <c r="B189" s="76" t="s">
        <v>16</v>
      </c>
      <c r="C189" s="77" t="s">
        <v>940</v>
      </c>
      <c r="D189" s="57">
        <f t="shared" si="11"/>
        <v>0</v>
      </c>
      <c r="E189" s="57">
        <f t="shared" si="12"/>
        <v>9</v>
      </c>
      <c r="F189" s="57">
        <f t="shared" si="13"/>
        <v>22</v>
      </c>
      <c r="G189" s="57">
        <f t="shared" si="14"/>
        <v>0</v>
      </c>
      <c r="H189" s="57">
        <f t="shared" si="15"/>
        <v>0</v>
      </c>
      <c r="I189" s="116">
        <v>0</v>
      </c>
      <c r="J189" s="116">
        <v>0</v>
      </c>
      <c r="K189" s="116">
        <v>0</v>
      </c>
      <c r="L189" s="116">
        <v>5</v>
      </c>
      <c r="M189" s="116">
        <v>4</v>
      </c>
      <c r="N189" s="116">
        <v>0</v>
      </c>
      <c r="O189" s="116">
        <v>8</v>
      </c>
      <c r="P189" s="116">
        <v>14</v>
      </c>
      <c r="Q189" s="116">
        <v>0</v>
      </c>
      <c r="R189" s="116">
        <v>0</v>
      </c>
      <c r="S189" s="116">
        <v>0</v>
      </c>
      <c r="T189" s="116">
        <v>0</v>
      </c>
      <c r="U189" s="116">
        <v>0</v>
      </c>
      <c r="V189" s="116">
        <v>0</v>
      </c>
      <c r="W189" s="116">
        <v>0</v>
      </c>
    </row>
    <row r="190" spans="1:23">
      <c r="A190" s="76" t="s">
        <v>298</v>
      </c>
      <c r="B190" s="76" t="s">
        <v>299</v>
      </c>
      <c r="C190" s="77" t="s">
        <v>940</v>
      </c>
      <c r="D190" s="57">
        <f t="shared" si="11"/>
        <v>0</v>
      </c>
      <c r="E190" s="57">
        <f t="shared" si="12"/>
        <v>0</v>
      </c>
      <c r="F190" s="57">
        <f t="shared" si="13"/>
        <v>12</v>
      </c>
      <c r="G190" s="57">
        <f t="shared" si="14"/>
        <v>0</v>
      </c>
      <c r="H190" s="57">
        <f t="shared" si="15"/>
        <v>0</v>
      </c>
      <c r="I190" s="116">
        <v>0</v>
      </c>
      <c r="J190" s="116">
        <v>0</v>
      </c>
      <c r="K190" s="116">
        <v>0</v>
      </c>
      <c r="L190" s="116">
        <v>0</v>
      </c>
      <c r="M190" s="116">
        <v>0</v>
      </c>
      <c r="N190" s="116">
        <v>0</v>
      </c>
      <c r="O190" s="116">
        <v>9</v>
      </c>
      <c r="P190" s="116">
        <v>3</v>
      </c>
      <c r="Q190" s="116">
        <v>0</v>
      </c>
      <c r="R190" s="116">
        <v>0</v>
      </c>
      <c r="S190" s="116">
        <v>0</v>
      </c>
      <c r="T190" s="116">
        <v>0</v>
      </c>
      <c r="U190" s="116">
        <v>0</v>
      </c>
      <c r="V190" s="116">
        <v>0</v>
      </c>
      <c r="W190" s="116">
        <v>0</v>
      </c>
    </row>
    <row r="191" spans="1:23">
      <c r="A191" s="76" t="s">
        <v>416</v>
      </c>
      <c r="B191" s="76" t="s">
        <v>417</v>
      </c>
      <c r="C191" s="77" t="s">
        <v>940</v>
      </c>
      <c r="D191" s="57">
        <f t="shared" si="11"/>
        <v>1</v>
      </c>
      <c r="E191" s="57">
        <f t="shared" si="12"/>
        <v>2</v>
      </c>
      <c r="F191" s="57">
        <f t="shared" si="13"/>
        <v>13</v>
      </c>
      <c r="G191" s="57">
        <f t="shared" si="14"/>
        <v>0</v>
      </c>
      <c r="H191" s="57">
        <f t="shared" si="15"/>
        <v>0</v>
      </c>
      <c r="I191" s="116">
        <v>1</v>
      </c>
      <c r="J191" s="116">
        <v>0</v>
      </c>
      <c r="K191" s="116">
        <v>0</v>
      </c>
      <c r="L191" s="116">
        <v>1</v>
      </c>
      <c r="M191" s="116">
        <v>1</v>
      </c>
      <c r="N191" s="116">
        <v>0</v>
      </c>
      <c r="O191" s="116">
        <v>8</v>
      </c>
      <c r="P191" s="116">
        <v>2</v>
      </c>
      <c r="Q191" s="116">
        <v>3</v>
      </c>
      <c r="R191" s="116">
        <v>0</v>
      </c>
      <c r="S191" s="116">
        <v>0</v>
      </c>
      <c r="T191" s="116">
        <v>0</v>
      </c>
      <c r="U191" s="116">
        <v>0</v>
      </c>
      <c r="V191" s="116">
        <v>0</v>
      </c>
      <c r="W191" s="116">
        <v>0</v>
      </c>
    </row>
    <row r="192" spans="1:23">
      <c r="A192" s="76" t="s">
        <v>419</v>
      </c>
      <c r="B192" s="76" t="s">
        <v>420</v>
      </c>
      <c r="C192" s="77" t="s">
        <v>940</v>
      </c>
      <c r="D192" s="57">
        <f t="shared" si="11"/>
        <v>0</v>
      </c>
      <c r="E192" s="57">
        <f t="shared" si="12"/>
        <v>0</v>
      </c>
      <c r="F192" s="57">
        <f t="shared" si="13"/>
        <v>0</v>
      </c>
      <c r="G192" s="57">
        <f t="shared" si="14"/>
        <v>0</v>
      </c>
      <c r="H192" s="57">
        <f t="shared" si="15"/>
        <v>12</v>
      </c>
      <c r="I192" s="116">
        <v>0</v>
      </c>
      <c r="J192" s="116">
        <v>0</v>
      </c>
      <c r="K192" s="116">
        <v>0</v>
      </c>
      <c r="L192" s="116">
        <v>0</v>
      </c>
      <c r="M192" s="116">
        <v>0</v>
      </c>
      <c r="N192" s="116">
        <v>0</v>
      </c>
      <c r="O192" s="116">
        <v>0</v>
      </c>
      <c r="P192" s="116">
        <v>0</v>
      </c>
      <c r="Q192" s="116">
        <v>0</v>
      </c>
      <c r="R192" s="116">
        <v>0</v>
      </c>
      <c r="S192" s="116">
        <v>0</v>
      </c>
      <c r="T192" s="116">
        <v>0</v>
      </c>
      <c r="U192" s="116">
        <v>8</v>
      </c>
      <c r="V192" s="116">
        <v>4</v>
      </c>
      <c r="W192" s="116">
        <v>0</v>
      </c>
    </row>
    <row r="193" spans="1:23">
      <c r="A193" s="76" t="s">
        <v>93</v>
      </c>
      <c r="B193" s="76" t="s">
        <v>94</v>
      </c>
      <c r="C193" s="77" t="s">
        <v>940</v>
      </c>
      <c r="D193" s="57">
        <f t="shared" si="11"/>
        <v>0</v>
      </c>
      <c r="E193" s="57">
        <f t="shared" si="12"/>
        <v>2</v>
      </c>
      <c r="F193" s="57">
        <f t="shared" si="13"/>
        <v>37</v>
      </c>
      <c r="G193" s="57">
        <f t="shared" si="14"/>
        <v>0</v>
      </c>
      <c r="H193" s="57">
        <f t="shared" si="15"/>
        <v>0</v>
      </c>
      <c r="I193" s="116">
        <v>0</v>
      </c>
      <c r="J193" s="116">
        <v>0</v>
      </c>
      <c r="K193" s="116">
        <v>0</v>
      </c>
      <c r="L193" s="116">
        <v>1</v>
      </c>
      <c r="M193" s="116">
        <v>1</v>
      </c>
      <c r="N193" s="116">
        <v>0</v>
      </c>
      <c r="O193" s="116">
        <v>24</v>
      </c>
      <c r="P193" s="116">
        <v>13</v>
      </c>
      <c r="Q193" s="116">
        <v>0</v>
      </c>
      <c r="R193" s="116">
        <v>0</v>
      </c>
      <c r="S193" s="116">
        <v>0</v>
      </c>
      <c r="T193" s="116">
        <v>0</v>
      </c>
      <c r="U193" s="116">
        <v>0</v>
      </c>
      <c r="V193" s="116">
        <v>0</v>
      </c>
      <c r="W193" s="116">
        <v>0</v>
      </c>
    </row>
    <row r="194" spans="1:23">
      <c r="A194" s="76" t="s">
        <v>621</v>
      </c>
      <c r="B194" s="76" t="s">
        <v>622</v>
      </c>
      <c r="C194" s="77" t="s">
        <v>940</v>
      </c>
      <c r="D194" s="57">
        <f t="shared" si="11"/>
        <v>0</v>
      </c>
      <c r="E194" s="57">
        <f t="shared" si="12"/>
        <v>0</v>
      </c>
      <c r="F194" s="57">
        <f t="shared" si="13"/>
        <v>16</v>
      </c>
      <c r="G194" s="57">
        <f t="shared" si="14"/>
        <v>0</v>
      </c>
      <c r="H194" s="57">
        <f t="shared" si="15"/>
        <v>0</v>
      </c>
      <c r="I194" s="116">
        <v>0</v>
      </c>
      <c r="J194" s="116">
        <v>0</v>
      </c>
      <c r="K194" s="116">
        <v>0</v>
      </c>
      <c r="L194" s="116">
        <v>0</v>
      </c>
      <c r="M194" s="116">
        <v>0</v>
      </c>
      <c r="N194" s="116">
        <v>0</v>
      </c>
      <c r="O194" s="116">
        <v>12</v>
      </c>
      <c r="P194" s="116">
        <v>4</v>
      </c>
      <c r="Q194" s="116">
        <v>0</v>
      </c>
      <c r="R194" s="116">
        <v>0</v>
      </c>
      <c r="S194" s="116">
        <v>0</v>
      </c>
      <c r="T194" s="116">
        <v>0</v>
      </c>
      <c r="U194" s="116">
        <v>0</v>
      </c>
      <c r="V194" s="116">
        <v>0</v>
      </c>
      <c r="W194" s="116">
        <v>0</v>
      </c>
    </row>
    <row r="195" spans="1:23">
      <c r="A195" s="76" t="s">
        <v>428</v>
      </c>
      <c r="B195" s="76" t="s">
        <v>429</v>
      </c>
      <c r="C195" s="77" t="s">
        <v>940</v>
      </c>
      <c r="D195" s="57">
        <f t="shared" si="11"/>
        <v>0</v>
      </c>
      <c r="E195" s="57">
        <f t="shared" si="12"/>
        <v>1</v>
      </c>
      <c r="F195" s="57">
        <f t="shared" si="13"/>
        <v>14</v>
      </c>
      <c r="G195" s="57">
        <f t="shared" si="14"/>
        <v>0</v>
      </c>
      <c r="H195" s="57">
        <f t="shared" si="15"/>
        <v>0</v>
      </c>
      <c r="I195" s="116">
        <v>0</v>
      </c>
      <c r="J195" s="116">
        <v>0</v>
      </c>
      <c r="K195" s="116">
        <v>0</v>
      </c>
      <c r="L195" s="116">
        <v>1</v>
      </c>
      <c r="M195" s="116">
        <v>0</v>
      </c>
      <c r="N195" s="116">
        <v>0</v>
      </c>
      <c r="O195" s="116">
        <v>11</v>
      </c>
      <c r="P195" s="116">
        <v>3</v>
      </c>
      <c r="Q195" s="116">
        <v>0</v>
      </c>
      <c r="R195" s="116">
        <v>0</v>
      </c>
      <c r="S195" s="116">
        <v>0</v>
      </c>
      <c r="T195" s="116">
        <v>0</v>
      </c>
      <c r="U195" s="116">
        <v>0</v>
      </c>
      <c r="V195" s="116">
        <v>0</v>
      </c>
      <c r="W195" s="116">
        <v>0</v>
      </c>
    </row>
    <row r="196" spans="1:23">
      <c r="A196" s="76" t="s">
        <v>434</v>
      </c>
      <c r="B196" s="76" t="s">
        <v>435</v>
      </c>
      <c r="C196" s="77" t="s">
        <v>940</v>
      </c>
      <c r="D196" s="57">
        <f t="shared" ref="D196:D259" si="16">SUM(I196:K196)</f>
        <v>0</v>
      </c>
      <c r="E196" s="57">
        <f t="shared" ref="E196:E259" si="17">SUM(L196:N196)</f>
        <v>2</v>
      </c>
      <c r="F196" s="57">
        <f t="shared" ref="F196:F259" si="18">SUM(O196:Q196)</f>
        <v>9</v>
      </c>
      <c r="G196" s="57">
        <f t="shared" ref="G196:G259" si="19">SUM(R196:T196)</f>
        <v>0</v>
      </c>
      <c r="H196" s="57">
        <f t="shared" ref="H196:H259" si="20">SUM(U196:W196)</f>
        <v>0</v>
      </c>
      <c r="I196" s="116">
        <v>0</v>
      </c>
      <c r="J196" s="116">
        <v>0</v>
      </c>
      <c r="K196" s="116">
        <v>0</v>
      </c>
      <c r="L196" s="116">
        <v>1</v>
      </c>
      <c r="M196" s="116">
        <v>1</v>
      </c>
      <c r="N196" s="116">
        <v>0</v>
      </c>
      <c r="O196" s="116">
        <v>9</v>
      </c>
      <c r="P196" s="116">
        <v>0</v>
      </c>
      <c r="Q196" s="116">
        <v>0</v>
      </c>
      <c r="R196" s="116">
        <v>0</v>
      </c>
      <c r="S196" s="116">
        <v>0</v>
      </c>
      <c r="T196" s="116">
        <v>0</v>
      </c>
      <c r="U196" s="116">
        <v>0</v>
      </c>
      <c r="V196" s="116">
        <v>0</v>
      </c>
      <c r="W196" s="116">
        <v>0</v>
      </c>
    </row>
    <row r="197" spans="1:23">
      <c r="A197" s="76" t="s">
        <v>551</v>
      </c>
      <c r="B197" s="76" t="s">
        <v>552</v>
      </c>
      <c r="C197" s="77" t="s">
        <v>940</v>
      </c>
      <c r="D197" s="57">
        <f t="shared" si="16"/>
        <v>0</v>
      </c>
      <c r="E197" s="57">
        <f t="shared" si="17"/>
        <v>3</v>
      </c>
      <c r="F197" s="57">
        <f t="shared" si="18"/>
        <v>10</v>
      </c>
      <c r="G197" s="57">
        <f t="shared" si="19"/>
        <v>0</v>
      </c>
      <c r="H197" s="57">
        <f t="shared" si="20"/>
        <v>0</v>
      </c>
      <c r="I197" s="116">
        <v>0</v>
      </c>
      <c r="J197" s="116">
        <v>0</v>
      </c>
      <c r="K197" s="116">
        <v>0</v>
      </c>
      <c r="L197" s="116">
        <v>2</v>
      </c>
      <c r="M197" s="116">
        <v>1</v>
      </c>
      <c r="N197" s="116">
        <v>0</v>
      </c>
      <c r="O197" s="116">
        <v>8</v>
      </c>
      <c r="P197" s="116">
        <v>2</v>
      </c>
      <c r="Q197" s="116">
        <v>0</v>
      </c>
      <c r="R197" s="116">
        <v>0</v>
      </c>
      <c r="S197" s="116">
        <v>0</v>
      </c>
      <c r="T197" s="116">
        <v>0</v>
      </c>
      <c r="U197" s="116">
        <v>0</v>
      </c>
      <c r="V197" s="116">
        <v>0</v>
      </c>
      <c r="W197" s="116">
        <v>0</v>
      </c>
    </row>
    <row r="198" spans="1:23">
      <c r="A198" s="76" t="s">
        <v>641</v>
      </c>
      <c r="B198" s="76" t="s">
        <v>642</v>
      </c>
      <c r="C198" s="77" t="s">
        <v>940</v>
      </c>
      <c r="D198" s="57">
        <f t="shared" si="16"/>
        <v>0</v>
      </c>
      <c r="E198" s="57">
        <f t="shared" si="17"/>
        <v>0</v>
      </c>
      <c r="F198" s="57">
        <f t="shared" si="18"/>
        <v>0</v>
      </c>
      <c r="G198" s="57">
        <f t="shared" si="19"/>
        <v>0</v>
      </c>
      <c r="H198" s="57">
        <f t="shared" si="20"/>
        <v>0</v>
      </c>
      <c r="I198" s="116">
        <v>0</v>
      </c>
      <c r="J198" s="116">
        <v>0</v>
      </c>
      <c r="K198" s="116">
        <v>0</v>
      </c>
      <c r="L198" s="116">
        <v>0</v>
      </c>
      <c r="M198" s="116">
        <v>0</v>
      </c>
      <c r="N198" s="116">
        <v>0</v>
      </c>
      <c r="O198" s="116">
        <v>0</v>
      </c>
      <c r="P198" s="116">
        <v>0</v>
      </c>
      <c r="Q198" s="116">
        <v>0</v>
      </c>
      <c r="R198" s="116">
        <v>0</v>
      </c>
      <c r="S198" s="116">
        <v>0</v>
      </c>
      <c r="T198" s="116">
        <v>0</v>
      </c>
      <c r="U198" s="116">
        <v>0</v>
      </c>
      <c r="V198" s="116">
        <v>0</v>
      </c>
      <c r="W198" s="116">
        <v>0</v>
      </c>
    </row>
    <row r="199" spans="1:23">
      <c r="A199" s="76" t="s">
        <v>130</v>
      </c>
      <c r="B199" s="76" t="s">
        <v>131</v>
      </c>
      <c r="C199" s="77" t="s">
        <v>940</v>
      </c>
      <c r="D199" s="57">
        <f t="shared" si="16"/>
        <v>0</v>
      </c>
      <c r="E199" s="57">
        <f t="shared" si="17"/>
        <v>7</v>
      </c>
      <c r="F199" s="57">
        <f t="shared" si="18"/>
        <v>0</v>
      </c>
      <c r="G199" s="57">
        <f t="shared" si="19"/>
        <v>12</v>
      </c>
      <c r="H199" s="57">
        <f t="shared" si="20"/>
        <v>0</v>
      </c>
      <c r="I199" s="116">
        <v>0</v>
      </c>
      <c r="J199" s="116">
        <v>0</v>
      </c>
      <c r="K199" s="116">
        <v>0</v>
      </c>
      <c r="L199" s="116">
        <v>3</v>
      </c>
      <c r="M199" s="116">
        <v>4</v>
      </c>
      <c r="N199" s="116">
        <v>0</v>
      </c>
      <c r="O199" s="116">
        <v>0</v>
      </c>
      <c r="P199" s="116">
        <v>0</v>
      </c>
      <c r="Q199" s="116">
        <v>0</v>
      </c>
      <c r="R199" s="116">
        <v>11</v>
      </c>
      <c r="S199" s="116">
        <v>1</v>
      </c>
      <c r="T199" s="116">
        <v>0</v>
      </c>
      <c r="U199" s="116">
        <v>0</v>
      </c>
      <c r="V199" s="116">
        <v>0</v>
      </c>
      <c r="W199" s="116">
        <v>0</v>
      </c>
    </row>
    <row r="200" spans="1:23">
      <c r="A200" s="76" t="s">
        <v>323</v>
      </c>
      <c r="B200" s="76" t="s">
        <v>324</v>
      </c>
      <c r="C200" s="77" t="s">
        <v>940</v>
      </c>
      <c r="D200" s="57">
        <f t="shared" si="16"/>
        <v>1</v>
      </c>
      <c r="E200" s="57">
        <f t="shared" si="17"/>
        <v>6</v>
      </c>
      <c r="F200" s="57">
        <f t="shared" si="18"/>
        <v>7</v>
      </c>
      <c r="G200" s="57">
        <f t="shared" si="19"/>
        <v>0</v>
      </c>
      <c r="H200" s="57">
        <f t="shared" si="20"/>
        <v>5</v>
      </c>
      <c r="I200" s="116">
        <v>0</v>
      </c>
      <c r="J200" s="116">
        <v>1</v>
      </c>
      <c r="K200" s="116">
        <v>0</v>
      </c>
      <c r="L200" s="116">
        <v>3</v>
      </c>
      <c r="M200" s="116">
        <v>3</v>
      </c>
      <c r="N200" s="116">
        <v>0</v>
      </c>
      <c r="O200" s="116">
        <v>5</v>
      </c>
      <c r="P200" s="116">
        <v>0</v>
      </c>
      <c r="Q200" s="116">
        <v>2</v>
      </c>
      <c r="R200" s="116">
        <v>0</v>
      </c>
      <c r="S200" s="116">
        <v>0</v>
      </c>
      <c r="T200" s="116">
        <v>0</v>
      </c>
      <c r="U200" s="116">
        <v>2</v>
      </c>
      <c r="V200" s="116">
        <v>2</v>
      </c>
      <c r="W200" s="116">
        <v>1</v>
      </c>
    </row>
    <row r="201" spans="1:23">
      <c r="A201" s="76" t="s">
        <v>649</v>
      </c>
      <c r="B201" s="76" t="s">
        <v>650</v>
      </c>
      <c r="C201" s="77" t="s">
        <v>940</v>
      </c>
      <c r="D201" s="57">
        <f t="shared" si="16"/>
        <v>0</v>
      </c>
      <c r="E201" s="57">
        <f t="shared" si="17"/>
        <v>5</v>
      </c>
      <c r="F201" s="57">
        <f t="shared" si="18"/>
        <v>1</v>
      </c>
      <c r="G201" s="57">
        <f t="shared" si="19"/>
        <v>3</v>
      </c>
      <c r="H201" s="57">
        <f t="shared" si="20"/>
        <v>0</v>
      </c>
      <c r="I201" s="116">
        <v>0</v>
      </c>
      <c r="J201" s="116">
        <v>0</v>
      </c>
      <c r="K201" s="116">
        <v>0</v>
      </c>
      <c r="L201" s="116">
        <v>4</v>
      </c>
      <c r="M201" s="116">
        <v>1</v>
      </c>
      <c r="N201" s="116">
        <v>0</v>
      </c>
      <c r="O201" s="116">
        <v>0</v>
      </c>
      <c r="P201" s="116">
        <v>1</v>
      </c>
      <c r="Q201" s="116">
        <v>0</v>
      </c>
      <c r="R201" s="116">
        <v>0</v>
      </c>
      <c r="S201" s="116">
        <v>3</v>
      </c>
      <c r="T201" s="116">
        <v>0</v>
      </c>
      <c r="U201" s="116">
        <v>0</v>
      </c>
      <c r="V201" s="116">
        <v>0</v>
      </c>
      <c r="W201" s="116">
        <v>0</v>
      </c>
    </row>
    <row r="202" spans="1:23">
      <c r="A202" s="76" t="s">
        <v>326</v>
      </c>
      <c r="B202" s="76" t="s">
        <v>327</v>
      </c>
      <c r="C202" s="77" t="s">
        <v>940</v>
      </c>
      <c r="D202" s="57">
        <f t="shared" si="16"/>
        <v>0</v>
      </c>
      <c r="E202" s="57">
        <f t="shared" si="17"/>
        <v>5</v>
      </c>
      <c r="F202" s="57">
        <f t="shared" si="18"/>
        <v>20</v>
      </c>
      <c r="G202" s="57">
        <f t="shared" si="19"/>
        <v>0</v>
      </c>
      <c r="H202" s="57">
        <f t="shared" si="20"/>
        <v>0</v>
      </c>
      <c r="I202" s="116">
        <v>0</v>
      </c>
      <c r="J202" s="116">
        <v>0</v>
      </c>
      <c r="K202" s="116">
        <v>0</v>
      </c>
      <c r="L202" s="116">
        <v>4</v>
      </c>
      <c r="M202" s="116">
        <v>1</v>
      </c>
      <c r="N202" s="116">
        <v>0</v>
      </c>
      <c r="O202" s="116">
        <v>19</v>
      </c>
      <c r="P202" s="116">
        <v>1</v>
      </c>
      <c r="Q202" s="116">
        <v>0</v>
      </c>
      <c r="R202" s="116">
        <v>0</v>
      </c>
      <c r="S202" s="116">
        <v>0</v>
      </c>
      <c r="T202" s="116">
        <v>0</v>
      </c>
      <c r="U202" s="116">
        <v>0</v>
      </c>
      <c r="V202" s="116">
        <v>0</v>
      </c>
      <c r="W202" s="116">
        <v>0</v>
      </c>
    </row>
    <row r="203" spans="1:23">
      <c r="A203" s="76" t="s">
        <v>437</v>
      </c>
      <c r="B203" s="76" t="s">
        <v>438</v>
      </c>
      <c r="C203" s="77" t="s">
        <v>940</v>
      </c>
      <c r="D203" s="57">
        <f t="shared" si="16"/>
        <v>0</v>
      </c>
      <c r="E203" s="57">
        <f t="shared" si="17"/>
        <v>6</v>
      </c>
      <c r="F203" s="57">
        <f t="shared" si="18"/>
        <v>0</v>
      </c>
      <c r="G203" s="57">
        <f t="shared" si="19"/>
        <v>12</v>
      </c>
      <c r="H203" s="57">
        <f t="shared" si="20"/>
        <v>2</v>
      </c>
      <c r="I203" s="116">
        <v>0</v>
      </c>
      <c r="J203" s="116">
        <v>0</v>
      </c>
      <c r="K203" s="116">
        <v>0</v>
      </c>
      <c r="L203" s="116">
        <v>5</v>
      </c>
      <c r="M203" s="116">
        <v>1</v>
      </c>
      <c r="N203" s="116">
        <v>0</v>
      </c>
      <c r="O203" s="116">
        <v>0</v>
      </c>
      <c r="P203" s="116">
        <v>0</v>
      </c>
      <c r="Q203" s="116">
        <v>0</v>
      </c>
      <c r="R203" s="116">
        <v>6</v>
      </c>
      <c r="S203" s="116">
        <v>6</v>
      </c>
      <c r="T203" s="116">
        <v>0</v>
      </c>
      <c r="U203" s="116">
        <v>2</v>
      </c>
      <c r="V203" s="116">
        <v>0</v>
      </c>
      <c r="W203" s="116">
        <v>0</v>
      </c>
    </row>
    <row r="204" spans="1:23">
      <c r="A204" s="76" t="s">
        <v>575</v>
      </c>
      <c r="B204" s="76" t="s">
        <v>576</v>
      </c>
      <c r="C204" s="77" t="s">
        <v>940</v>
      </c>
      <c r="D204" s="57">
        <f t="shared" si="16"/>
        <v>0</v>
      </c>
      <c r="E204" s="57">
        <f t="shared" si="17"/>
        <v>0</v>
      </c>
      <c r="F204" s="57">
        <f t="shared" si="18"/>
        <v>5</v>
      </c>
      <c r="G204" s="57">
        <f t="shared" si="19"/>
        <v>0</v>
      </c>
      <c r="H204" s="57">
        <f t="shared" si="20"/>
        <v>0</v>
      </c>
      <c r="I204" s="116">
        <v>0</v>
      </c>
      <c r="J204" s="116">
        <v>0</v>
      </c>
      <c r="K204" s="116">
        <v>0</v>
      </c>
      <c r="L204" s="116">
        <v>0</v>
      </c>
      <c r="M204" s="116">
        <v>0</v>
      </c>
      <c r="N204" s="116">
        <v>0</v>
      </c>
      <c r="O204" s="116">
        <v>3</v>
      </c>
      <c r="P204" s="116">
        <v>2</v>
      </c>
      <c r="Q204" s="116">
        <v>0</v>
      </c>
      <c r="R204" s="116">
        <v>0</v>
      </c>
      <c r="S204" s="116">
        <v>0</v>
      </c>
      <c r="T204" s="116">
        <v>0</v>
      </c>
      <c r="U204" s="116">
        <v>0</v>
      </c>
      <c r="V204" s="116">
        <v>0</v>
      </c>
      <c r="W204" s="116">
        <v>0</v>
      </c>
    </row>
    <row r="205" spans="1:23">
      <c r="A205" s="76" t="s">
        <v>651</v>
      </c>
      <c r="B205" s="76" t="s">
        <v>652</v>
      </c>
      <c r="C205" s="77" t="s">
        <v>940</v>
      </c>
      <c r="D205" s="57">
        <f t="shared" si="16"/>
        <v>0</v>
      </c>
      <c r="E205" s="57">
        <f t="shared" si="17"/>
        <v>0</v>
      </c>
      <c r="F205" s="57">
        <f t="shared" si="18"/>
        <v>24</v>
      </c>
      <c r="G205" s="57">
        <f t="shared" si="19"/>
        <v>0</v>
      </c>
      <c r="H205" s="57">
        <f t="shared" si="20"/>
        <v>0</v>
      </c>
      <c r="I205" s="116">
        <v>0</v>
      </c>
      <c r="J205" s="116">
        <v>0</v>
      </c>
      <c r="K205" s="116">
        <v>0</v>
      </c>
      <c r="L205" s="116">
        <v>0</v>
      </c>
      <c r="M205" s="116">
        <v>0</v>
      </c>
      <c r="N205" s="116">
        <v>0</v>
      </c>
      <c r="O205" s="116">
        <v>17</v>
      </c>
      <c r="P205" s="116">
        <v>7</v>
      </c>
      <c r="Q205" s="116">
        <v>0</v>
      </c>
      <c r="R205" s="116">
        <v>0</v>
      </c>
      <c r="S205" s="116">
        <v>0</v>
      </c>
      <c r="T205" s="116">
        <v>0</v>
      </c>
      <c r="U205" s="116">
        <v>0</v>
      </c>
      <c r="V205" s="116">
        <v>0</v>
      </c>
      <c r="W205" s="116">
        <v>0</v>
      </c>
    </row>
    <row r="206" spans="1:23">
      <c r="A206" s="76" t="s">
        <v>341</v>
      </c>
      <c r="B206" s="76" t="s">
        <v>342</v>
      </c>
      <c r="C206" s="77" t="s">
        <v>940</v>
      </c>
      <c r="D206" s="57">
        <f t="shared" si="16"/>
        <v>0</v>
      </c>
      <c r="E206" s="57">
        <f t="shared" si="17"/>
        <v>0</v>
      </c>
      <c r="F206" s="57">
        <f t="shared" si="18"/>
        <v>14</v>
      </c>
      <c r="G206" s="57">
        <f t="shared" si="19"/>
        <v>0</v>
      </c>
      <c r="H206" s="57">
        <f t="shared" si="20"/>
        <v>0</v>
      </c>
      <c r="I206" s="116">
        <v>0</v>
      </c>
      <c r="J206" s="116">
        <v>0</v>
      </c>
      <c r="K206" s="116">
        <v>0</v>
      </c>
      <c r="L206" s="116">
        <v>0</v>
      </c>
      <c r="M206" s="116">
        <v>0</v>
      </c>
      <c r="N206" s="116">
        <v>0</v>
      </c>
      <c r="O206" s="116">
        <v>12</v>
      </c>
      <c r="P206" s="116">
        <v>2</v>
      </c>
      <c r="Q206" s="116">
        <v>0</v>
      </c>
      <c r="R206" s="116">
        <v>0</v>
      </c>
      <c r="S206" s="116">
        <v>0</v>
      </c>
      <c r="T206" s="116">
        <v>0</v>
      </c>
      <c r="U206" s="116">
        <v>0</v>
      </c>
      <c r="V206" s="116">
        <v>0</v>
      </c>
      <c r="W206" s="116">
        <v>0</v>
      </c>
    </row>
    <row r="207" spans="1:23">
      <c r="A207" s="76" t="s">
        <v>109</v>
      </c>
      <c r="B207" s="76" t="s">
        <v>110</v>
      </c>
      <c r="C207" s="77" t="s">
        <v>940</v>
      </c>
      <c r="D207" s="57">
        <f t="shared" si="16"/>
        <v>0</v>
      </c>
      <c r="E207" s="57">
        <f t="shared" si="17"/>
        <v>5</v>
      </c>
      <c r="F207" s="57">
        <f t="shared" si="18"/>
        <v>16</v>
      </c>
      <c r="G207" s="57">
        <f t="shared" si="19"/>
        <v>0</v>
      </c>
      <c r="H207" s="57">
        <f t="shared" si="20"/>
        <v>0</v>
      </c>
      <c r="I207" s="116">
        <v>0</v>
      </c>
      <c r="J207" s="116">
        <v>0</v>
      </c>
      <c r="K207" s="116">
        <v>0</v>
      </c>
      <c r="L207" s="116">
        <v>4</v>
      </c>
      <c r="M207" s="116">
        <v>1</v>
      </c>
      <c r="N207" s="116">
        <v>0</v>
      </c>
      <c r="O207" s="116">
        <v>15</v>
      </c>
      <c r="P207" s="116">
        <v>1</v>
      </c>
      <c r="Q207" s="116">
        <v>0</v>
      </c>
      <c r="R207" s="116">
        <v>0</v>
      </c>
      <c r="S207" s="116">
        <v>0</v>
      </c>
      <c r="T207" s="116">
        <v>0</v>
      </c>
      <c r="U207" s="116">
        <v>0</v>
      </c>
      <c r="V207" s="116">
        <v>0</v>
      </c>
      <c r="W207" s="116">
        <v>0</v>
      </c>
    </row>
    <row r="208" spans="1:23">
      <c r="A208" s="76" t="s">
        <v>449</v>
      </c>
      <c r="B208" s="76" t="s">
        <v>450</v>
      </c>
      <c r="C208" s="77" t="s">
        <v>940</v>
      </c>
      <c r="D208" s="57">
        <f t="shared" si="16"/>
        <v>0</v>
      </c>
      <c r="E208" s="57">
        <f t="shared" si="17"/>
        <v>1</v>
      </c>
      <c r="F208" s="57">
        <f t="shared" si="18"/>
        <v>20</v>
      </c>
      <c r="G208" s="57">
        <f t="shared" si="19"/>
        <v>0</v>
      </c>
      <c r="H208" s="57">
        <f t="shared" si="20"/>
        <v>0</v>
      </c>
      <c r="I208" s="116">
        <v>0</v>
      </c>
      <c r="J208" s="116">
        <v>0</v>
      </c>
      <c r="K208" s="116">
        <v>0</v>
      </c>
      <c r="L208" s="116">
        <v>0</v>
      </c>
      <c r="M208" s="116">
        <v>1</v>
      </c>
      <c r="N208" s="116">
        <v>0</v>
      </c>
      <c r="O208" s="116">
        <v>11</v>
      </c>
      <c r="P208" s="116">
        <v>4</v>
      </c>
      <c r="Q208" s="116">
        <v>5</v>
      </c>
      <c r="R208" s="116">
        <v>0</v>
      </c>
      <c r="S208" s="116">
        <v>0</v>
      </c>
      <c r="T208" s="116">
        <v>0</v>
      </c>
      <c r="U208" s="116">
        <v>0</v>
      </c>
      <c r="V208" s="116">
        <v>0</v>
      </c>
      <c r="W208" s="116">
        <v>0</v>
      </c>
    </row>
    <row r="209" spans="1:23">
      <c r="A209" s="76" t="s">
        <v>452</v>
      </c>
      <c r="B209" s="76" t="s">
        <v>453</v>
      </c>
      <c r="C209" s="77" t="s">
        <v>940</v>
      </c>
      <c r="D209" s="57">
        <f t="shared" si="16"/>
        <v>0</v>
      </c>
      <c r="E209" s="57">
        <f t="shared" si="17"/>
        <v>2</v>
      </c>
      <c r="F209" s="57">
        <f t="shared" si="18"/>
        <v>14</v>
      </c>
      <c r="G209" s="57">
        <f t="shared" si="19"/>
        <v>0</v>
      </c>
      <c r="H209" s="57">
        <f t="shared" si="20"/>
        <v>0</v>
      </c>
      <c r="I209" s="116">
        <v>0</v>
      </c>
      <c r="J209" s="116">
        <v>0</v>
      </c>
      <c r="K209" s="116">
        <v>0</v>
      </c>
      <c r="L209" s="116">
        <v>2</v>
      </c>
      <c r="M209" s="116">
        <v>0</v>
      </c>
      <c r="N209" s="116">
        <v>0</v>
      </c>
      <c r="O209" s="116">
        <v>9</v>
      </c>
      <c r="P209" s="116">
        <v>5</v>
      </c>
      <c r="Q209" s="116">
        <v>0</v>
      </c>
      <c r="R209" s="116">
        <v>0</v>
      </c>
      <c r="S209" s="116">
        <v>0</v>
      </c>
      <c r="T209" s="116">
        <v>0</v>
      </c>
      <c r="U209" s="116">
        <v>0</v>
      </c>
      <c r="V209" s="116">
        <v>0</v>
      </c>
      <c r="W209" s="116">
        <v>0</v>
      </c>
    </row>
    <row r="210" spans="1:23">
      <c r="A210" s="76" t="s">
        <v>572</v>
      </c>
      <c r="B210" s="76" t="s">
        <v>573</v>
      </c>
      <c r="C210" s="77" t="s">
        <v>940</v>
      </c>
      <c r="D210" s="57">
        <f t="shared" si="16"/>
        <v>0</v>
      </c>
      <c r="E210" s="57">
        <f t="shared" si="17"/>
        <v>0</v>
      </c>
      <c r="F210" s="57">
        <f t="shared" si="18"/>
        <v>22</v>
      </c>
      <c r="G210" s="57">
        <f t="shared" si="19"/>
        <v>0</v>
      </c>
      <c r="H210" s="57">
        <f t="shared" si="20"/>
        <v>0</v>
      </c>
      <c r="I210" s="116">
        <v>0</v>
      </c>
      <c r="J210" s="116">
        <v>0</v>
      </c>
      <c r="K210" s="116">
        <v>0</v>
      </c>
      <c r="L210" s="116">
        <v>0</v>
      </c>
      <c r="M210" s="116">
        <v>0</v>
      </c>
      <c r="N210" s="116">
        <v>0</v>
      </c>
      <c r="O210" s="116">
        <v>11</v>
      </c>
      <c r="P210" s="116">
        <v>11</v>
      </c>
      <c r="Q210" s="116">
        <v>0</v>
      </c>
      <c r="R210" s="116">
        <v>0</v>
      </c>
      <c r="S210" s="116">
        <v>0</v>
      </c>
      <c r="T210" s="116">
        <v>0</v>
      </c>
      <c r="U210" s="116">
        <v>0</v>
      </c>
      <c r="V210" s="116">
        <v>0</v>
      </c>
      <c r="W210" s="116">
        <v>0</v>
      </c>
    </row>
    <row r="211" spans="1:23">
      <c r="A211" s="76" t="s">
        <v>533</v>
      </c>
      <c r="B211" s="76" t="s">
        <v>534</v>
      </c>
      <c r="C211" s="77" t="s">
        <v>940</v>
      </c>
      <c r="D211" s="57">
        <f t="shared" si="16"/>
        <v>0</v>
      </c>
      <c r="E211" s="57">
        <f t="shared" si="17"/>
        <v>2</v>
      </c>
      <c r="F211" s="57">
        <f t="shared" si="18"/>
        <v>1</v>
      </c>
      <c r="G211" s="57">
        <f t="shared" si="19"/>
        <v>20</v>
      </c>
      <c r="H211" s="57">
        <f t="shared" si="20"/>
        <v>0</v>
      </c>
      <c r="I211" s="116">
        <v>0</v>
      </c>
      <c r="J211" s="116">
        <v>0</v>
      </c>
      <c r="K211" s="116">
        <v>0</v>
      </c>
      <c r="L211" s="116">
        <v>1</v>
      </c>
      <c r="M211" s="116">
        <v>0</v>
      </c>
      <c r="N211" s="116">
        <v>1</v>
      </c>
      <c r="O211" s="116">
        <v>0</v>
      </c>
      <c r="P211" s="116">
        <v>0</v>
      </c>
      <c r="Q211" s="116">
        <v>1</v>
      </c>
      <c r="R211" s="116">
        <v>11</v>
      </c>
      <c r="S211" s="116">
        <v>1</v>
      </c>
      <c r="T211" s="116">
        <v>8</v>
      </c>
      <c r="U211" s="116">
        <v>0</v>
      </c>
      <c r="V211" s="116">
        <v>0</v>
      </c>
      <c r="W211" s="116">
        <v>0</v>
      </c>
    </row>
    <row r="212" spans="1:23">
      <c r="A212" s="76" t="s">
        <v>536</v>
      </c>
      <c r="B212" s="76" t="s">
        <v>537</v>
      </c>
      <c r="C212" s="77" t="s">
        <v>940</v>
      </c>
      <c r="D212" s="57">
        <f t="shared" si="16"/>
        <v>0</v>
      </c>
      <c r="E212" s="57">
        <f t="shared" si="17"/>
        <v>13</v>
      </c>
      <c r="F212" s="57">
        <f t="shared" si="18"/>
        <v>4</v>
      </c>
      <c r="G212" s="57">
        <f t="shared" si="19"/>
        <v>0</v>
      </c>
      <c r="H212" s="57">
        <f t="shared" si="20"/>
        <v>0</v>
      </c>
      <c r="I212" s="116">
        <v>0</v>
      </c>
      <c r="J212" s="116">
        <v>0</v>
      </c>
      <c r="K212" s="116">
        <v>0</v>
      </c>
      <c r="L212" s="116">
        <v>12</v>
      </c>
      <c r="M212" s="116">
        <v>1</v>
      </c>
      <c r="N212" s="116">
        <v>0</v>
      </c>
      <c r="O212" s="116">
        <v>3</v>
      </c>
      <c r="P212" s="116">
        <v>1</v>
      </c>
      <c r="Q212" s="116">
        <v>0</v>
      </c>
      <c r="R212" s="116">
        <v>0</v>
      </c>
      <c r="S212" s="116">
        <v>0</v>
      </c>
      <c r="T212" s="116">
        <v>0</v>
      </c>
      <c r="U212" s="116">
        <v>0</v>
      </c>
      <c r="V212" s="116">
        <v>0</v>
      </c>
      <c r="W212" s="116">
        <v>0</v>
      </c>
    </row>
    <row r="213" spans="1:23">
      <c r="A213" s="76" t="s">
        <v>467</v>
      </c>
      <c r="B213" s="76" t="s">
        <v>468</v>
      </c>
      <c r="C213" s="77" t="s">
        <v>940</v>
      </c>
      <c r="D213" s="57">
        <f t="shared" si="16"/>
        <v>0</v>
      </c>
      <c r="E213" s="57">
        <f t="shared" si="17"/>
        <v>2</v>
      </c>
      <c r="F213" s="57">
        <f t="shared" si="18"/>
        <v>13</v>
      </c>
      <c r="G213" s="57">
        <f t="shared" si="19"/>
        <v>0</v>
      </c>
      <c r="H213" s="57">
        <f t="shared" si="20"/>
        <v>0</v>
      </c>
      <c r="I213" s="116">
        <v>0</v>
      </c>
      <c r="J213" s="116">
        <v>0</v>
      </c>
      <c r="K213" s="116">
        <v>0</v>
      </c>
      <c r="L213" s="116">
        <v>1</v>
      </c>
      <c r="M213" s="116">
        <v>1</v>
      </c>
      <c r="N213" s="116">
        <v>0</v>
      </c>
      <c r="O213" s="116">
        <v>10</v>
      </c>
      <c r="P213" s="116">
        <v>3</v>
      </c>
      <c r="Q213" s="116">
        <v>0</v>
      </c>
      <c r="R213" s="116">
        <v>0</v>
      </c>
      <c r="S213" s="116">
        <v>0</v>
      </c>
      <c r="T213" s="116">
        <v>0</v>
      </c>
      <c r="U213" s="116">
        <v>0</v>
      </c>
      <c r="V213" s="116">
        <v>0</v>
      </c>
      <c r="W213" s="116">
        <v>0</v>
      </c>
    </row>
    <row r="214" spans="1:23">
      <c r="A214" s="76" t="s">
        <v>545</v>
      </c>
      <c r="B214" s="76" t="s">
        <v>546</v>
      </c>
      <c r="C214" s="77" t="s">
        <v>940</v>
      </c>
      <c r="D214" s="57">
        <f t="shared" si="16"/>
        <v>0</v>
      </c>
      <c r="E214" s="57">
        <f t="shared" si="17"/>
        <v>0</v>
      </c>
      <c r="F214" s="57">
        <f t="shared" si="18"/>
        <v>11</v>
      </c>
      <c r="G214" s="57">
        <f t="shared" si="19"/>
        <v>0</v>
      </c>
      <c r="H214" s="57">
        <f t="shared" si="20"/>
        <v>0</v>
      </c>
      <c r="I214" s="116">
        <v>0</v>
      </c>
      <c r="J214" s="116">
        <v>0</v>
      </c>
      <c r="K214" s="116">
        <v>0</v>
      </c>
      <c r="L214" s="116">
        <v>0</v>
      </c>
      <c r="M214" s="116">
        <v>0</v>
      </c>
      <c r="N214" s="116">
        <v>0</v>
      </c>
      <c r="O214" s="116">
        <v>11</v>
      </c>
      <c r="P214" s="116">
        <v>0</v>
      </c>
      <c r="Q214" s="116">
        <v>0</v>
      </c>
      <c r="R214" s="116">
        <v>0</v>
      </c>
      <c r="S214" s="116">
        <v>0</v>
      </c>
      <c r="T214" s="116">
        <v>0</v>
      </c>
      <c r="U214" s="116">
        <v>0</v>
      </c>
      <c r="V214" s="116">
        <v>0</v>
      </c>
      <c r="W214" s="116">
        <v>0</v>
      </c>
    </row>
    <row r="215" spans="1:23">
      <c r="A215" s="76" t="s">
        <v>470</v>
      </c>
      <c r="B215" s="76" t="s">
        <v>471</v>
      </c>
      <c r="C215" s="77" t="s">
        <v>940</v>
      </c>
      <c r="D215" s="57">
        <f t="shared" si="16"/>
        <v>1</v>
      </c>
      <c r="E215" s="57">
        <f t="shared" si="17"/>
        <v>0</v>
      </c>
      <c r="F215" s="57">
        <f t="shared" si="18"/>
        <v>0</v>
      </c>
      <c r="G215" s="57">
        <f t="shared" si="19"/>
        <v>15</v>
      </c>
      <c r="H215" s="57">
        <f t="shared" si="20"/>
        <v>0</v>
      </c>
      <c r="I215" s="116">
        <v>1</v>
      </c>
      <c r="J215" s="116">
        <v>0</v>
      </c>
      <c r="K215" s="116">
        <v>0</v>
      </c>
      <c r="L215" s="116">
        <v>0</v>
      </c>
      <c r="M215" s="116">
        <v>0</v>
      </c>
      <c r="N215" s="116">
        <v>0</v>
      </c>
      <c r="O215" s="116">
        <v>0</v>
      </c>
      <c r="P215" s="116">
        <v>0</v>
      </c>
      <c r="Q215" s="116">
        <v>0</v>
      </c>
      <c r="R215" s="116">
        <v>9</v>
      </c>
      <c r="S215" s="116">
        <v>6</v>
      </c>
      <c r="T215" s="116">
        <v>0</v>
      </c>
      <c r="U215" s="116">
        <v>0</v>
      </c>
      <c r="V215" s="116">
        <v>0</v>
      </c>
      <c r="W215" s="116">
        <v>0</v>
      </c>
    </row>
    <row r="216" spans="1:23">
      <c r="A216" s="76" t="s">
        <v>554</v>
      </c>
      <c r="B216" s="76" t="s">
        <v>555</v>
      </c>
      <c r="C216" s="77" t="s">
        <v>940</v>
      </c>
      <c r="D216" s="57">
        <f t="shared" si="16"/>
        <v>0</v>
      </c>
      <c r="E216" s="57">
        <f t="shared" si="17"/>
        <v>5</v>
      </c>
      <c r="F216" s="57">
        <f t="shared" si="18"/>
        <v>13</v>
      </c>
      <c r="G216" s="57">
        <f t="shared" si="19"/>
        <v>0</v>
      </c>
      <c r="H216" s="57">
        <f t="shared" si="20"/>
        <v>0</v>
      </c>
      <c r="I216" s="116">
        <v>0</v>
      </c>
      <c r="J216" s="116">
        <v>0</v>
      </c>
      <c r="K216" s="116">
        <v>0</v>
      </c>
      <c r="L216" s="116">
        <v>3</v>
      </c>
      <c r="M216" s="116">
        <v>2</v>
      </c>
      <c r="N216" s="116">
        <v>0</v>
      </c>
      <c r="O216" s="116">
        <v>11</v>
      </c>
      <c r="P216" s="116">
        <v>2</v>
      </c>
      <c r="Q216" s="116">
        <v>0</v>
      </c>
      <c r="R216" s="116">
        <v>0</v>
      </c>
      <c r="S216" s="116">
        <v>0</v>
      </c>
      <c r="T216" s="116">
        <v>0</v>
      </c>
      <c r="U216" s="116">
        <v>0</v>
      </c>
      <c r="V216" s="116">
        <v>0</v>
      </c>
      <c r="W216" s="116">
        <v>0</v>
      </c>
    </row>
    <row r="217" spans="1:23">
      <c r="A217" s="76" t="s">
        <v>693</v>
      </c>
      <c r="B217" s="76" t="s">
        <v>694</v>
      </c>
      <c r="C217" s="77" t="s">
        <v>940</v>
      </c>
      <c r="D217" s="57">
        <f t="shared" si="16"/>
        <v>0</v>
      </c>
      <c r="E217" s="57">
        <f t="shared" si="17"/>
        <v>7</v>
      </c>
      <c r="F217" s="57">
        <f t="shared" si="18"/>
        <v>26</v>
      </c>
      <c r="G217" s="57">
        <f t="shared" si="19"/>
        <v>0</v>
      </c>
      <c r="H217" s="57">
        <f t="shared" si="20"/>
        <v>0</v>
      </c>
      <c r="I217" s="116">
        <v>0</v>
      </c>
      <c r="J217" s="116">
        <v>0</v>
      </c>
      <c r="K217" s="116">
        <v>0</v>
      </c>
      <c r="L217" s="116">
        <v>6</v>
      </c>
      <c r="M217" s="116">
        <v>1</v>
      </c>
      <c r="N217" s="116">
        <v>0</v>
      </c>
      <c r="O217" s="116">
        <v>24</v>
      </c>
      <c r="P217" s="116">
        <v>2</v>
      </c>
      <c r="Q217" s="116">
        <v>0</v>
      </c>
      <c r="R217" s="116">
        <v>0</v>
      </c>
      <c r="S217" s="116">
        <v>0</v>
      </c>
      <c r="T217" s="116">
        <v>0</v>
      </c>
      <c r="U217" s="116">
        <v>0</v>
      </c>
      <c r="V217" s="116">
        <v>0</v>
      </c>
      <c r="W217" s="116">
        <v>0</v>
      </c>
    </row>
    <row r="218" spans="1:23">
      <c r="A218" s="76" t="s">
        <v>709</v>
      </c>
      <c r="B218" s="76" t="s">
        <v>710</v>
      </c>
      <c r="C218" s="77" t="s">
        <v>940</v>
      </c>
      <c r="D218" s="57">
        <f t="shared" si="16"/>
        <v>0</v>
      </c>
      <c r="E218" s="57">
        <f t="shared" si="17"/>
        <v>0</v>
      </c>
      <c r="F218" s="57">
        <f t="shared" si="18"/>
        <v>0</v>
      </c>
      <c r="G218" s="57">
        <f t="shared" si="19"/>
        <v>0</v>
      </c>
      <c r="H218" s="57">
        <f t="shared" si="20"/>
        <v>4</v>
      </c>
      <c r="I218" s="116">
        <v>0</v>
      </c>
      <c r="J218" s="116">
        <v>0</v>
      </c>
      <c r="K218" s="116">
        <v>0</v>
      </c>
      <c r="L218" s="116">
        <v>0</v>
      </c>
      <c r="M218" s="116">
        <v>0</v>
      </c>
      <c r="N218" s="116">
        <v>0</v>
      </c>
      <c r="O218" s="116">
        <v>0</v>
      </c>
      <c r="P218" s="116">
        <v>0</v>
      </c>
      <c r="Q218" s="116">
        <v>0</v>
      </c>
      <c r="R218" s="116">
        <v>0</v>
      </c>
      <c r="S218" s="116">
        <v>0</v>
      </c>
      <c r="T218" s="116">
        <v>0</v>
      </c>
      <c r="U218" s="116">
        <v>3</v>
      </c>
      <c r="V218" s="116">
        <v>1</v>
      </c>
      <c r="W218" s="116">
        <v>0</v>
      </c>
    </row>
    <row r="219" spans="1:23">
      <c r="A219" s="76" t="s">
        <v>711</v>
      </c>
      <c r="B219" s="76" t="s">
        <v>712</v>
      </c>
      <c r="C219" s="77" t="s">
        <v>940</v>
      </c>
      <c r="D219" s="57">
        <f t="shared" si="16"/>
        <v>2</v>
      </c>
      <c r="E219" s="57">
        <f t="shared" si="17"/>
        <v>0</v>
      </c>
      <c r="F219" s="57">
        <f t="shared" si="18"/>
        <v>0</v>
      </c>
      <c r="G219" s="57">
        <f t="shared" si="19"/>
        <v>0</v>
      </c>
      <c r="H219" s="57">
        <f t="shared" si="20"/>
        <v>16</v>
      </c>
      <c r="I219" s="116">
        <v>1</v>
      </c>
      <c r="J219" s="116">
        <v>1</v>
      </c>
      <c r="K219" s="116">
        <v>0</v>
      </c>
      <c r="L219" s="116">
        <v>0</v>
      </c>
      <c r="M219" s="116">
        <v>0</v>
      </c>
      <c r="N219" s="116">
        <v>0</v>
      </c>
      <c r="O219" s="116">
        <v>0</v>
      </c>
      <c r="P219" s="116">
        <v>0</v>
      </c>
      <c r="Q219" s="116">
        <v>0</v>
      </c>
      <c r="R219" s="116">
        <v>0</v>
      </c>
      <c r="S219" s="116">
        <v>0</v>
      </c>
      <c r="T219" s="116">
        <v>0</v>
      </c>
      <c r="U219" s="116">
        <v>13</v>
      </c>
      <c r="V219" s="116">
        <v>3</v>
      </c>
      <c r="W219" s="116">
        <v>0</v>
      </c>
    </row>
    <row r="220" spans="1:23">
      <c r="A220" s="76" t="s">
        <v>485</v>
      </c>
      <c r="B220" s="76" t="s">
        <v>486</v>
      </c>
      <c r="C220" s="77" t="s">
        <v>940</v>
      </c>
      <c r="D220" s="57">
        <f t="shared" si="16"/>
        <v>1</v>
      </c>
      <c r="E220" s="57">
        <f t="shared" si="17"/>
        <v>0</v>
      </c>
      <c r="F220" s="57">
        <f t="shared" si="18"/>
        <v>13</v>
      </c>
      <c r="G220" s="57">
        <f t="shared" si="19"/>
        <v>0</v>
      </c>
      <c r="H220" s="57">
        <f t="shared" si="20"/>
        <v>0</v>
      </c>
      <c r="I220" s="116">
        <v>1</v>
      </c>
      <c r="J220" s="116">
        <v>0</v>
      </c>
      <c r="K220" s="116">
        <v>0</v>
      </c>
      <c r="L220" s="116">
        <v>0</v>
      </c>
      <c r="M220" s="116">
        <v>0</v>
      </c>
      <c r="N220" s="116">
        <v>0</v>
      </c>
      <c r="O220" s="116">
        <v>10</v>
      </c>
      <c r="P220" s="116">
        <v>3</v>
      </c>
      <c r="Q220" s="116">
        <v>0</v>
      </c>
      <c r="R220" s="116">
        <v>0</v>
      </c>
      <c r="S220" s="116">
        <v>0</v>
      </c>
      <c r="T220" s="116">
        <v>0</v>
      </c>
      <c r="U220" s="116">
        <v>0</v>
      </c>
      <c r="V220" s="116">
        <v>0</v>
      </c>
      <c r="W220" s="116">
        <v>0</v>
      </c>
    </row>
    <row r="221" spans="1:23">
      <c r="A221" s="76" t="s">
        <v>488</v>
      </c>
      <c r="B221" s="76" t="s">
        <v>489</v>
      </c>
      <c r="C221" s="77" t="s">
        <v>940</v>
      </c>
      <c r="D221" s="57">
        <f t="shared" si="16"/>
        <v>0</v>
      </c>
      <c r="E221" s="57">
        <f t="shared" si="17"/>
        <v>2</v>
      </c>
      <c r="F221" s="57">
        <f t="shared" si="18"/>
        <v>10</v>
      </c>
      <c r="G221" s="57">
        <f t="shared" si="19"/>
        <v>0</v>
      </c>
      <c r="H221" s="57">
        <f t="shared" si="20"/>
        <v>0</v>
      </c>
      <c r="I221" s="116">
        <v>0</v>
      </c>
      <c r="J221" s="116">
        <v>0</v>
      </c>
      <c r="K221" s="116">
        <v>0</v>
      </c>
      <c r="L221" s="116">
        <v>1</v>
      </c>
      <c r="M221" s="116">
        <v>1</v>
      </c>
      <c r="N221" s="116">
        <v>0</v>
      </c>
      <c r="O221" s="116">
        <v>9</v>
      </c>
      <c r="P221" s="116">
        <v>1</v>
      </c>
      <c r="Q221" s="116">
        <v>0</v>
      </c>
      <c r="R221" s="116">
        <v>0</v>
      </c>
      <c r="S221" s="116">
        <v>0</v>
      </c>
      <c r="T221" s="116">
        <v>0</v>
      </c>
      <c r="U221" s="116">
        <v>0</v>
      </c>
      <c r="V221" s="116">
        <v>0</v>
      </c>
      <c r="W221" s="116">
        <v>0</v>
      </c>
    </row>
    <row r="222" spans="1:23">
      <c r="A222" s="76" t="s">
        <v>717</v>
      </c>
      <c r="B222" s="76" t="s">
        <v>718</v>
      </c>
      <c r="C222" s="77" t="s">
        <v>940</v>
      </c>
      <c r="D222" s="57">
        <f t="shared" si="16"/>
        <v>0</v>
      </c>
      <c r="E222" s="57">
        <f t="shared" si="17"/>
        <v>3</v>
      </c>
      <c r="F222" s="57">
        <f t="shared" si="18"/>
        <v>6</v>
      </c>
      <c r="G222" s="57">
        <f t="shared" si="19"/>
        <v>0</v>
      </c>
      <c r="H222" s="57">
        <f t="shared" si="20"/>
        <v>0</v>
      </c>
      <c r="I222" s="116">
        <v>0</v>
      </c>
      <c r="J222" s="116">
        <v>0</v>
      </c>
      <c r="K222" s="116">
        <v>0</v>
      </c>
      <c r="L222" s="116">
        <v>3</v>
      </c>
      <c r="M222" s="116">
        <v>0</v>
      </c>
      <c r="N222" s="116">
        <v>0</v>
      </c>
      <c r="O222" s="116">
        <v>3</v>
      </c>
      <c r="P222" s="116">
        <v>3</v>
      </c>
      <c r="Q222" s="116">
        <v>0</v>
      </c>
      <c r="R222" s="116">
        <v>0</v>
      </c>
      <c r="S222" s="116">
        <v>0</v>
      </c>
      <c r="T222" s="116">
        <v>0</v>
      </c>
      <c r="U222" s="116">
        <v>0</v>
      </c>
      <c r="V222" s="116">
        <v>0</v>
      </c>
      <c r="W222" s="116">
        <v>0</v>
      </c>
    </row>
    <row r="223" spans="1:23">
      <c r="A223" s="76" t="s">
        <v>365</v>
      </c>
      <c r="B223" s="76" t="s">
        <v>366</v>
      </c>
      <c r="C223" s="77" t="s">
        <v>940</v>
      </c>
      <c r="D223" s="57">
        <f t="shared" si="16"/>
        <v>0</v>
      </c>
      <c r="E223" s="57">
        <f t="shared" si="17"/>
        <v>0</v>
      </c>
      <c r="F223" s="57">
        <f t="shared" si="18"/>
        <v>0</v>
      </c>
      <c r="G223" s="57">
        <f t="shared" si="19"/>
        <v>18</v>
      </c>
      <c r="H223" s="57">
        <f t="shared" si="20"/>
        <v>0</v>
      </c>
      <c r="I223" s="116">
        <v>0</v>
      </c>
      <c r="J223" s="116">
        <v>0</v>
      </c>
      <c r="K223" s="116">
        <v>0</v>
      </c>
      <c r="L223" s="116">
        <v>0</v>
      </c>
      <c r="M223" s="116">
        <v>0</v>
      </c>
      <c r="N223" s="116">
        <v>0</v>
      </c>
      <c r="O223" s="116">
        <v>0</v>
      </c>
      <c r="P223" s="116">
        <v>0</v>
      </c>
      <c r="Q223" s="116">
        <v>0</v>
      </c>
      <c r="R223" s="116">
        <v>15</v>
      </c>
      <c r="S223" s="116">
        <v>3</v>
      </c>
      <c r="T223" s="116">
        <v>0</v>
      </c>
      <c r="U223" s="116">
        <v>0</v>
      </c>
      <c r="V223" s="116">
        <v>0</v>
      </c>
      <c r="W223" s="116">
        <v>0</v>
      </c>
    </row>
    <row r="224" spans="1:23">
      <c r="A224" s="76" t="s">
        <v>725</v>
      </c>
      <c r="B224" s="76" t="s">
        <v>726</v>
      </c>
      <c r="C224" s="77" t="s">
        <v>940</v>
      </c>
      <c r="D224" s="57">
        <f t="shared" si="16"/>
        <v>0</v>
      </c>
      <c r="E224" s="57">
        <f t="shared" si="17"/>
        <v>0</v>
      </c>
      <c r="F224" s="57">
        <f t="shared" si="18"/>
        <v>14</v>
      </c>
      <c r="G224" s="57">
        <f t="shared" si="19"/>
        <v>0</v>
      </c>
      <c r="H224" s="57">
        <f t="shared" si="20"/>
        <v>0</v>
      </c>
      <c r="I224" s="116">
        <v>0</v>
      </c>
      <c r="J224" s="116">
        <v>0</v>
      </c>
      <c r="K224" s="116">
        <v>0</v>
      </c>
      <c r="L224" s="116">
        <v>0</v>
      </c>
      <c r="M224" s="116">
        <v>0</v>
      </c>
      <c r="N224" s="116">
        <v>0</v>
      </c>
      <c r="O224" s="116">
        <v>8</v>
      </c>
      <c r="P224" s="116">
        <v>6</v>
      </c>
      <c r="Q224" s="116">
        <v>0</v>
      </c>
      <c r="R224" s="116">
        <v>0</v>
      </c>
      <c r="S224" s="116">
        <v>0</v>
      </c>
      <c r="T224" s="116">
        <v>0</v>
      </c>
      <c r="U224" s="116">
        <v>0</v>
      </c>
      <c r="V224" s="116">
        <v>0</v>
      </c>
      <c r="W224" s="116">
        <v>0</v>
      </c>
    </row>
    <row r="225" spans="1:23">
      <c r="A225" s="76" t="s">
        <v>51</v>
      </c>
      <c r="B225" s="76" t="s">
        <v>52</v>
      </c>
      <c r="C225" s="77" t="s">
        <v>940</v>
      </c>
      <c r="D225" s="57">
        <f t="shared" si="16"/>
        <v>0</v>
      </c>
      <c r="E225" s="57">
        <f t="shared" si="17"/>
        <v>0</v>
      </c>
      <c r="F225" s="57">
        <f t="shared" si="18"/>
        <v>0</v>
      </c>
      <c r="G225" s="57">
        <f t="shared" si="19"/>
        <v>16</v>
      </c>
      <c r="H225" s="57">
        <f t="shared" si="20"/>
        <v>0</v>
      </c>
      <c r="I225" s="116">
        <v>0</v>
      </c>
      <c r="J225" s="116">
        <v>0</v>
      </c>
      <c r="K225" s="116">
        <v>0</v>
      </c>
      <c r="L225" s="116">
        <v>0</v>
      </c>
      <c r="M225" s="116">
        <v>0</v>
      </c>
      <c r="N225" s="116">
        <v>0</v>
      </c>
      <c r="O225" s="116">
        <v>0</v>
      </c>
      <c r="P225" s="116">
        <v>0</v>
      </c>
      <c r="Q225" s="116">
        <v>0</v>
      </c>
      <c r="R225" s="116">
        <v>13</v>
      </c>
      <c r="S225" s="116">
        <v>3</v>
      </c>
      <c r="T225" s="116">
        <v>0</v>
      </c>
      <c r="U225" s="116">
        <v>0</v>
      </c>
      <c r="V225" s="116">
        <v>0</v>
      </c>
      <c r="W225" s="116">
        <v>0</v>
      </c>
    </row>
    <row r="226" spans="1:23">
      <c r="A226" s="76" t="s">
        <v>368</v>
      </c>
      <c r="B226" s="76" t="s">
        <v>369</v>
      </c>
      <c r="C226" s="77" t="s">
        <v>940</v>
      </c>
      <c r="D226" s="57">
        <f t="shared" si="16"/>
        <v>0</v>
      </c>
      <c r="E226" s="57">
        <f t="shared" si="17"/>
        <v>0</v>
      </c>
      <c r="F226" s="57">
        <f t="shared" si="18"/>
        <v>15</v>
      </c>
      <c r="G226" s="57">
        <f t="shared" si="19"/>
        <v>1</v>
      </c>
      <c r="H226" s="57">
        <f t="shared" si="20"/>
        <v>0</v>
      </c>
      <c r="I226" s="116">
        <v>0</v>
      </c>
      <c r="J226" s="116">
        <v>0</v>
      </c>
      <c r="K226" s="116">
        <v>0</v>
      </c>
      <c r="L226" s="116">
        <v>0</v>
      </c>
      <c r="M226" s="116">
        <v>0</v>
      </c>
      <c r="N226" s="116">
        <v>0</v>
      </c>
      <c r="O226" s="116">
        <v>12</v>
      </c>
      <c r="P226" s="116">
        <v>3</v>
      </c>
      <c r="Q226" s="116">
        <v>0</v>
      </c>
      <c r="R226" s="116">
        <v>1</v>
      </c>
      <c r="S226" s="116">
        <v>0</v>
      </c>
      <c r="T226" s="116">
        <v>0</v>
      </c>
      <c r="U226" s="116">
        <v>0</v>
      </c>
      <c r="V226" s="116">
        <v>0</v>
      </c>
      <c r="W226" s="116">
        <v>0</v>
      </c>
    </row>
    <row r="227" spans="1:23">
      <c r="A227" s="76" t="s">
        <v>737</v>
      </c>
      <c r="B227" s="76" t="s">
        <v>738</v>
      </c>
      <c r="C227" s="77" t="s">
        <v>940</v>
      </c>
      <c r="D227" s="57">
        <f t="shared" si="16"/>
        <v>0</v>
      </c>
      <c r="E227" s="57">
        <f t="shared" si="17"/>
        <v>7</v>
      </c>
      <c r="F227" s="57">
        <f t="shared" si="18"/>
        <v>0</v>
      </c>
      <c r="G227" s="57">
        <f t="shared" si="19"/>
        <v>0</v>
      </c>
      <c r="H227" s="57">
        <f t="shared" si="20"/>
        <v>10</v>
      </c>
      <c r="I227" s="116">
        <v>0</v>
      </c>
      <c r="J227" s="116">
        <v>0</v>
      </c>
      <c r="K227" s="116">
        <v>0</v>
      </c>
      <c r="L227" s="116">
        <v>5</v>
      </c>
      <c r="M227" s="116">
        <v>2</v>
      </c>
      <c r="N227" s="116">
        <v>0</v>
      </c>
      <c r="O227" s="116">
        <v>0</v>
      </c>
      <c r="P227" s="116">
        <v>0</v>
      </c>
      <c r="Q227" s="116">
        <v>0</v>
      </c>
      <c r="R227" s="116">
        <v>0</v>
      </c>
      <c r="S227" s="116">
        <v>0</v>
      </c>
      <c r="T227" s="116">
        <v>0</v>
      </c>
      <c r="U227" s="116">
        <v>8</v>
      </c>
      <c r="V227" s="116">
        <v>2</v>
      </c>
      <c r="W227" s="116">
        <v>0</v>
      </c>
    </row>
    <row r="228" spans="1:23">
      <c r="A228" s="76" t="s">
        <v>739</v>
      </c>
      <c r="B228" s="76" t="s">
        <v>740</v>
      </c>
      <c r="C228" s="77" t="s">
        <v>940</v>
      </c>
      <c r="D228" s="57">
        <f t="shared" si="16"/>
        <v>0</v>
      </c>
      <c r="E228" s="57">
        <f t="shared" si="17"/>
        <v>4</v>
      </c>
      <c r="F228" s="57">
        <f t="shared" si="18"/>
        <v>11</v>
      </c>
      <c r="G228" s="57">
        <f t="shared" si="19"/>
        <v>0</v>
      </c>
      <c r="H228" s="57">
        <f t="shared" si="20"/>
        <v>0</v>
      </c>
      <c r="I228" s="116">
        <v>0</v>
      </c>
      <c r="J228" s="116">
        <v>0</v>
      </c>
      <c r="K228" s="116">
        <v>0</v>
      </c>
      <c r="L228" s="116">
        <v>2</v>
      </c>
      <c r="M228" s="116">
        <v>2</v>
      </c>
      <c r="N228" s="116">
        <v>0</v>
      </c>
      <c r="O228" s="116">
        <v>7</v>
      </c>
      <c r="P228" s="116">
        <v>4</v>
      </c>
      <c r="Q228" s="116">
        <v>0</v>
      </c>
      <c r="R228" s="116">
        <v>0</v>
      </c>
      <c r="S228" s="116">
        <v>0</v>
      </c>
      <c r="T228" s="116">
        <v>0</v>
      </c>
      <c r="U228" s="116">
        <v>0</v>
      </c>
      <c r="V228" s="116">
        <v>0</v>
      </c>
      <c r="W228" s="116">
        <v>0</v>
      </c>
    </row>
    <row r="229" spans="1:23">
      <c r="A229" s="76" t="s">
        <v>747</v>
      </c>
      <c r="B229" s="76" t="s">
        <v>748</v>
      </c>
      <c r="C229" s="77" t="s">
        <v>940</v>
      </c>
      <c r="D229" s="57">
        <f t="shared" si="16"/>
        <v>0</v>
      </c>
      <c r="E229" s="57">
        <f t="shared" si="17"/>
        <v>0</v>
      </c>
      <c r="F229" s="57">
        <f t="shared" si="18"/>
        <v>20</v>
      </c>
      <c r="G229" s="57">
        <f t="shared" si="19"/>
        <v>0</v>
      </c>
      <c r="H229" s="57">
        <f t="shared" si="20"/>
        <v>0</v>
      </c>
      <c r="I229" s="116">
        <v>0</v>
      </c>
      <c r="J229" s="116">
        <v>0</v>
      </c>
      <c r="K229" s="116">
        <v>0</v>
      </c>
      <c r="L229" s="116">
        <v>0</v>
      </c>
      <c r="M229" s="116">
        <v>0</v>
      </c>
      <c r="N229" s="116">
        <v>0</v>
      </c>
      <c r="O229" s="116">
        <v>11</v>
      </c>
      <c r="P229" s="116">
        <v>9</v>
      </c>
      <c r="Q229" s="116">
        <v>0</v>
      </c>
      <c r="R229" s="116">
        <v>0</v>
      </c>
      <c r="S229" s="116">
        <v>0</v>
      </c>
      <c r="T229" s="116">
        <v>0</v>
      </c>
      <c r="U229" s="116">
        <v>0</v>
      </c>
      <c r="V229" s="116">
        <v>0</v>
      </c>
      <c r="W229" s="116">
        <v>0</v>
      </c>
    </row>
    <row r="230" spans="1:23">
      <c r="A230" s="76" t="s">
        <v>539</v>
      </c>
      <c r="B230" s="76" t="s">
        <v>540</v>
      </c>
      <c r="C230" s="77" t="s">
        <v>940</v>
      </c>
      <c r="D230" s="57">
        <f t="shared" si="16"/>
        <v>0</v>
      </c>
      <c r="E230" s="57">
        <f t="shared" si="17"/>
        <v>1</v>
      </c>
      <c r="F230" s="57">
        <f t="shared" si="18"/>
        <v>14</v>
      </c>
      <c r="G230" s="57">
        <f t="shared" si="19"/>
        <v>0</v>
      </c>
      <c r="H230" s="57">
        <f t="shared" si="20"/>
        <v>0</v>
      </c>
      <c r="I230" s="116">
        <v>0</v>
      </c>
      <c r="J230" s="116">
        <v>0</v>
      </c>
      <c r="K230" s="116">
        <v>0</v>
      </c>
      <c r="L230" s="116">
        <v>1</v>
      </c>
      <c r="M230" s="116">
        <v>0</v>
      </c>
      <c r="N230" s="116">
        <v>0</v>
      </c>
      <c r="O230" s="116">
        <v>12</v>
      </c>
      <c r="P230" s="116">
        <v>2</v>
      </c>
      <c r="Q230" s="116">
        <v>0</v>
      </c>
      <c r="R230" s="116">
        <v>0</v>
      </c>
      <c r="S230" s="116">
        <v>0</v>
      </c>
      <c r="T230" s="116">
        <v>0</v>
      </c>
      <c r="U230" s="116">
        <v>0</v>
      </c>
      <c r="V230" s="116">
        <v>0</v>
      </c>
      <c r="W230" s="116">
        <v>0</v>
      </c>
    </row>
    <row r="231" spans="1:23">
      <c r="A231" s="76" t="s">
        <v>569</v>
      </c>
      <c r="B231" s="76" t="s">
        <v>570</v>
      </c>
      <c r="C231" s="77" t="s">
        <v>940</v>
      </c>
      <c r="D231" s="57">
        <f t="shared" si="16"/>
        <v>0</v>
      </c>
      <c r="E231" s="57">
        <f t="shared" si="17"/>
        <v>0</v>
      </c>
      <c r="F231" s="57">
        <f t="shared" si="18"/>
        <v>6</v>
      </c>
      <c r="G231" s="57">
        <f t="shared" si="19"/>
        <v>0</v>
      </c>
      <c r="H231" s="57">
        <f t="shared" si="20"/>
        <v>0</v>
      </c>
      <c r="I231" s="116">
        <v>0</v>
      </c>
      <c r="J231" s="116">
        <v>0</v>
      </c>
      <c r="K231" s="116">
        <v>0</v>
      </c>
      <c r="L231" s="116">
        <v>0</v>
      </c>
      <c r="M231" s="116">
        <v>0</v>
      </c>
      <c r="N231" s="116">
        <v>0</v>
      </c>
      <c r="O231" s="116">
        <v>4</v>
      </c>
      <c r="P231" s="116">
        <v>2</v>
      </c>
      <c r="Q231" s="116">
        <v>0</v>
      </c>
      <c r="R231" s="116">
        <v>0</v>
      </c>
      <c r="S231" s="116">
        <v>0</v>
      </c>
      <c r="T231" s="116">
        <v>0</v>
      </c>
      <c r="U231" s="116">
        <v>0</v>
      </c>
      <c r="V231" s="116">
        <v>0</v>
      </c>
      <c r="W231" s="116">
        <v>0</v>
      </c>
    </row>
    <row r="232" spans="1:23">
      <c r="A232" s="76" t="s">
        <v>759</v>
      </c>
      <c r="B232" s="76" t="s">
        <v>760</v>
      </c>
      <c r="C232" s="77" t="s">
        <v>940</v>
      </c>
      <c r="D232" s="57">
        <f t="shared" si="16"/>
        <v>0</v>
      </c>
      <c r="E232" s="57">
        <f t="shared" si="17"/>
        <v>3</v>
      </c>
      <c r="F232" s="57">
        <f t="shared" si="18"/>
        <v>10</v>
      </c>
      <c r="G232" s="57">
        <f t="shared" si="19"/>
        <v>0</v>
      </c>
      <c r="H232" s="57">
        <f t="shared" si="20"/>
        <v>0</v>
      </c>
      <c r="I232" s="116">
        <v>0</v>
      </c>
      <c r="J232" s="116">
        <v>0</v>
      </c>
      <c r="K232" s="116">
        <v>0</v>
      </c>
      <c r="L232" s="116">
        <v>2</v>
      </c>
      <c r="M232" s="116">
        <v>1</v>
      </c>
      <c r="N232" s="116">
        <v>0</v>
      </c>
      <c r="O232" s="116">
        <v>7</v>
      </c>
      <c r="P232" s="116">
        <v>3</v>
      </c>
      <c r="Q232" s="116">
        <v>0</v>
      </c>
      <c r="R232" s="116">
        <v>0</v>
      </c>
      <c r="S232" s="116">
        <v>0</v>
      </c>
      <c r="T232" s="116">
        <v>0</v>
      </c>
      <c r="U232" s="116">
        <v>0</v>
      </c>
      <c r="V232" s="116">
        <v>0</v>
      </c>
      <c r="W232" s="116">
        <v>0</v>
      </c>
    </row>
    <row r="233" spans="1:23">
      <c r="A233" s="76" t="s">
        <v>761</v>
      </c>
      <c r="B233" s="76" t="s">
        <v>762</v>
      </c>
      <c r="C233" s="77" t="s">
        <v>940</v>
      </c>
      <c r="D233" s="57">
        <f t="shared" si="16"/>
        <v>2</v>
      </c>
      <c r="E233" s="57">
        <f t="shared" si="17"/>
        <v>0</v>
      </c>
      <c r="F233" s="57">
        <f t="shared" si="18"/>
        <v>17</v>
      </c>
      <c r="G233" s="57">
        <f t="shared" si="19"/>
        <v>0</v>
      </c>
      <c r="H233" s="57">
        <f t="shared" si="20"/>
        <v>0</v>
      </c>
      <c r="I233" s="116">
        <v>1</v>
      </c>
      <c r="J233" s="116">
        <v>1</v>
      </c>
      <c r="K233" s="116">
        <v>0</v>
      </c>
      <c r="L233" s="116">
        <v>0</v>
      </c>
      <c r="M233" s="116">
        <v>0</v>
      </c>
      <c r="N233" s="116">
        <v>0</v>
      </c>
      <c r="O233" s="116">
        <v>13</v>
      </c>
      <c r="P233" s="116">
        <v>4</v>
      </c>
      <c r="Q233" s="116">
        <v>0</v>
      </c>
      <c r="R233" s="116">
        <v>0</v>
      </c>
      <c r="S233" s="116">
        <v>0</v>
      </c>
      <c r="T233" s="116">
        <v>0</v>
      </c>
      <c r="U233" s="116">
        <v>0</v>
      </c>
      <c r="V233" s="116">
        <v>0</v>
      </c>
      <c r="W233" s="116">
        <v>0</v>
      </c>
    </row>
    <row r="234" spans="1:23">
      <c r="A234" s="76" t="s">
        <v>371</v>
      </c>
      <c r="B234" s="76" t="s">
        <v>372</v>
      </c>
      <c r="C234" s="77" t="s">
        <v>940</v>
      </c>
      <c r="D234" s="57">
        <f t="shared" si="16"/>
        <v>0</v>
      </c>
      <c r="E234" s="57">
        <f t="shared" si="17"/>
        <v>0</v>
      </c>
      <c r="F234" s="57">
        <f t="shared" si="18"/>
        <v>0</v>
      </c>
      <c r="G234" s="57">
        <f t="shared" si="19"/>
        <v>15</v>
      </c>
      <c r="H234" s="57">
        <f t="shared" si="20"/>
        <v>0</v>
      </c>
      <c r="I234" s="116">
        <v>0</v>
      </c>
      <c r="J234" s="116">
        <v>0</v>
      </c>
      <c r="K234" s="116">
        <v>0</v>
      </c>
      <c r="L234" s="116">
        <v>0</v>
      </c>
      <c r="M234" s="116">
        <v>0</v>
      </c>
      <c r="N234" s="116">
        <v>0</v>
      </c>
      <c r="O234" s="116">
        <v>0</v>
      </c>
      <c r="P234" s="116">
        <v>0</v>
      </c>
      <c r="Q234" s="116">
        <v>0</v>
      </c>
      <c r="R234" s="116">
        <v>10</v>
      </c>
      <c r="S234" s="116">
        <v>5</v>
      </c>
      <c r="T234" s="116">
        <v>0</v>
      </c>
      <c r="U234" s="116">
        <v>0</v>
      </c>
      <c r="V234" s="116">
        <v>0</v>
      </c>
      <c r="W234" s="116">
        <v>0</v>
      </c>
    </row>
    <row r="235" spans="1:23">
      <c r="A235" s="76" t="s">
        <v>763</v>
      </c>
      <c r="B235" s="76" t="s">
        <v>764</v>
      </c>
      <c r="C235" s="77" t="s">
        <v>940</v>
      </c>
      <c r="D235" s="57">
        <f t="shared" si="16"/>
        <v>0</v>
      </c>
      <c r="E235" s="57">
        <f t="shared" si="17"/>
        <v>0</v>
      </c>
      <c r="F235" s="57">
        <f t="shared" si="18"/>
        <v>13</v>
      </c>
      <c r="G235" s="57">
        <f t="shared" si="19"/>
        <v>0</v>
      </c>
      <c r="H235" s="57">
        <f t="shared" si="20"/>
        <v>0</v>
      </c>
      <c r="I235" s="116">
        <v>0</v>
      </c>
      <c r="J235" s="116">
        <v>0</v>
      </c>
      <c r="K235" s="116">
        <v>0</v>
      </c>
      <c r="L235" s="116">
        <v>0</v>
      </c>
      <c r="M235" s="116">
        <v>0</v>
      </c>
      <c r="N235" s="116">
        <v>0</v>
      </c>
      <c r="O235" s="116">
        <v>8</v>
      </c>
      <c r="P235" s="116">
        <v>5</v>
      </c>
      <c r="Q235" s="116">
        <v>0</v>
      </c>
      <c r="R235" s="116">
        <v>0</v>
      </c>
      <c r="S235" s="116">
        <v>0</v>
      </c>
      <c r="T235" s="116">
        <v>0</v>
      </c>
      <c r="U235" s="116">
        <v>0</v>
      </c>
      <c r="V235" s="116">
        <v>0</v>
      </c>
      <c r="W235" s="116">
        <v>0</v>
      </c>
    </row>
    <row r="236" spans="1:23">
      <c r="A236" s="76" t="s">
        <v>96</v>
      </c>
      <c r="B236" s="76" t="s">
        <v>97</v>
      </c>
      <c r="C236" s="77" t="s">
        <v>940</v>
      </c>
      <c r="D236" s="57">
        <f t="shared" si="16"/>
        <v>0</v>
      </c>
      <c r="E236" s="57">
        <f t="shared" si="17"/>
        <v>0</v>
      </c>
      <c r="F236" s="57">
        <f t="shared" si="18"/>
        <v>0</v>
      </c>
      <c r="G236" s="57">
        <f t="shared" si="19"/>
        <v>0</v>
      </c>
      <c r="H236" s="57">
        <f t="shared" si="20"/>
        <v>13</v>
      </c>
      <c r="I236" s="116">
        <v>0</v>
      </c>
      <c r="J236" s="116">
        <v>0</v>
      </c>
      <c r="K236" s="116">
        <v>0</v>
      </c>
      <c r="L236" s="116">
        <v>0</v>
      </c>
      <c r="M236" s="116">
        <v>0</v>
      </c>
      <c r="N236" s="116">
        <v>0</v>
      </c>
      <c r="O236" s="116">
        <v>0</v>
      </c>
      <c r="P236" s="116">
        <v>0</v>
      </c>
      <c r="Q236" s="116">
        <v>0</v>
      </c>
      <c r="R236" s="116">
        <v>0</v>
      </c>
      <c r="S236" s="116">
        <v>0</v>
      </c>
      <c r="T236" s="116">
        <v>0</v>
      </c>
      <c r="U236" s="116">
        <v>10</v>
      </c>
      <c r="V236" s="116">
        <v>3</v>
      </c>
      <c r="W236" s="116">
        <v>0</v>
      </c>
    </row>
    <row r="237" spans="1:23">
      <c r="A237" s="76" t="s">
        <v>374</v>
      </c>
      <c r="B237" s="76" t="s">
        <v>375</v>
      </c>
      <c r="C237" s="77" t="s">
        <v>940</v>
      </c>
      <c r="D237" s="57">
        <f t="shared" si="16"/>
        <v>0</v>
      </c>
      <c r="E237" s="57">
        <f t="shared" si="17"/>
        <v>0</v>
      </c>
      <c r="F237" s="57">
        <f t="shared" si="18"/>
        <v>9</v>
      </c>
      <c r="G237" s="57">
        <f t="shared" si="19"/>
        <v>0</v>
      </c>
      <c r="H237" s="57">
        <f t="shared" si="20"/>
        <v>0</v>
      </c>
      <c r="I237" s="116">
        <v>0</v>
      </c>
      <c r="J237" s="116">
        <v>0</v>
      </c>
      <c r="K237" s="116">
        <v>0</v>
      </c>
      <c r="L237" s="116">
        <v>0</v>
      </c>
      <c r="M237" s="116">
        <v>0</v>
      </c>
      <c r="N237" s="116">
        <v>0</v>
      </c>
      <c r="O237" s="116">
        <v>7</v>
      </c>
      <c r="P237" s="116">
        <v>2</v>
      </c>
      <c r="Q237" s="116">
        <v>0</v>
      </c>
      <c r="R237" s="116">
        <v>0</v>
      </c>
      <c r="S237" s="116">
        <v>0</v>
      </c>
      <c r="T237" s="116">
        <v>0</v>
      </c>
      <c r="U237" s="116">
        <v>0</v>
      </c>
      <c r="V237" s="116">
        <v>0</v>
      </c>
      <c r="W237" s="116">
        <v>0</v>
      </c>
    </row>
    <row r="238" spans="1:23">
      <c r="A238" s="76" t="s">
        <v>503</v>
      </c>
      <c r="B238" s="76" t="s">
        <v>504</v>
      </c>
      <c r="C238" s="77" t="s">
        <v>940</v>
      </c>
      <c r="D238" s="57">
        <f t="shared" si="16"/>
        <v>0</v>
      </c>
      <c r="E238" s="57">
        <f t="shared" si="17"/>
        <v>1</v>
      </c>
      <c r="F238" s="57">
        <f t="shared" si="18"/>
        <v>16</v>
      </c>
      <c r="G238" s="57">
        <f t="shared" si="19"/>
        <v>0</v>
      </c>
      <c r="H238" s="57">
        <f t="shared" si="20"/>
        <v>0</v>
      </c>
      <c r="I238" s="116">
        <v>0</v>
      </c>
      <c r="J238" s="116">
        <v>0</v>
      </c>
      <c r="K238" s="116">
        <v>0</v>
      </c>
      <c r="L238" s="116">
        <v>1</v>
      </c>
      <c r="M238" s="116">
        <v>0</v>
      </c>
      <c r="N238" s="116">
        <v>0</v>
      </c>
      <c r="O238" s="116">
        <v>12</v>
      </c>
      <c r="P238" s="116">
        <v>4</v>
      </c>
      <c r="Q238" s="116">
        <v>0</v>
      </c>
      <c r="R238" s="116">
        <v>0</v>
      </c>
      <c r="S238" s="116">
        <v>0</v>
      </c>
      <c r="T238" s="116">
        <v>0</v>
      </c>
      <c r="U238" s="116">
        <v>0</v>
      </c>
      <c r="V238" s="116">
        <v>0</v>
      </c>
      <c r="W238" s="116">
        <v>0</v>
      </c>
    </row>
    <row r="239" spans="1:23">
      <c r="A239" s="76" t="s">
        <v>765</v>
      </c>
      <c r="B239" s="76" t="s">
        <v>766</v>
      </c>
      <c r="C239" s="77" t="s">
        <v>940</v>
      </c>
      <c r="D239" s="57">
        <f t="shared" si="16"/>
        <v>0</v>
      </c>
      <c r="E239" s="57">
        <f t="shared" si="17"/>
        <v>0</v>
      </c>
      <c r="F239" s="57">
        <f t="shared" si="18"/>
        <v>38</v>
      </c>
      <c r="G239" s="57">
        <f t="shared" si="19"/>
        <v>0</v>
      </c>
      <c r="H239" s="57">
        <f t="shared" si="20"/>
        <v>0</v>
      </c>
      <c r="I239" s="116">
        <v>0</v>
      </c>
      <c r="J239" s="116">
        <v>0</v>
      </c>
      <c r="K239" s="116">
        <v>0</v>
      </c>
      <c r="L239" s="116">
        <v>0</v>
      </c>
      <c r="M239" s="116">
        <v>0</v>
      </c>
      <c r="N239" s="116">
        <v>0</v>
      </c>
      <c r="O239" s="116">
        <v>14</v>
      </c>
      <c r="P239" s="116">
        <v>12</v>
      </c>
      <c r="Q239" s="116">
        <v>12</v>
      </c>
      <c r="R239" s="116">
        <v>0</v>
      </c>
      <c r="S239" s="116">
        <v>0</v>
      </c>
      <c r="T239" s="116">
        <v>0</v>
      </c>
      <c r="U239" s="116">
        <v>0</v>
      </c>
      <c r="V239" s="116">
        <v>0</v>
      </c>
      <c r="W239" s="116">
        <v>0</v>
      </c>
    </row>
    <row r="240" spans="1:23">
      <c r="A240" s="76" t="s">
        <v>560</v>
      </c>
      <c r="B240" s="76" t="s">
        <v>561</v>
      </c>
      <c r="C240" s="77" t="s">
        <v>940</v>
      </c>
      <c r="D240" s="57">
        <f t="shared" si="16"/>
        <v>13</v>
      </c>
      <c r="E240" s="57">
        <f t="shared" si="17"/>
        <v>0</v>
      </c>
      <c r="F240" s="57">
        <f t="shared" si="18"/>
        <v>2</v>
      </c>
      <c r="G240" s="57">
        <f t="shared" si="19"/>
        <v>0</v>
      </c>
      <c r="H240" s="57">
        <f t="shared" si="20"/>
        <v>0</v>
      </c>
      <c r="I240" s="116">
        <v>7</v>
      </c>
      <c r="J240" s="116">
        <v>6</v>
      </c>
      <c r="K240" s="116">
        <v>0</v>
      </c>
      <c r="L240" s="116">
        <v>0</v>
      </c>
      <c r="M240" s="116">
        <v>0</v>
      </c>
      <c r="N240" s="116">
        <v>0</v>
      </c>
      <c r="O240" s="116">
        <v>1</v>
      </c>
      <c r="P240" s="116">
        <v>1</v>
      </c>
      <c r="Q240" s="116">
        <v>0</v>
      </c>
      <c r="R240" s="116">
        <v>0</v>
      </c>
      <c r="S240" s="116">
        <v>0</v>
      </c>
      <c r="T240" s="116">
        <v>0</v>
      </c>
      <c r="U240" s="116">
        <v>0</v>
      </c>
      <c r="V240" s="116">
        <v>0</v>
      </c>
      <c r="W240" s="116">
        <v>0</v>
      </c>
    </row>
    <row r="241" spans="1:23">
      <c r="A241" s="76" t="s">
        <v>100</v>
      </c>
      <c r="B241" s="76" t="s">
        <v>101</v>
      </c>
      <c r="C241" s="77" t="s">
        <v>940</v>
      </c>
      <c r="D241" s="57">
        <f t="shared" si="16"/>
        <v>0</v>
      </c>
      <c r="E241" s="57">
        <f t="shared" si="17"/>
        <v>13</v>
      </c>
      <c r="F241" s="57">
        <f t="shared" si="18"/>
        <v>15</v>
      </c>
      <c r="G241" s="57">
        <f t="shared" si="19"/>
        <v>0</v>
      </c>
      <c r="H241" s="57">
        <f t="shared" si="20"/>
        <v>0</v>
      </c>
      <c r="I241" s="116">
        <v>0</v>
      </c>
      <c r="J241" s="116">
        <v>0</v>
      </c>
      <c r="K241" s="116">
        <v>0</v>
      </c>
      <c r="L241" s="116">
        <v>12</v>
      </c>
      <c r="M241" s="116">
        <v>1</v>
      </c>
      <c r="N241" s="116">
        <v>0</v>
      </c>
      <c r="O241" s="116">
        <v>13</v>
      </c>
      <c r="P241" s="116">
        <v>2</v>
      </c>
      <c r="Q241" s="116">
        <v>0</v>
      </c>
      <c r="R241" s="116">
        <v>0</v>
      </c>
      <c r="S241" s="116">
        <v>0</v>
      </c>
      <c r="T241" s="116">
        <v>0</v>
      </c>
      <c r="U241" s="116">
        <v>0</v>
      </c>
      <c r="V241" s="116">
        <v>0</v>
      </c>
      <c r="W241" s="116">
        <v>0</v>
      </c>
    </row>
    <row r="242" spans="1:23">
      <c r="A242" s="76" t="s">
        <v>777</v>
      </c>
      <c r="B242" s="76" t="s">
        <v>778</v>
      </c>
      <c r="C242" s="77" t="s">
        <v>940</v>
      </c>
      <c r="D242" s="57">
        <f t="shared" si="16"/>
        <v>0</v>
      </c>
      <c r="E242" s="57">
        <f t="shared" si="17"/>
        <v>0</v>
      </c>
      <c r="F242" s="57">
        <f t="shared" si="18"/>
        <v>17</v>
      </c>
      <c r="G242" s="57">
        <f t="shared" si="19"/>
        <v>0</v>
      </c>
      <c r="H242" s="57">
        <f t="shared" si="20"/>
        <v>0</v>
      </c>
      <c r="I242" s="116">
        <v>0</v>
      </c>
      <c r="J242" s="116">
        <v>0</v>
      </c>
      <c r="K242" s="116">
        <v>0</v>
      </c>
      <c r="L242" s="116">
        <v>0</v>
      </c>
      <c r="M242" s="116">
        <v>0</v>
      </c>
      <c r="N242" s="116">
        <v>0</v>
      </c>
      <c r="O242" s="116">
        <v>12</v>
      </c>
      <c r="P242" s="116">
        <v>5</v>
      </c>
      <c r="Q242" s="116">
        <v>0</v>
      </c>
      <c r="R242" s="116">
        <v>0</v>
      </c>
      <c r="S242" s="116">
        <v>0</v>
      </c>
      <c r="T242" s="116">
        <v>0</v>
      </c>
      <c r="U242" s="116">
        <v>0</v>
      </c>
      <c r="V242" s="116">
        <v>0</v>
      </c>
      <c r="W242" s="116">
        <v>0</v>
      </c>
    </row>
    <row r="243" spans="1:23">
      <c r="A243" s="76" t="s">
        <v>506</v>
      </c>
      <c r="B243" s="76" t="s">
        <v>507</v>
      </c>
      <c r="C243" s="77" t="s">
        <v>940</v>
      </c>
      <c r="D243" s="57">
        <f t="shared" si="16"/>
        <v>0</v>
      </c>
      <c r="E243" s="57">
        <f t="shared" si="17"/>
        <v>0</v>
      </c>
      <c r="F243" s="57">
        <f t="shared" si="18"/>
        <v>18</v>
      </c>
      <c r="G243" s="57">
        <f t="shared" si="19"/>
        <v>0</v>
      </c>
      <c r="H243" s="57">
        <f t="shared" si="20"/>
        <v>0</v>
      </c>
      <c r="I243" s="116">
        <v>0</v>
      </c>
      <c r="J243" s="116">
        <v>0</v>
      </c>
      <c r="K243" s="116">
        <v>0</v>
      </c>
      <c r="L243" s="116">
        <v>0</v>
      </c>
      <c r="M243" s="116">
        <v>0</v>
      </c>
      <c r="N243" s="116">
        <v>0</v>
      </c>
      <c r="O243" s="116">
        <v>11</v>
      </c>
      <c r="P243" s="116">
        <v>3</v>
      </c>
      <c r="Q243" s="116">
        <v>4</v>
      </c>
      <c r="R243" s="116">
        <v>0</v>
      </c>
      <c r="S243" s="116">
        <v>0</v>
      </c>
      <c r="T243" s="116">
        <v>0</v>
      </c>
      <c r="U243" s="116">
        <v>0</v>
      </c>
      <c r="V243" s="116">
        <v>0</v>
      </c>
      <c r="W243" s="116">
        <v>0</v>
      </c>
    </row>
    <row r="244" spans="1:23">
      <c r="A244" s="76" t="s">
        <v>33</v>
      </c>
      <c r="B244" s="76" t="s">
        <v>34</v>
      </c>
      <c r="C244" s="77" t="s">
        <v>940</v>
      </c>
      <c r="D244" s="57">
        <f t="shared" si="16"/>
        <v>5</v>
      </c>
      <c r="E244" s="57">
        <f t="shared" si="17"/>
        <v>3</v>
      </c>
      <c r="F244" s="57">
        <f t="shared" si="18"/>
        <v>0</v>
      </c>
      <c r="G244" s="57">
        <f t="shared" si="19"/>
        <v>22</v>
      </c>
      <c r="H244" s="57">
        <f t="shared" si="20"/>
        <v>0</v>
      </c>
      <c r="I244" s="116">
        <v>4</v>
      </c>
      <c r="J244" s="116">
        <v>1</v>
      </c>
      <c r="K244" s="116">
        <v>0</v>
      </c>
      <c r="L244" s="116">
        <v>3</v>
      </c>
      <c r="M244" s="116">
        <v>0</v>
      </c>
      <c r="N244" s="116">
        <v>0</v>
      </c>
      <c r="O244" s="116">
        <v>0</v>
      </c>
      <c r="P244" s="116">
        <v>0</v>
      </c>
      <c r="Q244" s="116">
        <v>0</v>
      </c>
      <c r="R244" s="116">
        <v>17</v>
      </c>
      <c r="S244" s="116">
        <v>5</v>
      </c>
      <c r="T244" s="116">
        <v>0</v>
      </c>
      <c r="U244" s="116">
        <v>0</v>
      </c>
      <c r="V244" s="116">
        <v>0</v>
      </c>
      <c r="W244" s="116">
        <v>0</v>
      </c>
    </row>
    <row r="245" spans="1:23">
      <c r="A245" s="76" t="s">
        <v>377</v>
      </c>
      <c r="B245" s="76" t="s">
        <v>378</v>
      </c>
      <c r="C245" s="77" t="s">
        <v>940</v>
      </c>
      <c r="D245" s="57">
        <f t="shared" si="16"/>
        <v>5</v>
      </c>
      <c r="E245" s="57">
        <f t="shared" si="17"/>
        <v>3</v>
      </c>
      <c r="F245" s="57">
        <f t="shared" si="18"/>
        <v>0</v>
      </c>
      <c r="G245" s="57">
        <f t="shared" si="19"/>
        <v>22</v>
      </c>
      <c r="H245" s="57">
        <f t="shared" si="20"/>
        <v>0</v>
      </c>
      <c r="I245" s="116">
        <v>4</v>
      </c>
      <c r="J245" s="116">
        <v>1</v>
      </c>
      <c r="K245" s="116">
        <v>0</v>
      </c>
      <c r="L245" s="116">
        <v>3</v>
      </c>
      <c r="M245" s="116">
        <v>0</v>
      </c>
      <c r="N245" s="116">
        <v>0</v>
      </c>
      <c r="O245" s="116">
        <v>0</v>
      </c>
      <c r="P245" s="116">
        <v>0</v>
      </c>
      <c r="Q245" s="116">
        <v>0</v>
      </c>
      <c r="R245" s="116">
        <v>17</v>
      </c>
      <c r="S245" s="116">
        <v>5</v>
      </c>
      <c r="T245" s="116">
        <v>0</v>
      </c>
      <c r="U245" s="116">
        <v>0</v>
      </c>
      <c r="V245" s="116">
        <v>0</v>
      </c>
      <c r="W245" s="116">
        <v>0</v>
      </c>
    </row>
    <row r="246" spans="1:23">
      <c r="A246" s="76" t="s">
        <v>383</v>
      </c>
      <c r="B246" s="76" t="s">
        <v>384</v>
      </c>
      <c r="C246" s="77" t="s">
        <v>940</v>
      </c>
      <c r="D246" s="57">
        <f t="shared" si="16"/>
        <v>0</v>
      </c>
      <c r="E246" s="57">
        <f t="shared" si="17"/>
        <v>7</v>
      </c>
      <c r="F246" s="57">
        <f t="shared" si="18"/>
        <v>12</v>
      </c>
      <c r="G246" s="57">
        <f t="shared" si="19"/>
        <v>0</v>
      </c>
      <c r="H246" s="57">
        <f t="shared" si="20"/>
        <v>0</v>
      </c>
      <c r="I246" s="116">
        <v>0</v>
      </c>
      <c r="J246" s="116">
        <v>0</v>
      </c>
      <c r="K246" s="116">
        <v>0</v>
      </c>
      <c r="L246" s="116">
        <v>3</v>
      </c>
      <c r="M246" s="116">
        <v>4</v>
      </c>
      <c r="N246" s="116">
        <v>0</v>
      </c>
      <c r="O246" s="116">
        <v>7</v>
      </c>
      <c r="P246" s="116">
        <v>2</v>
      </c>
      <c r="Q246" s="116">
        <v>3</v>
      </c>
      <c r="R246" s="116">
        <v>0</v>
      </c>
      <c r="S246" s="116">
        <v>0</v>
      </c>
      <c r="T246" s="116">
        <v>0</v>
      </c>
      <c r="U246" s="116">
        <v>0</v>
      </c>
      <c r="V246" s="116">
        <v>0</v>
      </c>
      <c r="W246" s="116">
        <v>0</v>
      </c>
    </row>
    <row r="247" spans="1:23">
      <c r="A247" s="76" t="s">
        <v>512</v>
      </c>
      <c r="B247" s="76" t="s">
        <v>513</v>
      </c>
      <c r="C247" s="77" t="s">
        <v>940</v>
      </c>
      <c r="D247" s="57">
        <f t="shared" si="16"/>
        <v>3</v>
      </c>
      <c r="E247" s="57">
        <f t="shared" si="17"/>
        <v>2</v>
      </c>
      <c r="F247" s="57">
        <f t="shared" si="18"/>
        <v>0</v>
      </c>
      <c r="G247" s="57">
        <f t="shared" si="19"/>
        <v>10</v>
      </c>
      <c r="H247" s="57">
        <f t="shared" si="20"/>
        <v>0</v>
      </c>
      <c r="I247" s="116">
        <v>1</v>
      </c>
      <c r="J247" s="116">
        <v>1</v>
      </c>
      <c r="K247" s="116">
        <v>1</v>
      </c>
      <c r="L247" s="116">
        <v>2</v>
      </c>
      <c r="M247" s="116">
        <v>0</v>
      </c>
      <c r="N247" s="116">
        <v>0</v>
      </c>
      <c r="O247" s="116">
        <v>0</v>
      </c>
      <c r="P247" s="116">
        <v>0</v>
      </c>
      <c r="Q247" s="116">
        <v>0</v>
      </c>
      <c r="R247" s="116">
        <v>5</v>
      </c>
      <c r="S247" s="116">
        <v>2</v>
      </c>
      <c r="T247" s="116">
        <v>3</v>
      </c>
      <c r="U247" s="116">
        <v>0</v>
      </c>
      <c r="V247" s="116">
        <v>0</v>
      </c>
      <c r="W247" s="116">
        <v>0</v>
      </c>
    </row>
    <row r="248" spans="1:23">
      <c r="A248" s="76" t="s">
        <v>515</v>
      </c>
      <c r="B248" s="76" t="s">
        <v>516</v>
      </c>
      <c r="C248" s="77" t="s">
        <v>940</v>
      </c>
      <c r="D248" s="57">
        <f t="shared" si="16"/>
        <v>0</v>
      </c>
      <c r="E248" s="57">
        <f t="shared" si="17"/>
        <v>0</v>
      </c>
      <c r="F248" s="57">
        <f t="shared" si="18"/>
        <v>12</v>
      </c>
      <c r="G248" s="57">
        <f t="shared" si="19"/>
        <v>0</v>
      </c>
      <c r="H248" s="57">
        <f t="shared" si="20"/>
        <v>0</v>
      </c>
      <c r="I248" s="116">
        <v>0</v>
      </c>
      <c r="J248" s="116">
        <v>0</v>
      </c>
      <c r="K248" s="116">
        <v>0</v>
      </c>
      <c r="L248" s="116">
        <v>0</v>
      </c>
      <c r="M248" s="116">
        <v>0</v>
      </c>
      <c r="N248" s="116">
        <v>0</v>
      </c>
      <c r="O248" s="116">
        <v>7</v>
      </c>
      <c r="P248" s="116">
        <v>5</v>
      </c>
      <c r="Q248" s="116">
        <v>0</v>
      </c>
      <c r="R248" s="116">
        <v>0</v>
      </c>
      <c r="S248" s="116">
        <v>0</v>
      </c>
      <c r="T248" s="116">
        <v>0</v>
      </c>
      <c r="U248" s="116">
        <v>0</v>
      </c>
      <c r="V248" s="116">
        <v>0</v>
      </c>
      <c r="W248" s="116">
        <v>0</v>
      </c>
    </row>
    <row r="249" spans="1:23">
      <c r="A249" s="76" t="s">
        <v>793</v>
      </c>
      <c r="B249" s="76" t="s">
        <v>794</v>
      </c>
      <c r="C249" s="77" t="s">
        <v>940</v>
      </c>
      <c r="D249" s="57">
        <f t="shared" si="16"/>
        <v>0</v>
      </c>
      <c r="E249" s="57">
        <f t="shared" si="17"/>
        <v>0</v>
      </c>
      <c r="F249" s="57">
        <f t="shared" si="18"/>
        <v>6</v>
      </c>
      <c r="G249" s="57">
        <f t="shared" si="19"/>
        <v>12</v>
      </c>
      <c r="H249" s="57">
        <f t="shared" si="20"/>
        <v>0</v>
      </c>
      <c r="I249" s="116">
        <v>0</v>
      </c>
      <c r="J249" s="116">
        <v>0</v>
      </c>
      <c r="K249" s="116">
        <v>0</v>
      </c>
      <c r="L249" s="116">
        <v>0</v>
      </c>
      <c r="M249" s="116">
        <v>0</v>
      </c>
      <c r="N249" s="116">
        <v>0</v>
      </c>
      <c r="O249" s="116">
        <v>6</v>
      </c>
      <c r="P249" s="116">
        <v>0</v>
      </c>
      <c r="Q249" s="116">
        <v>0</v>
      </c>
      <c r="R249" s="116">
        <v>10</v>
      </c>
      <c r="S249" s="116">
        <v>2</v>
      </c>
      <c r="T249" s="116">
        <v>0</v>
      </c>
      <c r="U249" s="116">
        <v>0</v>
      </c>
      <c r="V249" s="116">
        <v>0</v>
      </c>
      <c r="W249" s="116">
        <v>0</v>
      </c>
    </row>
    <row r="250" spans="1:23">
      <c r="A250" s="76" t="s">
        <v>795</v>
      </c>
      <c r="B250" s="76" t="s">
        <v>796</v>
      </c>
      <c r="C250" s="77" t="s">
        <v>940</v>
      </c>
      <c r="D250" s="57">
        <f t="shared" si="16"/>
        <v>0</v>
      </c>
      <c r="E250" s="57">
        <f t="shared" si="17"/>
        <v>5</v>
      </c>
      <c r="F250" s="57">
        <f t="shared" si="18"/>
        <v>5</v>
      </c>
      <c r="G250" s="57">
        <f t="shared" si="19"/>
        <v>0</v>
      </c>
      <c r="H250" s="57">
        <f t="shared" si="20"/>
        <v>0</v>
      </c>
      <c r="I250" s="116">
        <v>0</v>
      </c>
      <c r="J250" s="116">
        <v>0</v>
      </c>
      <c r="K250" s="116">
        <v>0</v>
      </c>
      <c r="L250" s="116">
        <v>0</v>
      </c>
      <c r="M250" s="116">
        <v>0</v>
      </c>
      <c r="N250" s="116">
        <v>5</v>
      </c>
      <c r="O250" s="116">
        <v>2</v>
      </c>
      <c r="P250" s="116">
        <v>1</v>
      </c>
      <c r="Q250" s="116">
        <v>2</v>
      </c>
      <c r="R250" s="116">
        <v>0</v>
      </c>
      <c r="S250" s="116">
        <v>0</v>
      </c>
      <c r="T250" s="116">
        <v>0</v>
      </c>
      <c r="U250" s="116">
        <v>0</v>
      </c>
      <c r="V250" s="116">
        <v>0</v>
      </c>
      <c r="W250" s="116">
        <v>0</v>
      </c>
    </row>
    <row r="251" spans="1:23">
      <c r="A251" s="76" t="s">
        <v>386</v>
      </c>
      <c r="B251" s="76" t="s">
        <v>387</v>
      </c>
      <c r="C251" s="77" t="s">
        <v>940</v>
      </c>
      <c r="D251" s="57">
        <f t="shared" si="16"/>
        <v>1</v>
      </c>
      <c r="E251" s="57">
        <f t="shared" si="17"/>
        <v>0</v>
      </c>
      <c r="F251" s="57">
        <f t="shared" si="18"/>
        <v>12</v>
      </c>
      <c r="G251" s="57">
        <f t="shared" si="19"/>
        <v>0</v>
      </c>
      <c r="H251" s="57">
        <f t="shared" si="20"/>
        <v>0</v>
      </c>
      <c r="I251" s="116">
        <v>1</v>
      </c>
      <c r="J251" s="116">
        <v>0</v>
      </c>
      <c r="K251" s="116">
        <v>0</v>
      </c>
      <c r="L251" s="116">
        <v>0</v>
      </c>
      <c r="M251" s="116">
        <v>0</v>
      </c>
      <c r="N251" s="116">
        <v>0</v>
      </c>
      <c r="O251" s="116">
        <v>11</v>
      </c>
      <c r="P251" s="116">
        <v>1</v>
      </c>
      <c r="Q251" s="116">
        <v>0</v>
      </c>
      <c r="R251" s="116">
        <v>0</v>
      </c>
      <c r="S251" s="116">
        <v>0</v>
      </c>
      <c r="T251" s="116">
        <v>0</v>
      </c>
      <c r="U251" s="116">
        <v>0</v>
      </c>
      <c r="V251" s="116">
        <v>0</v>
      </c>
      <c r="W251" s="116">
        <v>0</v>
      </c>
    </row>
    <row r="252" spans="1:23">
      <c r="A252" s="76" t="s">
        <v>518</v>
      </c>
      <c r="B252" s="76" t="s">
        <v>519</v>
      </c>
      <c r="C252" s="77" t="s">
        <v>940</v>
      </c>
      <c r="D252" s="57">
        <f t="shared" si="16"/>
        <v>0</v>
      </c>
      <c r="E252" s="57">
        <f t="shared" si="17"/>
        <v>6</v>
      </c>
      <c r="F252" s="57">
        <f t="shared" si="18"/>
        <v>14</v>
      </c>
      <c r="G252" s="57">
        <f t="shared" si="19"/>
        <v>0</v>
      </c>
      <c r="H252" s="57">
        <f t="shared" si="20"/>
        <v>0</v>
      </c>
      <c r="I252" s="116">
        <v>0</v>
      </c>
      <c r="J252" s="116">
        <v>0</v>
      </c>
      <c r="K252" s="116">
        <v>0</v>
      </c>
      <c r="L252" s="116">
        <v>5</v>
      </c>
      <c r="M252" s="116">
        <v>1</v>
      </c>
      <c r="N252" s="116">
        <v>0</v>
      </c>
      <c r="O252" s="116">
        <v>11</v>
      </c>
      <c r="P252" s="116">
        <v>3</v>
      </c>
      <c r="Q252" s="116">
        <v>0</v>
      </c>
      <c r="R252" s="116">
        <v>0</v>
      </c>
      <c r="S252" s="116">
        <v>0</v>
      </c>
      <c r="T252" s="116">
        <v>0</v>
      </c>
      <c r="U252" s="116">
        <v>0</v>
      </c>
      <c r="V252" s="116">
        <v>0</v>
      </c>
      <c r="W252" s="116">
        <v>0</v>
      </c>
    </row>
    <row r="253" spans="1:23">
      <c r="A253" s="76" t="s">
        <v>42</v>
      </c>
      <c r="B253" s="76" t="s">
        <v>43</v>
      </c>
      <c r="C253" s="77" t="s">
        <v>940</v>
      </c>
      <c r="D253" s="57">
        <f t="shared" si="16"/>
        <v>0</v>
      </c>
      <c r="E253" s="57">
        <f t="shared" si="17"/>
        <v>10</v>
      </c>
      <c r="F253" s="57">
        <f t="shared" si="18"/>
        <v>0</v>
      </c>
      <c r="G253" s="57">
        <f t="shared" si="19"/>
        <v>13</v>
      </c>
      <c r="H253" s="57">
        <f t="shared" si="20"/>
        <v>0</v>
      </c>
      <c r="I253" s="116">
        <v>0</v>
      </c>
      <c r="J253" s="116">
        <v>0</v>
      </c>
      <c r="K253" s="116">
        <v>0</v>
      </c>
      <c r="L253" s="116">
        <v>4</v>
      </c>
      <c r="M253" s="116">
        <v>1</v>
      </c>
      <c r="N253" s="116">
        <v>5</v>
      </c>
      <c r="O253" s="116">
        <v>0</v>
      </c>
      <c r="P253" s="116">
        <v>0</v>
      </c>
      <c r="Q253" s="116">
        <v>0</v>
      </c>
      <c r="R253" s="116">
        <v>9</v>
      </c>
      <c r="S253" s="116">
        <v>4</v>
      </c>
      <c r="T253" s="116">
        <v>0</v>
      </c>
      <c r="U253" s="116">
        <v>0</v>
      </c>
      <c r="V253" s="116">
        <v>0</v>
      </c>
      <c r="W253" s="116">
        <v>0</v>
      </c>
    </row>
    <row r="254" spans="1:23">
      <c r="A254" s="76" t="s">
        <v>84</v>
      </c>
      <c r="B254" s="76" t="s">
        <v>85</v>
      </c>
      <c r="C254" s="77" t="s">
        <v>940</v>
      </c>
      <c r="D254" s="57">
        <f t="shared" si="16"/>
        <v>2</v>
      </c>
      <c r="E254" s="57">
        <f t="shared" si="17"/>
        <v>8</v>
      </c>
      <c r="F254" s="57">
        <f t="shared" si="18"/>
        <v>0</v>
      </c>
      <c r="G254" s="57">
        <f t="shared" si="19"/>
        <v>25</v>
      </c>
      <c r="H254" s="57">
        <f t="shared" si="20"/>
        <v>0</v>
      </c>
      <c r="I254" s="116">
        <v>1</v>
      </c>
      <c r="J254" s="116">
        <v>1</v>
      </c>
      <c r="K254" s="116">
        <v>0</v>
      </c>
      <c r="L254" s="116">
        <v>6</v>
      </c>
      <c r="M254" s="116">
        <v>2</v>
      </c>
      <c r="N254" s="116">
        <v>0</v>
      </c>
      <c r="O254" s="116">
        <v>0</v>
      </c>
      <c r="P254" s="116">
        <v>0</v>
      </c>
      <c r="Q254" s="116">
        <v>0</v>
      </c>
      <c r="R254" s="116">
        <v>11</v>
      </c>
      <c r="S254" s="116">
        <v>10</v>
      </c>
      <c r="T254" s="116">
        <v>4</v>
      </c>
      <c r="U254" s="116">
        <v>0</v>
      </c>
      <c r="V254" s="116">
        <v>0</v>
      </c>
      <c r="W254" s="116">
        <v>0</v>
      </c>
    </row>
    <row r="255" spans="1:23">
      <c r="A255" s="76" t="s">
        <v>69</v>
      </c>
      <c r="B255" s="76" t="s">
        <v>70</v>
      </c>
      <c r="C255" s="77" t="s">
        <v>940</v>
      </c>
      <c r="D255" s="57">
        <f t="shared" si="16"/>
        <v>1</v>
      </c>
      <c r="E255" s="57">
        <f t="shared" si="17"/>
        <v>0</v>
      </c>
      <c r="F255" s="57">
        <f t="shared" si="18"/>
        <v>17</v>
      </c>
      <c r="G255" s="57">
        <f t="shared" si="19"/>
        <v>0</v>
      </c>
      <c r="H255" s="57">
        <f t="shared" si="20"/>
        <v>0</v>
      </c>
      <c r="I255" s="116">
        <v>1</v>
      </c>
      <c r="J255" s="116">
        <v>0</v>
      </c>
      <c r="K255" s="116">
        <v>0</v>
      </c>
      <c r="L255" s="116">
        <v>0</v>
      </c>
      <c r="M255" s="116">
        <v>0</v>
      </c>
      <c r="N255" s="116">
        <v>0</v>
      </c>
      <c r="O255" s="116">
        <v>9</v>
      </c>
      <c r="P255" s="116">
        <v>4</v>
      </c>
      <c r="Q255" s="116">
        <v>4</v>
      </c>
      <c r="R255" s="116">
        <v>0</v>
      </c>
      <c r="S255" s="116">
        <v>0</v>
      </c>
      <c r="T255" s="116">
        <v>0</v>
      </c>
      <c r="U255" s="116">
        <v>0</v>
      </c>
      <c r="V255" s="116">
        <v>0</v>
      </c>
      <c r="W255" s="116">
        <v>0</v>
      </c>
    </row>
    <row r="256" spans="1:23">
      <c r="A256" s="76" t="s">
        <v>389</v>
      </c>
      <c r="B256" s="76" t="s">
        <v>390</v>
      </c>
      <c r="C256" s="77" t="s">
        <v>940</v>
      </c>
      <c r="D256" s="57">
        <f t="shared" si="16"/>
        <v>0</v>
      </c>
      <c r="E256" s="57">
        <f t="shared" si="17"/>
        <v>1</v>
      </c>
      <c r="F256" s="57">
        <f t="shared" si="18"/>
        <v>15</v>
      </c>
      <c r="G256" s="57">
        <f t="shared" si="19"/>
        <v>7</v>
      </c>
      <c r="H256" s="57">
        <f t="shared" si="20"/>
        <v>0</v>
      </c>
      <c r="I256" s="116">
        <v>0</v>
      </c>
      <c r="J256" s="116">
        <v>0</v>
      </c>
      <c r="K256" s="116">
        <v>0</v>
      </c>
      <c r="L256" s="116">
        <v>0</v>
      </c>
      <c r="M256" s="116">
        <v>1</v>
      </c>
      <c r="N256" s="116">
        <v>0</v>
      </c>
      <c r="O256" s="116">
        <v>15</v>
      </c>
      <c r="P256" s="116">
        <v>0</v>
      </c>
      <c r="Q256" s="116">
        <v>0</v>
      </c>
      <c r="R256" s="116">
        <v>3</v>
      </c>
      <c r="S256" s="116">
        <v>4</v>
      </c>
      <c r="T256" s="116">
        <v>0</v>
      </c>
      <c r="U256" s="116">
        <v>0</v>
      </c>
      <c r="V256" s="116">
        <v>0</v>
      </c>
      <c r="W256" s="116">
        <v>0</v>
      </c>
    </row>
    <row r="257" spans="1:23">
      <c r="A257" s="76" t="s">
        <v>521</v>
      </c>
      <c r="B257" s="76" t="s">
        <v>522</v>
      </c>
      <c r="C257" s="77" t="s">
        <v>940</v>
      </c>
      <c r="D257" s="57">
        <f t="shared" si="16"/>
        <v>2</v>
      </c>
      <c r="E257" s="57">
        <f t="shared" si="17"/>
        <v>0</v>
      </c>
      <c r="F257" s="57">
        <f t="shared" si="18"/>
        <v>15</v>
      </c>
      <c r="G257" s="57">
        <f t="shared" si="19"/>
        <v>0</v>
      </c>
      <c r="H257" s="57">
        <f t="shared" si="20"/>
        <v>0</v>
      </c>
      <c r="I257" s="116">
        <v>1</v>
      </c>
      <c r="J257" s="116">
        <v>1</v>
      </c>
      <c r="K257" s="116">
        <v>0</v>
      </c>
      <c r="L257" s="116">
        <v>0</v>
      </c>
      <c r="M257" s="116">
        <v>0</v>
      </c>
      <c r="N257" s="116">
        <v>0</v>
      </c>
      <c r="O257" s="116">
        <v>8</v>
      </c>
      <c r="P257" s="116">
        <v>3</v>
      </c>
      <c r="Q257" s="116">
        <v>4</v>
      </c>
      <c r="R257" s="116">
        <v>0</v>
      </c>
      <c r="S257" s="116">
        <v>0</v>
      </c>
      <c r="T257" s="116">
        <v>0</v>
      </c>
      <c r="U257" s="116">
        <v>0</v>
      </c>
      <c r="V257" s="116">
        <v>0</v>
      </c>
      <c r="W257" s="116">
        <v>0</v>
      </c>
    </row>
    <row r="258" spans="1:23">
      <c r="A258" s="76" t="s">
        <v>72</v>
      </c>
      <c r="B258" s="76" t="s">
        <v>73</v>
      </c>
      <c r="C258" s="77" t="s">
        <v>940</v>
      </c>
      <c r="D258" s="57">
        <f t="shared" si="16"/>
        <v>2</v>
      </c>
      <c r="E258" s="57">
        <f t="shared" si="17"/>
        <v>1</v>
      </c>
      <c r="F258" s="57">
        <f t="shared" si="18"/>
        <v>16</v>
      </c>
      <c r="G258" s="57">
        <f t="shared" si="19"/>
        <v>0</v>
      </c>
      <c r="H258" s="57">
        <f t="shared" si="20"/>
        <v>0</v>
      </c>
      <c r="I258" s="116">
        <v>2</v>
      </c>
      <c r="J258" s="116">
        <v>0</v>
      </c>
      <c r="K258" s="116">
        <v>0</v>
      </c>
      <c r="L258" s="116">
        <v>1</v>
      </c>
      <c r="M258" s="116">
        <v>0</v>
      </c>
      <c r="N258" s="116">
        <v>0</v>
      </c>
      <c r="O258" s="116">
        <v>14</v>
      </c>
      <c r="P258" s="116">
        <v>2</v>
      </c>
      <c r="Q258" s="116">
        <v>0</v>
      </c>
      <c r="R258" s="116">
        <v>0</v>
      </c>
      <c r="S258" s="116">
        <v>0</v>
      </c>
      <c r="T258" s="116">
        <v>0</v>
      </c>
      <c r="U258" s="116">
        <v>0</v>
      </c>
      <c r="V258" s="116">
        <v>0</v>
      </c>
      <c r="W258" s="116">
        <v>0</v>
      </c>
    </row>
    <row r="259" spans="1:23">
      <c r="A259" s="76" t="s">
        <v>392</v>
      </c>
      <c r="B259" s="76" t="s">
        <v>393</v>
      </c>
      <c r="C259" s="77" t="s">
        <v>940</v>
      </c>
      <c r="D259" s="57">
        <f t="shared" si="16"/>
        <v>2</v>
      </c>
      <c r="E259" s="57">
        <f t="shared" si="17"/>
        <v>0</v>
      </c>
      <c r="F259" s="57">
        <f t="shared" si="18"/>
        <v>13</v>
      </c>
      <c r="G259" s="57">
        <f t="shared" si="19"/>
        <v>0</v>
      </c>
      <c r="H259" s="57">
        <f t="shared" si="20"/>
        <v>0</v>
      </c>
      <c r="I259" s="116">
        <v>1</v>
      </c>
      <c r="J259" s="116">
        <v>1</v>
      </c>
      <c r="K259" s="116">
        <v>0</v>
      </c>
      <c r="L259" s="116">
        <v>0</v>
      </c>
      <c r="M259" s="116">
        <v>0</v>
      </c>
      <c r="N259" s="116">
        <v>0</v>
      </c>
      <c r="O259" s="116">
        <v>9</v>
      </c>
      <c r="P259" s="116">
        <v>4</v>
      </c>
      <c r="Q259" s="116">
        <v>0</v>
      </c>
      <c r="R259" s="116">
        <v>0</v>
      </c>
      <c r="S259" s="116">
        <v>0</v>
      </c>
      <c r="T259" s="116">
        <v>0</v>
      </c>
      <c r="U259" s="116">
        <v>0</v>
      </c>
      <c r="V259" s="116">
        <v>0</v>
      </c>
      <c r="W259" s="116">
        <v>0</v>
      </c>
    </row>
    <row r="260" spans="1:23">
      <c r="A260" s="76" t="s">
        <v>817</v>
      </c>
      <c r="B260" s="76" t="s">
        <v>818</v>
      </c>
      <c r="C260" s="77" t="s">
        <v>940</v>
      </c>
      <c r="D260" s="57">
        <f t="shared" ref="D260:D318" si="21">SUM(I260:K260)</f>
        <v>3</v>
      </c>
      <c r="E260" s="57">
        <f t="shared" ref="E260:E318" si="22">SUM(L260:N260)</f>
        <v>0</v>
      </c>
      <c r="F260" s="57">
        <f t="shared" ref="F260:F318" si="23">SUM(O260:Q260)</f>
        <v>7</v>
      </c>
      <c r="G260" s="57">
        <f t="shared" ref="G260:G318" si="24">SUM(R260:T260)</f>
        <v>10</v>
      </c>
      <c r="H260" s="57">
        <f t="shared" ref="H260:H318" si="25">SUM(U260:W260)</f>
        <v>0</v>
      </c>
      <c r="I260" s="116">
        <v>1</v>
      </c>
      <c r="J260" s="116">
        <v>2</v>
      </c>
      <c r="K260" s="116">
        <v>0</v>
      </c>
      <c r="L260" s="116">
        <v>0</v>
      </c>
      <c r="M260" s="116">
        <v>0</v>
      </c>
      <c r="N260" s="116">
        <v>0</v>
      </c>
      <c r="O260" s="116">
        <v>5</v>
      </c>
      <c r="P260" s="116">
        <v>2</v>
      </c>
      <c r="Q260" s="116">
        <v>0</v>
      </c>
      <c r="R260" s="116">
        <v>6</v>
      </c>
      <c r="S260" s="116">
        <v>4</v>
      </c>
      <c r="T260" s="116">
        <v>0</v>
      </c>
      <c r="U260" s="116">
        <v>0</v>
      </c>
      <c r="V260" s="116">
        <v>0</v>
      </c>
      <c r="W260" s="116">
        <v>0</v>
      </c>
    </row>
    <row r="261" spans="1:23">
      <c r="A261" s="76" t="s">
        <v>524</v>
      </c>
      <c r="B261" s="76" t="s">
        <v>525</v>
      </c>
      <c r="C261" s="77" t="s">
        <v>940</v>
      </c>
      <c r="D261" s="57">
        <f t="shared" si="21"/>
        <v>0</v>
      </c>
      <c r="E261" s="57">
        <f t="shared" si="22"/>
        <v>0</v>
      </c>
      <c r="F261" s="57">
        <f t="shared" si="23"/>
        <v>7</v>
      </c>
      <c r="G261" s="57">
        <f t="shared" si="24"/>
        <v>0</v>
      </c>
      <c r="H261" s="57">
        <f t="shared" si="25"/>
        <v>0</v>
      </c>
      <c r="I261" s="116">
        <v>0</v>
      </c>
      <c r="J261" s="116">
        <v>0</v>
      </c>
      <c r="K261" s="116">
        <v>0</v>
      </c>
      <c r="L261" s="116">
        <v>0</v>
      </c>
      <c r="M261" s="116">
        <v>0</v>
      </c>
      <c r="N261" s="116">
        <v>0</v>
      </c>
      <c r="O261" s="116">
        <v>4</v>
      </c>
      <c r="P261" s="116">
        <v>3</v>
      </c>
      <c r="Q261" s="116">
        <v>0</v>
      </c>
      <c r="R261" s="116">
        <v>0</v>
      </c>
      <c r="S261" s="116">
        <v>0</v>
      </c>
      <c r="T261" s="116">
        <v>0</v>
      </c>
      <c r="U261" s="116">
        <v>0</v>
      </c>
      <c r="V261" s="116">
        <v>0</v>
      </c>
      <c r="W261" s="116">
        <v>0</v>
      </c>
    </row>
    <row r="262" spans="1:23">
      <c r="A262" s="76" t="s">
        <v>530</v>
      </c>
      <c r="B262" s="76" t="s">
        <v>531</v>
      </c>
      <c r="C262" s="77" t="s">
        <v>940</v>
      </c>
      <c r="D262" s="57">
        <f t="shared" si="21"/>
        <v>0</v>
      </c>
      <c r="E262" s="57">
        <f t="shared" si="22"/>
        <v>3</v>
      </c>
      <c r="F262" s="57">
        <f t="shared" si="23"/>
        <v>0</v>
      </c>
      <c r="G262" s="57">
        <f t="shared" si="24"/>
        <v>12</v>
      </c>
      <c r="H262" s="57">
        <f t="shared" si="25"/>
        <v>0</v>
      </c>
      <c r="I262" s="116">
        <v>0</v>
      </c>
      <c r="J262" s="116">
        <v>0</v>
      </c>
      <c r="K262" s="116">
        <v>0</v>
      </c>
      <c r="L262" s="116">
        <v>2</v>
      </c>
      <c r="M262" s="116">
        <v>1</v>
      </c>
      <c r="N262" s="116">
        <v>0</v>
      </c>
      <c r="O262" s="116">
        <v>0</v>
      </c>
      <c r="P262" s="116">
        <v>0</v>
      </c>
      <c r="Q262" s="116">
        <v>0</v>
      </c>
      <c r="R262" s="116">
        <v>10</v>
      </c>
      <c r="S262" s="116">
        <v>2</v>
      </c>
      <c r="T262" s="116">
        <v>0</v>
      </c>
      <c r="U262" s="116">
        <v>0</v>
      </c>
      <c r="V262" s="116">
        <v>0</v>
      </c>
      <c r="W262" s="116">
        <v>0</v>
      </c>
    </row>
    <row r="263" spans="1:23">
      <c r="A263" s="76" t="s">
        <v>595</v>
      </c>
      <c r="B263" s="76" t="s">
        <v>596</v>
      </c>
      <c r="C263" s="77" t="s">
        <v>950</v>
      </c>
      <c r="D263" s="57">
        <f t="shared" si="21"/>
        <v>0</v>
      </c>
      <c r="E263" s="57">
        <f t="shared" si="22"/>
        <v>0</v>
      </c>
      <c r="F263" s="57">
        <f t="shared" si="23"/>
        <v>0</v>
      </c>
      <c r="G263" s="57">
        <f t="shared" si="24"/>
        <v>26</v>
      </c>
      <c r="H263" s="57">
        <f t="shared" si="25"/>
        <v>0</v>
      </c>
      <c r="I263" s="116">
        <v>0</v>
      </c>
      <c r="J263" s="116">
        <v>0</v>
      </c>
      <c r="K263" s="116">
        <v>0</v>
      </c>
      <c r="L263" s="116">
        <v>0</v>
      </c>
      <c r="M263" s="116">
        <v>0</v>
      </c>
      <c r="N263" s="116">
        <v>0</v>
      </c>
      <c r="O263" s="116">
        <v>0</v>
      </c>
      <c r="P263" s="116">
        <v>0</v>
      </c>
      <c r="Q263" s="116">
        <v>0</v>
      </c>
      <c r="R263" s="116">
        <v>15</v>
      </c>
      <c r="S263" s="116">
        <v>6</v>
      </c>
      <c r="T263" s="116">
        <v>5</v>
      </c>
      <c r="U263" s="116">
        <v>0</v>
      </c>
      <c r="V263" s="116">
        <v>0</v>
      </c>
      <c r="W263" s="116">
        <v>0</v>
      </c>
    </row>
    <row r="264" spans="1:23">
      <c r="A264" s="76" t="s">
        <v>615</v>
      </c>
      <c r="B264" s="76" t="s">
        <v>616</v>
      </c>
      <c r="C264" s="77" t="s">
        <v>950</v>
      </c>
      <c r="D264" s="57">
        <f t="shared" si="21"/>
        <v>1</v>
      </c>
      <c r="E264" s="57">
        <f t="shared" si="22"/>
        <v>1</v>
      </c>
      <c r="F264" s="57">
        <f t="shared" si="23"/>
        <v>24</v>
      </c>
      <c r="G264" s="57">
        <f t="shared" si="24"/>
        <v>0</v>
      </c>
      <c r="H264" s="57">
        <f t="shared" si="25"/>
        <v>0</v>
      </c>
      <c r="I264" s="116">
        <v>0</v>
      </c>
      <c r="J264" s="116">
        <v>1</v>
      </c>
      <c r="K264" s="116">
        <v>0</v>
      </c>
      <c r="L264" s="116">
        <v>0</v>
      </c>
      <c r="M264" s="116">
        <v>1</v>
      </c>
      <c r="N264" s="116">
        <v>0</v>
      </c>
      <c r="O264" s="116">
        <v>11</v>
      </c>
      <c r="P264" s="116">
        <v>6</v>
      </c>
      <c r="Q264" s="116">
        <v>7</v>
      </c>
      <c r="R264" s="116">
        <v>0</v>
      </c>
      <c r="S264" s="116">
        <v>0</v>
      </c>
      <c r="T264" s="116">
        <v>0</v>
      </c>
      <c r="U264" s="116">
        <v>0</v>
      </c>
      <c r="V264" s="116">
        <v>0</v>
      </c>
      <c r="W264" s="116">
        <v>0</v>
      </c>
    </row>
    <row r="265" spans="1:23">
      <c r="A265" s="76" t="s">
        <v>121</v>
      </c>
      <c r="B265" s="76" t="s">
        <v>122</v>
      </c>
      <c r="C265" s="77" t="s">
        <v>950</v>
      </c>
      <c r="D265" s="57">
        <f t="shared" si="21"/>
        <v>6</v>
      </c>
      <c r="E265" s="57">
        <f t="shared" si="22"/>
        <v>0</v>
      </c>
      <c r="F265" s="57">
        <f t="shared" si="23"/>
        <v>17</v>
      </c>
      <c r="G265" s="57">
        <f t="shared" si="24"/>
        <v>0</v>
      </c>
      <c r="H265" s="57">
        <f t="shared" si="25"/>
        <v>0</v>
      </c>
      <c r="I265" s="116">
        <v>3</v>
      </c>
      <c r="J265" s="116">
        <v>3</v>
      </c>
      <c r="K265" s="116">
        <v>0</v>
      </c>
      <c r="L265" s="116">
        <v>0</v>
      </c>
      <c r="M265" s="116">
        <v>0</v>
      </c>
      <c r="N265" s="116">
        <v>0</v>
      </c>
      <c r="O265" s="116">
        <v>13</v>
      </c>
      <c r="P265" s="116">
        <v>4</v>
      </c>
      <c r="Q265" s="116">
        <v>0</v>
      </c>
      <c r="R265" s="116">
        <v>0</v>
      </c>
      <c r="S265" s="116">
        <v>0</v>
      </c>
      <c r="T265" s="116">
        <v>0</v>
      </c>
      <c r="U265" s="116">
        <v>0</v>
      </c>
      <c r="V265" s="116">
        <v>0</v>
      </c>
      <c r="W265" s="116">
        <v>0</v>
      </c>
    </row>
    <row r="266" spans="1:23">
      <c r="A266" s="76" t="s">
        <v>145</v>
      </c>
      <c r="B266" s="76" t="s">
        <v>146</v>
      </c>
      <c r="C266" s="77" t="s">
        <v>950</v>
      </c>
      <c r="D266" s="57">
        <f t="shared" si="21"/>
        <v>0</v>
      </c>
      <c r="E266" s="57">
        <f t="shared" si="22"/>
        <v>3</v>
      </c>
      <c r="F266" s="57">
        <f t="shared" si="23"/>
        <v>9</v>
      </c>
      <c r="G266" s="57">
        <f t="shared" si="24"/>
        <v>0</v>
      </c>
      <c r="H266" s="57">
        <f t="shared" si="25"/>
        <v>0</v>
      </c>
      <c r="I266" s="116">
        <v>0</v>
      </c>
      <c r="J266" s="116">
        <v>0</v>
      </c>
      <c r="K266" s="116">
        <v>0</v>
      </c>
      <c r="L266" s="116">
        <v>2</v>
      </c>
      <c r="M266" s="116">
        <v>1</v>
      </c>
      <c r="N266" s="116">
        <v>0</v>
      </c>
      <c r="O266" s="116">
        <v>8</v>
      </c>
      <c r="P266" s="116">
        <v>1</v>
      </c>
      <c r="Q266" s="116">
        <v>0</v>
      </c>
      <c r="R266" s="116">
        <v>0</v>
      </c>
      <c r="S266" s="116">
        <v>0</v>
      </c>
      <c r="T266" s="116">
        <v>0</v>
      </c>
      <c r="U266" s="116">
        <v>0</v>
      </c>
      <c r="V266" s="116">
        <v>0</v>
      </c>
      <c r="W266" s="116">
        <v>0</v>
      </c>
    </row>
    <row r="267" spans="1:23">
      <c r="A267" s="76" t="s">
        <v>617</v>
      </c>
      <c r="B267" s="76" t="s">
        <v>618</v>
      </c>
      <c r="C267" s="77" t="s">
        <v>950</v>
      </c>
      <c r="D267" s="57">
        <f t="shared" si="21"/>
        <v>0</v>
      </c>
      <c r="E267" s="57">
        <f t="shared" si="22"/>
        <v>2</v>
      </c>
      <c r="F267" s="57">
        <f t="shared" si="23"/>
        <v>1</v>
      </c>
      <c r="G267" s="57">
        <f t="shared" si="24"/>
        <v>0</v>
      </c>
      <c r="H267" s="57">
        <f t="shared" si="25"/>
        <v>17</v>
      </c>
      <c r="I267" s="116">
        <v>0</v>
      </c>
      <c r="J267" s="116">
        <v>0</v>
      </c>
      <c r="K267" s="116">
        <v>0</v>
      </c>
      <c r="L267" s="116">
        <v>1</v>
      </c>
      <c r="M267" s="116">
        <v>1</v>
      </c>
      <c r="N267" s="116">
        <v>0</v>
      </c>
      <c r="O267" s="116">
        <v>0</v>
      </c>
      <c r="P267" s="116">
        <v>1</v>
      </c>
      <c r="Q267" s="116">
        <v>0</v>
      </c>
      <c r="R267" s="116">
        <v>0</v>
      </c>
      <c r="S267" s="116">
        <v>0</v>
      </c>
      <c r="T267" s="116">
        <v>0</v>
      </c>
      <c r="U267" s="116">
        <v>12</v>
      </c>
      <c r="V267" s="116">
        <v>5</v>
      </c>
      <c r="W267" s="116">
        <v>0</v>
      </c>
    </row>
    <row r="268" spans="1:23">
      <c r="A268" s="76" t="s">
        <v>148</v>
      </c>
      <c r="B268" s="76" t="s">
        <v>149</v>
      </c>
      <c r="C268" s="77" t="s">
        <v>950</v>
      </c>
      <c r="D268" s="57">
        <f t="shared" si="21"/>
        <v>0</v>
      </c>
      <c r="E268" s="57">
        <f t="shared" si="22"/>
        <v>0</v>
      </c>
      <c r="F268" s="57">
        <f t="shared" si="23"/>
        <v>0</v>
      </c>
      <c r="G268" s="57">
        <f t="shared" si="24"/>
        <v>0</v>
      </c>
      <c r="H268" s="57">
        <f t="shared" si="25"/>
        <v>10</v>
      </c>
      <c r="I268" s="116">
        <v>0</v>
      </c>
      <c r="J268" s="116">
        <v>0</v>
      </c>
      <c r="K268" s="116">
        <v>0</v>
      </c>
      <c r="L268" s="116">
        <v>0</v>
      </c>
      <c r="M268" s="116">
        <v>0</v>
      </c>
      <c r="N268" s="116">
        <v>0</v>
      </c>
      <c r="O268" s="116">
        <v>0</v>
      </c>
      <c r="P268" s="116">
        <v>0</v>
      </c>
      <c r="Q268" s="116">
        <v>0</v>
      </c>
      <c r="R268" s="116">
        <v>0</v>
      </c>
      <c r="S268" s="116">
        <v>0</v>
      </c>
      <c r="T268" s="116">
        <v>0</v>
      </c>
      <c r="U268" s="116">
        <v>6</v>
      </c>
      <c r="V268" s="116">
        <v>4</v>
      </c>
      <c r="W268" s="116">
        <v>0</v>
      </c>
    </row>
    <row r="269" spans="1:23">
      <c r="A269" s="76" t="s">
        <v>623</v>
      </c>
      <c r="B269" s="76" t="s">
        <v>624</v>
      </c>
      <c r="C269" s="77" t="s">
        <v>950</v>
      </c>
      <c r="D269" s="57">
        <f t="shared" si="21"/>
        <v>0</v>
      </c>
      <c r="E269" s="57">
        <f t="shared" si="22"/>
        <v>0</v>
      </c>
      <c r="F269" s="57">
        <f t="shared" si="23"/>
        <v>0</v>
      </c>
      <c r="G269" s="57">
        <f t="shared" si="24"/>
        <v>11</v>
      </c>
      <c r="H269" s="57">
        <f t="shared" si="25"/>
        <v>0</v>
      </c>
      <c r="I269" s="116">
        <v>0</v>
      </c>
      <c r="J269" s="116">
        <v>0</v>
      </c>
      <c r="K269" s="116">
        <v>0</v>
      </c>
      <c r="L269" s="116">
        <v>0</v>
      </c>
      <c r="M269" s="116">
        <v>0</v>
      </c>
      <c r="N269" s="116">
        <v>0</v>
      </c>
      <c r="O269" s="116">
        <v>0</v>
      </c>
      <c r="P269" s="116">
        <v>0</v>
      </c>
      <c r="Q269" s="116">
        <v>0</v>
      </c>
      <c r="R269" s="116">
        <v>7</v>
      </c>
      <c r="S269" s="116">
        <v>1</v>
      </c>
      <c r="T269" s="116">
        <v>3</v>
      </c>
      <c r="U269" s="116">
        <v>0</v>
      </c>
      <c r="V269" s="116">
        <v>0</v>
      </c>
      <c r="W269" s="116">
        <v>0</v>
      </c>
    </row>
    <row r="270" spans="1:23">
      <c r="A270" s="76" t="s">
        <v>136</v>
      </c>
      <c r="B270" s="76" t="s">
        <v>137</v>
      </c>
      <c r="C270" s="77" t="s">
        <v>950</v>
      </c>
      <c r="D270" s="57">
        <f t="shared" si="21"/>
        <v>7</v>
      </c>
      <c r="E270" s="57">
        <f t="shared" si="22"/>
        <v>0</v>
      </c>
      <c r="F270" s="57">
        <f t="shared" si="23"/>
        <v>11</v>
      </c>
      <c r="G270" s="57">
        <f t="shared" si="24"/>
        <v>0</v>
      </c>
      <c r="H270" s="57">
        <f t="shared" si="25"/>
        <v>0</v>
      </c>
      <c r="I270" s="116">
        <v>6</v>
      </c>
      <c r="J270" s="116">
        <v>1</v>
      </c>
      <c r="K270" s="116">
        <v>0</v>
      </c>
      <c r="L270" s="116">
        <v>0</v>
      </c>
      <c r="M270" s="116">
        <v>0</v>
      </c>
      <c r="N270" s="116">
        <v>0</v>
      </c>
      <c r="O270" s="116">
        <v>9</v>
      </c>
      <c r="P270" s="116">
        <v>2</v>
      </c>
      <c r="Q270" s="116">
        <v>0</v>
      </c>
      <c r="R270" s="116">
        <v>0</v>
      </c>
      <c r="S270" s="116">
        <v>0</v>
      </c>
      <c r="T270" s="116">
        <v>0</v>
      </c>
      <c r="U270" s="116">
        <v>0</v>
      </c>
      <c r="V270" s="116">
        <v>0</v>
      </c>
      <c r="W270" s="116">
        <v>0</v>
      </c>
    </row>
    <row r="271" spans="1:23">
      <c r="A271" s="76" t="s">
        <v>277</v>
      </c>
      <c r="B271" s="76" t="s">
        <v>278</v>
      </c>
      <c r="C271" s="77" t="s">
        <v>950</v>
      </c>
      <c r="D271" s="57">
        <f t="shared" si="21"/>
        <v>0</v>
      </c>
      <c r="E271" s="57">
        <f t="shared" si="22"/>
        <v>1</v>
      </c>
      <c r="F271" s="57">
        <f t="shared" si="23"/>
        <v>8</v>
      </c>
      <c r="G271" s="57">
        <f t="shared" si="24"/>
        <v>0</v>
      </c>
      <c r="H271" s="57">
        <f t="shared" si="25"/>
        <v>0</v>
      </c>
      <c r="I271" s="116">
        <v>0</v>
      </c>
      <c r="J271" s="116">
        <v>0</v>
      </c>
      <c r="K271" s="116">
        <v>0</v>
      </c>
      <c r="L271" s="116">
        <v>1</v>
      </c>
      <c r="M271" s="116">
        <v>0</v>
      </c>
      <c r="N271" s="116">
        <v>0</v>
      </c>
      <c r="O271" s="116">
        <v>5</v>
      </c>
      <c r="P271" s="116">
        <v>3</v>
      </c>
      <c r="Q271" s="116">
        <v>0</v>
      </c>
      <c r="R271" s="116">
        <v>0</v>
      </c>
      <c r="S271" s="116">
        <v>0</v>
      </c>
      <c r="T271" s="116">
        <v>0</v>
      </c>
      <c r="U271" s="116">
        <v>0</v>
      </c>
      <c r="V271" s="116">
        <v>0</v>
      </c>
      <c r="W271" s="116">
        <v>0</v>
      </c>
    </row>
    <row r="272" spans="1:23">
      <c r="A272" s="76" t="s">
        <v>627</v>
      </c>
      <c r="B272" s="76" t="s">
        <v>628</v>
      </c>
      <c r="C272" s="77" t="s">
        <v>950</v>
      </c>
      <c r="D272" s="57">
        <f t="shared" si="21"/>
        <v>0</v>
      </c>
      <c r="E272" s="57">
        <f t="shared" si="22"/>
        <v>0</v>
      </c>
      <c r="F272" s="57">
        <f t="shared" si="23"/>
        <v>0</v>
      </c>
      <c r="G272" s="57">
        <f t="shared" si="24"/>
        <v>0</v>
      </c>
      <c r="H272" s="57">
        <f t="shared" si="25"/>
        <v>9</v>
      </c>
      <c r="I272" s="116">
        <v>0</v>
      </c>
      <c r="J272" s="116">
        <v>0</v>
      </c>
      <c r="K272" s="116">
        <v>0</v>
      </c>
      <c r="L272" s="116">
        <v>0</v>
      </c>
      <c r="M272" s="116">
        <v>0</v>
      </c>
      <c r="N272" s="116">
        <v>0</v>
      </c>
      <c r="O272" s="116">
        <v>0</v>
      </c>
      <c r="P272" s="116">
        <v>0</v>
      </c>
      <c r="Q272" s="116">
        <v>0</v>
      </c>
      <c r="R272" s="116">
        <v>0</v>
      </c>
      <c r="S272" s="116">
        <v>0</v>
      </c>
      <c r="T272" s="116">
        <v>0</v>
      </c>
      <c r="U272" s="116">
        <v>4</v>
      </c>
      <c r="V272" s="116">
        <v>5</v>
      </c>
      <c r="W272" s="116">
        <v>0</v>
      </c>
    </row>
    <row r="273" spans="1:23">
      <c r="A273" s="76" t="s">
        <v>637</v>
      </c>
      <c r="B273" s="76" t="s">
        <v>638</v>
      </c>
      <c r="C273" s="77" t="s">
        <v>950</v>
      </c>
      <c r="D273" s="57">
        <f t="shared" si="21"/>
        <v>0</v>
      </c>
      <c r="E273" s="57">
        <f t="shared" si="22"/>
        <v>0</v>
      </c>
      <c r="F273" s="57">
        <f t="shared" si="23"/>
        <v>12</v>
      </c>
      <c r="G273" s="57">
        <f t="shared" si="24"/>
        <v>0</v>
      </c>
      <c r="H273" s="57">
        <f t="shared" si="25"/>
        <v>0</v>
      </c>
      <c r="I273" s="116">
        <v>0</v>
      </c>
      <c r="J273" s="116">
        <v>0</v>
      </c>
      <c r="K273" s="116">
        <v>0</v>
      </c>
      <c r="L273" s="116">
        <v>0</v>
      </c>
      <c r="M273" s="116">
        <v>0</v>
      </c>
      <c r="N273" s="116">
        <v>0</v>
      </c>
      <c r="O273" s="116">
        <v>10</v>
      </c>
      <c r="P273" s="116">
        <v>2</v>
      </c>
      <c r="Q273" s="116">
        <v>0</v>
      </c>
      <c r="R273" s="116">
        <v>0</v>
      </c>
      <c r="S273" s="116">
        <v>0</v>
      </c>
      <c r="T273" s="116">
        <v>0</v>
      </c>
      <c r="U273" s="116">
        <v>0</v>
      </c>
      <c r="V273" s="116">
        <v>0</v>
      </c>
      <c r="W273" s="116">
        <v>0</v>
      </c>
    </row>
    <row r="274" spans="1:23">
      <c r="A274" s="76" t="s">
        <v>211</v>
      </c>
      <c r="B274" s="76" t="s">
        <v>212</v>
      </c>
      <c r="C274" s="77" t="s">
        <v>950</v>
      </c>
      <c r="D274" s="57">
        <f t="shared" si="21"/>
        <v>0</v>
      </c>
      <c r="E274" s="57">
        <f t="shared" si="22"/>
        <v>1</v>
      </c>
      <c r="F274" s="57">
        <f t="shared" si="23"/>
        <v>0</v>
      </c>
      <c r="G274" s="57">
        <f t="shared" si="24"/>
        <v>0</v>
      </c>
      <c r="H274" s="57">
        <f t="shared" si="25"/>
        <v>14</v>
      </c>
      <c r="I274" s="116">
        <v>0</v>
      </c>
      <c r="J274" s="116">
        <v>0</v>
      </c>
      <c r="K274" s="116">
        <v>0</v>
      </c>
      <c r="L274" s="116">
        <v>1</v>
      </c>
      <c r="M274" s="116">
        <v>0</v>
      </c>
      <c r="N274" s="116">
        <v>0</v>
      </c>
      <c r="O274" s="116">
        <v>0</v>
      </c>
      <c r="P274" s="116">
        <v>0</v>
      </c>
      <c r="Q274" s="116">
        <v>0</v>
      </c>
      <c r="R274" s="116">
        <v>0</v>
      </c>
      <c r="S274" s="116">
        <v>0</v>
      </c>
      <c r="T274" s="116">
        <v>0</v>
      </c>
      <c r="U274" s="116">
        <v>9</v>
      </c>
      <c r="V274" s="116">
        <v>5</v>
      </c>
      <c r="W274" s="116">
        <v>0</v>
      </c>
    </row>
    <row r="275" spans="1:23">
      <c r="A275" s="76" t="s">
        <v>48</v>
      </c>
      <c r="B275" s="76" t="s">
        <v>49</v>
      </c>
      <c r="C275" s="77" t="s">
        <v>950</v>
      </c>
      <c r="D275" s="57">
        <f t="shared" si="21"/>
        <v>2</v>
      </c>
      <c r="E275" s="57">
        <f t="shared" si="22"/>
        <v>0</v>
      </c>
      <c r="F275" s="57">
        <f t="shared" si="23"/>
        <v>17</v>
      </c>
      <c r="G275" s="57">
        <f t="shared" si="24"/>
        <v>0</v>
      </c>
      <c r="H275" s="57">
        <f t="shared" si="25"/>
        <v>0</v>
      </c>
      <c r="I275" s="116">
        <v>1</v>
      </c>
      <c r="J275" s="116">
        <v>1</v>
      </c>
      <c r="K275" s="116">
        <v>0</v>
      </c>
      <c r="L275" s="116">
        <v>0</v>
      </c>
      <c r="M275" s="116">
        <v>0</v>
      </c>
      <c r="N275" s="116">
        <v>0</v>
      </c>
      <c r="O275" s="116">
        <v>13</v>
      </c>
      <c r="P275" s="116">
        <v>4</v>
      </c>
      <c r="Q275" s="116">
        <v>0</v>
      </c>
      <c r="R275" s="116">
        <v>0</v>
      </c>
      <c r="S275" s="116">
        <v>0</v>
      </c>
      <c r="T275" s="116">
        <v>0</v>
      </c>
      <c r="U275" s="116">
        <v>0</v>
      </c>
      <c r="V275" s="116">
        <v>0</v>
      </c>
      <c r="W275" s="116">
        <v>0</v>
      </c>
    </row>
    <row r="276" spans="1:23">
      <c r="A276" s="76" t="s">
        <v>643</v>
      </c>
      <c r="B276" s="76" t="s">
        <v>644</v>
      </c>
      <c r="C276" s="77" t="s">
        <v>950</v>
      </c>
      <c r="D276" s="57">
        <f t="shared" si="21"/>
        <v>0</v>
      </c>
      <c r="E276" s="57">
        <f t="shared" si="22"/>
        <v>0</v>
      </c>
      <c r="F276" s="57">
        <f t="shared" si="23"/>
        <v>9</v>
      </c>
      <c r="G276" s="57">
        <f t="shared" si="24"/>
        <v>0</v>
      </c>
      <c r="H276" s="57">
        <f t="shared" si="25"/>
        <v>0</v>
      </c>
      <c r="I276" s="116">
        <v>0</v>
      </c>
      <c r="J276" s="116">
        <v>0</v>
      </c>
      <c r="K276" s="116">
        <v>0</v>
      </c>
      <c r="L276" s="116">
        <v>0</v>
      </c>
      <c r="M276" s="116">
        <v>0</v>
      </c>
      <c r="N276" s="116">
        <v>0</v>
      </c>
      <c r="O276" s="116">
        <v>6</v>
      </c>
      <c r="P276" s="116">
        <v>3</v>
      </c>
      <c r="Q276" s="116">
        <v>0</v>
      </c>
      <c r="R276" s="116">
        <v>0</v>
      </c>
      <c r="S276" s="116">
        <v>0</v>
      </c>
      <c r="T276" s="116">
        <v>0</v>
      </c>
      <c r="U276" s="116">
        <v>0</v>
      </c>
      <c r="V276" s="116">
        <v>0</v>
      </c>
      <c r="W276" s="116">
        <v>0</v>
      </c>
    </row>
    <row r="277" spans="1:23">
      <c r="A277" s="76" t="s">
        <v>663</v>
      </c>
      <c r="B277" s="76" t="s">
        <v>664</v>
      </c>
      <c r="C277" s="77" t="s">
        <v>950</v>
      </c>
      <c r="D277" s="57">
        <f t="shared" si="21"/>
        <v>0</v>
      </c>
      <c r="E277" s="57">
        <f t="shared" si="22"/>
        <v>0</v>
      </c>
      <c r="F277" s="57">
        <f t="shared" si="23"/>
        <v>0</v>
      </c>
      <c r="G277" s="57">
        <f t="shared" si="24"/>
        <v>0</v>
      </c>
      <c r="H277" s="57">
        <f t="shared" si="25"/>
        <v>11</v>
      </c>
      <c r="I277" s="116">
        <v>0</v>
      </c>
      <c r="J277" s="116">
        <v>0</v>
      </c>
      <c r="K277" s="116">
        <v>0</v>
      </c>
      <c r="L277" s="116">
        <v>0</v>
      </c>
      <c r="M277" s="116">
        <v>0</v>
      </c>
      <c r="N277" s="116">
        <v>0</v>
      </c>
      <c r="O277" s="116">
        <v>0</v>
      </c>
      <c r="P277" s="116">
        <v>0</v>
      </c>
      <c r="Q277" s="116">
        <v>0</v>
      </c>
      <c r="R277" s="116">
        <v>0</v>
      </c>
      <c r="S277" s="116">
        <v>0</v>
      </c>
      <c r="T277" s="116">
        <v>0</v>
      </c>
      <c r="U277" s="116">
        <v>9</v>
      </c>
      <c r="V277" s="116">
        <v>2</v>
      </c>
      <c r="W277" s="116">
        <v>0</v>
      </c>
    </row>
    <row r="278" spans="1:23">
      <c r="A278" s="76" t="s">
        <v>217</v>
      </c>
      <c r="B278" s="76" t="s">
        <v>218</v>
      </c>
      <c r="C278" s="77" t="s">
        <v>950</v>
      </c>
      <c r="D278" s="57">
        <f t="shared" si="21"/>
        <v>0</v>
      </c>
      <c r="E278" s="57">
        <f t="shared" si="22"/>
        <v>4</v>
      </c>
      <c r="F278" s="57">
        <f t="shared" si="23"/>
        <v>0</v>
      </c>
      <c r="G278" s="57">
        <f t="shared" si="24"/>
        <v>18</v>
      </c>
      <c r="H278" s="57">
        <f t="shared" si="25"/>
        <v>0</v>
      </c>
      <c r="I278" s="116">
        <v>0</v>
      </c>
      <c r="J278" s="116">
        <v>0</v>
      </c>
      <c r="K278" s="116">
        <v>0</v>
      </c>
      <c r="L278" s="116">
        <v>3</v>
      </c>
      <c r="M278" s="116">
        <v>1</v>
      </c>
      <c r="N278" s="116">
        <v>0</v>
      </c>
      <c r="O278" s="116">
        <v>0</v>
      </c>
      <c r="P278" s="116">
        <v>0</v>
      </c>
      <c r="Q278" s="116">
        <v>0</v>
      </c>
      <c r="R278" s="116">
        <v>15</v>
      </c>
      <c r="S278" s="116">
        <v>3</v>
      </c>
      <c r="T278" s="116">
        <v>0</v>
      </c>
      <c r="U278" s="116">
        <v>0</v>
      </c>
      <c r="V278" s="116">
        <v>0</v>
      </c>
      <c r="W278" s="116">
        <v>0</v>
      </c>
    </row>
    <row r="279" spans="1:23">
      <c r="A279" s="76" t="s">
        <v>667</v>
      </c>
      <c r="B279" s="76" t="s">
        <v>668</v>
      </c>
      <c r="C279" s="77" t="s">
        <v>950</v>
      </c>
      <c r="D279" s="57">
        <f t="shared" si="21"/>
        <v>2</v>
      </c>
      <c r="E279" s="57">
        <f t="shared" si="22"/>
        <v>0</v>
      </c>
      <c r="F279" s="57">
        <f t="shared" si="23"/>
        <v>13</v>
      </c>
      <c r="G279" s="57">
        <f t="shared" si="24"/>
        <v>0</v>
      </c>
      <c r="H279" s="57">
        <f t="shared" si="25"/>
        <v>0</v>
      </c>
      <c r="I279" s="116">
        <v>1</v>
      </c>
      <c r="J279" s="116">
        <v>1</v>
      </c>
      <c r="K279" s="116">
        <v>0</v>
      </c>
      <c r="L279" s="116">
        <v>0</v>
      </c>
      <c r="M279" s="116">
        <v>0</v>
      </c>
      <c r="N279" s="116">
        <v>0</v>
      </c>
      <c r="O279" s="116">
        <v>9</v>
      </c>
      <c r="P279" s="116">
        <v>4</v>
      </c>
      <c r="Q279" s="116">
        <v>0</v>
      </c>
      <c r="R279" s="116">
        <v>0</v>
      </c>
      <c r="S279" s="116">
        <v>0</v>
      </c>
      <c r="T279" s="116">
        <v>0</v>
      </c>
      <c r="U279" s="116">
        <v>0</v>
      </c>
      <c r="V279" s="116">
        <v>0</v>
      </c>
      <c r="W279" s="116">
        <v>0</v>
      </c>
    </row>
    <row r="280" spans="1:23">
      <c r="A280" s="76" t="s">
        <v>220</v>
      </c>
      <c r="B280" s="76" t="s">
        <v>221</v>
      </c>
      <c r="C280" s="77" t="s">
        <v>950</v>
      </c>
      <c r="D280" s="57">
        <f t="shared" si="21"/>
        <v>0</v>
      </c>
      <c r="E280" s="57">
        <f t="shared" si="22"/>
        <v>0</v>
      </c>
      <c r="F280" s="57">
        <f t="shared" si="23"/>
        <v>15</v>
      </c>
      <c r="G280" s="57">
        <f t="shared" si="24"/>
        <v>0</v>
      </c>
      <c r="H280" s="57">
        <f t="shared" si="25"/>
        <v>0</v>
      </c>
      <c r="I280" s="116">
        <v>0</v>
      </c>
      <c r="J280" s="116">
        <v>0</v>
      </c>
      <c r="K280" s="116">
        <v>0</v>
      </c>
      <c r="L280" s="116">
        <v>0</v>
      </c>
      <c r="M280" s="116">
        <v>0</v>
      </c>
      <c r="N280" s="116">
        <v>0</v>
      </c>
      <c r="O280" s="116">
        <v>12</v>
      </c>
      <c r="P280" s="116">
        <v>3</v>
      </c>
      <c r="Q280" s="116">
        <v>0</v>
      </c>
      <c r="R280" s="116">
        <v>0</v>
      </c>
      <c r="S280" s="116">
        <v>0</v>
      </c>
      <c r="T280" s="116">
        <v>0</v>
      </c>
      <c r="U280" s="116">
        <v>0</v>
      </c>
      <c r="V280" s="116">
        <v>0</v>
      </c>
      <c r="W280" s="116">
        <v>0</v>
      </c>
    </row>
    <row r="281" spans="1:23">
      <c r="A281" s="76" t="s">
        <v>669</v>
      </c>
      <c r="B281" s="76" t="s">
        <v>670</v>
      </c>
      <c r="C281" s="77" t="s">
        <v>950</v>
      </c>
      <c r="D281" s="57">
        <f t="shared" si="21"/>
        <v>0</v>
      </c>
      <c r="E281" s="57">
        <f t="shared" si="22"/>
        <v>0</v>
      </c>
      <c r="F281" s="57">
        <f t="shared" si="23"/>
        <v>19</v>
      </c>
      <c r="G281" s="57">
        <f t="shared" si="24"/>
        <v>0</v>
      </c>
      <c r="H281" s="57">
        <f t="shared" si="25"/>
        <v>0</v>
      </c>
      <c r="I281" s="116">
        <v>0</v>
      </c>
      <c r="J281" s="116">
        <v>0</v>
      </c>
      <c r="K281" s="116">
        <v>0</v>
      </c>
      <c r="L281" s="116">
        <v>0</v>
      </c>
      <c r="M281" s="116">
        <v>0</v>
      </c>
      <c r="N281" s="116">
        <v>0</v>
      </c>
      <c r="O281" s="116">
        <v>12</v>
      </c>
      <c r="P281" s="116">
        <v>7</v>
      </c>
      <c r="Q281" s="116">
        <v>0</v>
      </c>
      <c r="R281" s="116">
        <v>0</v>
      </c>
      <c r="S281" s="116">
        <v>0</v>
      </c>
      <c r="T281" s="116">
        <v>0</v>
      </c>
      <c r="U281" s="116">
        <v>0</v>
      </c>
      <c r="V281" s="116">
        <v>0</v>
      </c>
      <c r="W281" s="116">
        <v>0</v>
      </c>
    </row>
    <row r="282" spans="1:23">
      <c r="A282" s="76" t="s">
        <v>671</v>
      </c>
      <c r="B282" s="76" t="s">
        <v>672</v>
      </c>
      <c r="C282" s="77" t="s">
        <v>950</v>
      </c>
      <c r="D282" s="57">
        <f t="shared" si="21"/>
        <v>3</v>
      </c>
      <c r="E282" s="57">
        <f t="shared" si="22"/>
        <v>0</v>
      </c>
      <c r="F282" s="57">
        <f t="shared" si="23"/>
        <v>16</v>
      </c>
      <c r="G282" s="57">
        <f t="shared" si="24"/>
        <v>0</v>
      </c>
      <c r="H282" s="57">
        <f t="shared" si="25"/>
        <v>0</v>
      </c>
      <c r="I282" s="116">
        <v>2</v>
      </c>
      <c r="J282" s="116">
        <v>1</v>
      </c>
      <c r="K282" s="116">
        <v>0</v>
      </c>
      <c r="L282" s="116">
        <v>0</v>
      </c>
      <c r="M282" s="116">
        <v>0</v>
      </c>
      <c r="N282" s="116">
        <v>0</v>
      </c>
      <c r="O282" s="116">
        <v>7</v>
      </c>
      <c r="P282" s="116">
        <v>3</v>
      </c>
      <c r="Q282" s="116">
        <v>6</v>
      </c>
      <c r="R282" s="116">
        <v>0</v>
      </c>
      <c r="S282" s="116">
        <v>0</v>
      </c>
      <c r="T282" s="116">
        <v>0</v>
      </c>
      <c r="U282" s="116">
        <v>0</v>
      </c>
      <c r="V282" s="116">
        <v>0</v>
      </c>
      <c r="W282" s="116">
        <v>0</v>
      </c>
    </row>
    <row r="283" spans="1:23">
      <c r="A283" s="76" t="s">
        <v>673</v>
      </c>
      <c r="B283" s="76" t="s">
        <v>674</v>
      </c>
      <c r="C283" s="77" t="s">
        <v>950</v>
      </c>
      <c r="D283" s="57">
        <f t="shared" si="21"/>
        <v>0</v>
      </c>
      <c r="E283" s="57">
        <f t="shared" si="22"/>
        <v>0</v>
      </c>
      <c r="F283" s="57">
        <f t="shared" si="23"/>
        <v>14</v>
      </c>
      <c r="G283" s="57">
        <f t="shared" si="24"/>
        <v>0</v>
      </c>
      <c r="H283" s="57">
        <f t="shared" si="25"/>
        <v>0</v>
      </c>
      <c r="I283" s="116">
        <v>0</v>
      </c>
      <c r="J283" s="116">
        <v>0</v>
      </c>
      <c r="K283" s="116">
        <v>0</v>
      </c>
      <c r="L283" s="116">
        <v>0</v>
      </c>
      <c r="M283" s="116">
        <v>0</v>
      </c>
      <c r="N283" s="116">
        <v>0</v>
      </c>
      <c r="O283" s="116">
        <v>10</v>
      </c>
      <c r="P283" s="116">
        <v>4</v>
      </c>
      <c r="Q283" s="116">
        <v>0</v>
      </c>
      <c r="R283" s="116">
        <v>0</v>
      </c>
      <c r="S283" s="116">
        <v>0</v>
      </c>
      <c r="T283" s="116">
        <v>0</v>
      </c>
      <c r="U283" s="116">
        <v>0</v>
      </c>
      <c r="V283" s="116">
        <v>0</v>
      </c>
      <c r="W283" s="116">
        <v>0</v>
      </c>
    </row>
    <row r="284" spans="1:23">
      <c r="A284" s="76" t="s">
        <v>223</v>
      </c>
      <c r="B284" s="76" t="s">
        <v>224</v>
      </c>
      <c r="C284" s="77" t="s">
        <v>950</v>
      </c>
      <c r="D284" s="57">
        <f t="shared" si="21"/>
        <v>0</v>
      </c>
      <c r="E284" s="57">
        <f t="shared" si="22"/>
        <v>0</v>
      </c>
      <c r="F284" s="57">
        <f t="shared" si="23"/>
        <v>13</v>
      </c>
      <c r="G284" s="57">
        <f t="shared" si="24"/>
        <v>0</v>
      </c>
      <c r="H284" s="57">
        <f t="shared" si="25"/>
        <v>0</v>
      </c>
      <c r="I284" s="116">
        <v>0</v>
      </c>
      <c r="J284" s="116">
        <v>0</v>
      </c>
      <c r="K284" s="116">
        <v>0</v>
      </c>
      <c r="L284" s="116">
        <v>0</v>
      </c>
      <c r="M284" s="116">
        <v>0</v>
      </c>
      <c r="N284" s="116">
        <v>0</v>
      </c>
      <c r="O284" s="116">
        <v>8</v>
      </c>
      <c r="P284" s="116">
        <v>5</v>
      </c>
      <c r="Q284" s="116">
        <v>0</v>
      </c>
      <c r="R284" s="116">
        <v>0</v>
      </c>
      <c r="S284" s="116">
        <v>0</v>
      </c>
      <c r="T284" s="116">
        <v>0</v>
      </c>
      <c r="U284" s="116">
        <v>0</v>
      </c>
      <c r="V284" s="116">
        <v>0</v>
      </c>
      <c r="W284" s="116">
        <v>0</v>
      </c>
    </row>
    <row r="285" spans="1:23">
      <c r="A285" s="76" t="s">
        <v>679</v>
      </c>
      <c r="B285" s="76" t="s">
        <v>680</v>
      </c>
      <c r="C285" s="77" t="s">
        <v>950</v>
      </c>
      <c r="D285" s="57">
        <f t="shared" si="21"/>
        <v>1</v>
      </c>
      <c r="E285" s="57">
        <f t="shared" si="22"/>
        <v>1</v>
      </c>
      <c r="F285" s="57">
        <f t="shared" si="23"/>
        <v>14</v>
      </c>
      <c r="G285" s="57">
        <f t="shared" si="24"/>
        <v>0</v>
      </c>
      <c r="H285" s="57">
        <f t="shared" si="25"/>
        <v>0</v>
      </c>
      <c r="I285" s="116">
        <v>1</v>
      </c>
      <c r="J285" s="116">
        <v>0</v>
      </c>
      <c r="K285" s="116">
        <v>0</v>
      </c>
      <c r="L285" s="116">
        <v>0</v>
      </c>
      <c r="M285" s="116">
        <v>1</v>
      </c>
      <c r="N285" s="116">
        <v>0</v>
      </c>
      <c r="O285" s="116">
        <v>11</v>
      </c>
      <c r="P285" s="116">
        <v>3</v>
      </c>
      <c r="Q285" s="116">
        <v>0</v>
      </c>
      <c r="R285" s="116">
        <v>0</v>
      </c>
      <c r="S285" s="116">
        <v>0</v>
      </c>
      <c r="T285" s="116">
        <v>0</v>
      </c>
      <c r="U285" s="116">
        <v>0</v>
      </c>
      <c r="V285" s="116">
        <v>0</v>
      </c>
      <c r="W285" s="116">
        <v>0</v>
      </c>
    </row>
    <row r="286" spans="1:23">
      <c r="A286" s="76" t="s">
        <v>685</v>
      </c>
      <c r="B286" s="76" t="s">
        <v>686</v>
      </c>
      <c r="C286" s="77" t="s">
        <v>950</v>
      </c>
      <c r="D286" s="57">
        <f t="shared" si="21"/>
        <v>0</v>
      </c>
      <c r="E286" s="57">
        <f t="shared" si="22"/>
        <v>0</v>
      </c>
      <c r="F286" s="57">
        <f t="shared" si="23"/>
        <v>20</v>
      </c>
      <c r="G286" s="57">
        <f t="shared" si="24"/>
        <v>0</v>
      </c>
      <c r="H286" s="57">
        <f t="shared" si="25"/>
        <v>0</v>
      </c>
      <c r="I286" s="116">
        <v>0</v>
      </c>
      <c r="J286" s="116">
        <v>0</v>
      </c>
      <c r="K286" s="116">
        <v>0</v>
      </c>
      <c r="L286" s="116">
        <v>0</v>
      </c>
      <c r="M286" s="116">
        <v>0</v>
      </c>
      <c r="N286" s="116">
        <v>0</v>
      </c>
      <c r="O286" s="116">
        <v>15</v>
      </c>
      <c r="P286" s="116">
        <v>5</v>
      </c>
      <c r="Q286" s="116">
        <v>0</v>
      </c>
      <c r="R286" s="116">
        <v>0</v>
      </c>
      <c r="S286" s="116">
        <v>0</v>
      </c>
      <c r="T286" s="116">
        <v>0</v>
      </c>
      <c r="U286" s="116">
        <v>0</v>
      </c>
      <c r="V286" s="116">
        <v>0</v>
      </c>
      <c r="W286" s="116">
        <v>0</v>
      </c>
    </row>
    <row r="287" spans="1:23">
      <c r="A287" s="76" t="s">
        <v>699</v>
      </c>
      <c r="B287" s="76" t="s">
        <v>700</v>
      </c>
      <c r="C287" s="77" t="s">
        <v>950</v>
      </c>
      <c r="D287" s="57">
        <f t="shared" si="21"/>
        <v>2</v>
      </c>
      <c r="E287" s="57">
        <f t="shared" si="22"/>
        <v>0</v>
      </c>
      <c r="F287" s="57">
        <f t="shared" si="23"/>
        <v>16</v>
      </c>
      <c r="G287" s="57">
        <f t="shared" si="24"/>
        <v>0</v>
      </c>
      <c r="H287" s="57">
        <f t="shared" si="25"/>
        <v>0</v>
      </c>
      <c r="I287" s="116">
        <v>0</v>
      </c>
      <c r="J287" s="116">
        <v>1</v>
      </c>
      <c r="K287" s="116">
        <v>1</v>
      </c>
      <c r="L287" s="116">
        <v>0</v>
      </c>
      <c r="M287" s="116">
        <v>0</v>
      </c>
      <c r="N287" s="116">
        <v>0</v>
      </c>
      <c r="O287" s="116">
        <v>11</v>
      </c>
      <c r="P287" s="116">
        <v>2</v>
      </c>
      <c r="Q287" s="116">
        <v>3</v>
      </c>
      <c r="R287" s="116">
        <v>0</v>
      </c>
      <c r="S287" s="116">
        <v>0</v>
      </c>
      <c r="T287" s="116">
        <v>0</v>
      </c>
      <c r="U287" s="116">
        <v>0</v>
      </c>
      <c r="V287" s="116">
        <v>0</v>
      </c>
      <c r="W287" s="116">
        <v>0</v>
      </c>
    </row>
    <row r="288" spans="1:23">
      <c r="A288" s="76" t="s">
        <v>226</v>
      </c>
      <c r="B288" s="76" t="s">
        <v>227</v>
      </c>
      <c r="C288" s="77" t="s">
        <v>950</v>
      </c>
      <c r="D288" s="57">
        <f t="shared" si="21"/>
        <v>0</v>
      </c>
      <c r="E288" s="57">
        <f t="shared" si="22"/>
        <v>0</v>
      </c>
      <c r="F288" s="57">
        <f t="shared" si="23"/>
        <v>11</v>
      </c>
      <c r="G288" s="57">
        <f t="shared" si="24"/>
        <v>0</v>
      </c>
      <c r="H288" s="57">
        <f t="shared" si="25"/>
        <v>0</v>
      </c>
      <c r="I288" s="116">
        <v>0</v>
      </c>
      <c r="J288" s="116">
        <v>0</v>
      </c>
      <c r="K288" s="116">
        <v>0</v>
      </c>
      <c r="L288" s="116">
        <v>0</v>
      </c>
      <c r="M288" s="116">
        <v>0</v>
      </c>
      <c r="N288" s="116">
        <v>0</v>
      </c>
      <c r="O288" s="116">
        <v>8</v>
      </c>
      <c r="P288" s="116">
        <v>3</v>
      </c>
      <c r="Q288" s="116">
        <v>0</v>
      </c>
      <c r="R288" s="116">
        <v>0</v>
      </c>
      <c r="S288" s="116">
        <v>0</v>
      </c>
      <c r="T288" s="116">
        <v>0</v>
      </c>
      <c r="U288" s="116">
        <v>0</v>
      </c>
      <c r="V288" s="116">
        <v>0</v>
      </c>
      <c r="W288" s="116">
        <v>0</v>
      </c>
    </row>
    <row r="289" spans="1:23">
      <c r="A289" s="76" t="s">
        <v>705</v>
      </c>
      <c r="B289" s="76" t="s">
        <v>706</v>
      </c>
      <c r="C289" s="77" t="s">
        <v>950</v>
      </c>
      <c r="D289" s="57">
        <f t="shared" si="21"/>
        <v>2</v>
      </c>
      <c r="E289" s="57">
        <f t="shared" si="22"/>
        <v>0</v>
      </c>
      <c r="F289" s="57">
        <f t="shared" si="23"/>
        <v>21</v>
      </c>
      <c r="G289" s="57">
        <f t="shared" si="24"/>
        <v>0</v>
      </c>
      <c r="H289" s="57">
        <f t="shared" si="25"/>
        <v>0</v>
      </c>
      <c r="I289" s="116">
        <v>1</v>
      </c>
      <c r="J289" s="116">
        <v>1</v>
      </c>
      <c r="K289" s="116">
        <v>0</v>
      </c>
      <c r="L289" s="116">
        <v>0</v>
      </c>
      <c r="M289" s="116">
        <v>0</v>
      </c>
      <c r="N289" s="116">
        <v>0</v>
      </c>
      <c r="O289" s="116">
        <v>14</v>
      </c>
      <c r="P289" s="116">
        <v>7</v>
      </c>
      <c r="Q289" s="116">
        <v>0</v>
      </c>
      <c r="R289" s="116">
        <v>0</v>
      </c>
      <c r="S289" s="116">
        <v>0</v>
      </c>
      <c r="T289" s="116">
        <v>0</v>
      </c>
      <c r="U289" s="116">
        <v>0</v>
      </c>
      <c r="V289" s="116">
        <v>0</v>
      </c>
      <c r="W289" s="116">
        <v>0</v>
      </c>
    </row>
    <row r="290" spans="1:23">
      <c r="A290" s="76" t="s">
        <v>707</v>
      </c>
      <c r="B290" s="76" t="s">
        <v>708</v>
      </c>
      <c r="C290" s="77" t="s">
        <v>950</v>
      </c>
      <c r="D290" s="57">
        <f t="shared" si="21"/>
        <v>0</v>
      </c>
      <c r="E290" s="57">
        <f t="shared" si="22"/>
        <v>2</v>
      </c>
      <c r="F290" s="57">
        <f t="shared" si="23"/>
        <v>13</v>
      </c>
      <c r="G290" s="57">
        <f t="shared" si="24"/>
        <v>0</v>
      </c>
      <c r="H290" s="57">
        <f t="shared" si="25"/>
        <v>0</v>
      </c>
      <c r="I290" s="116">
        <v>0</v>
      </c>
      <c r="J290" s="116">
        <v>0</v>
      </c>
      <c r="K290" s="116">
        <v>0</v>
      </c>
      <c r="L290" s="116">
        <v>1</v>
      </c>
      <c r="M290" s="116">
        <v>1</v>
      </c>
      <c r="N290" s="116">
        <v>0</v>
      </c>
      <c r="O290" s="116">
        <v>8</v>
      </c>
      <c r="P290" s="116">
        <v>5</v>
      </c>
      <c r="Q290" s="116">
        <v>0</v>
      </c>
      <c r="R290" s="116">
        <v>0</v>
      </c>
      <c r="S290" s="116">
        <v>0</v>
      </c>
      <c r="T290" s="116">
        <v>0</v>
      </c>
      <c r="U290" s="116">
        <v>0</v>
      </c>
      <c r="V290" s="116">
        <v>0</v>
      </c>
      <c r="W290" s="116">
        <v>0</v>
      </c>
    </row>
    <row r="291" spans="1:23">
      <c r="A291" s="76" t="s">
        <v>81</v>
      </c>
      <c r="B291" s="76" t="s">
        <v>82</v>
      </c>
      <c r="C291" s="77" t="s">
        <v>950</v>
      </c>
      <c r="D291" s="57">
        <f t="shared" si="21"/>
        <v>0</v>
      </c>
      <c r="E291" s="57">
        <f t="shared" si="22"/>
        <v>15</v>
      </c>
      <c r="F291" s="57">
        <f t="shared" si="23"/>
        <v>9</v>
      </c>
      <c r="G291" s="57">
        <f t="shared" si="24"/>
        <v>0</v>
      </c>
      <c r="H291" s="57">
        <f t="shared" si="25"/>
        <v>0</v>
      </c>
      <c r="I291" s="116">
        <v>0</v>
      </c>
      <c r="J291" s="116">
        <v>0</v>
      </c>
      <c r="K291" s="116">
        <v>0</v>
      </c>
      <c r="L291" s="116">
        <v>5</v>
      </c>
      <c r="M291" s="116">
        <v>10</v>
      </c>
      <c r="N291" s="116">
        <v>0</v>
      </c>
      <c r="O291" s="116">
        <v>5</v>
      </c>
      <c r="P291" s="116">
        <v>4</v>
      </c>
      <c r="Q291" s="116">
        <v>0</v>
      </c>
      <c r="R291" s="116">
        <v>0</v>
      </c>
      <c r="S291" s="116">
        <v>0</v>
      </c>
      <c r="T291" s="116">
        <v>0</v>
      </c>
      <c r="U291" s="116">
        <v>0</v>
      </c>
      <c r="V291" s="116">
        <v>0</v>
      </c>
      <c r="W291" s="116">
        <v>0</v>
      </c>
    </row>
    <row r="292" spans="1:23">
      <c r="A292" s="76" t="s">
        <v>719</v>
      </c>
      <c r="B292" s="76" t="s">
        <v>720</v>
      </c>
      <c r="C292" s="77" t="s">
        <v>950</v>
      </c>
      <c r="D292" s="57">
        <f t="shared" si="21"/>
        <v>0</v>
      </c>
      <c r="E292" s="57">
        <f t="shared" si="22"/>
        <v>0</v>
      </c>
      <c r="F292" s="57">
        <f t="shared" si="23"/>
        <v>0</v>
      </c>
      <c r="G292" s="57">
        <f t="shared" si="24"/>
        <v>9</v>
      </c>
      <c r="H292" s="57">
        <f t="shared" si="25"/>
        <v>0</v>
      </c>
      <c r="I292" s="116">
        <v>0</v>
      </c>
      <c r="J292" s="116">
        <v>0</v>
      </c>
      <c r="K292" s="116">
        <v>0</v>
      </c>
      <c r="L292" s="116">
        <v>0</v>
      </c>
      <c r="M292" s="116">
        <v>0</v>
      </c>
      <c r="N292" s="116">
        <v>0</v>
      </c>
      <c r="O292" s="116">
        <v>0</v>
      </c>
      <c r="P292" s="116">
        <v>0</v>
      </c>
      <c r="Q292" s="116">
        <v>0</v>
      </c>
      <c r="R292" s="116">
        <v>7</v>
      </c>
      <c r="S292" s="116">
        <v>2</v>
      </c>
      <c r="T292" s="116">
        <v>0</v>
      </c>
      <c r="U292" s="116">
        <v>0</v>
      </c>
      <c r="V292" s="116">
        <v>0</v>
      </c>
      <c r="W292" s="116">
        <v>0</v>
      </c>
    </row>
    <row r="293" spans="1:23">
      <c r="A293" s="76" t="s">
        <v>721</v>
      </c>
      <c r="B293" s="76" t="s">
        <v>722</v>
      </c>
      <c r="C293" s="77" t="s">
        <v>950</v>
      </c>
      <c r="D293" s="57">
        <f t="shared" si="21"/>
        <v>2</v>
      </c>
      <c r="E293" s="57">
        <f t="shared" si="22"/>
        <v>0</v>
      </c>
      <c r="F293" s="57">
        <f t="shared" si="23"/>
        <v>20</v>
      </c>
      <c r="G293" s="57">
        <f t="shared" si="24"/>
        <v>0</v>
      </c>
      <c r="H293" s="57">
        <f t="shared" si="25"/>
        <v>0</v>
      </c>
      <c r="I293" s="116">
        <v>2</v>
      </c>
      <c r="J293" s="116">
        <v>0</v>
      </c>
      <c r="K293" s="116">
        <v>0</v>
      </c>
      <c r="L293" s="116">
        <v>0</v>
      </c>
      <c r="M293" s="116">
        <v>0</v>
      </c>
      <c r="N293" s="116">
        <v>0</v>
      </c>
      <c r="O293" s="116">
        <v>12</v>
      </c>
      <c r="P293" s="116">
        <v>8</v>
      </c>
      <c r="Q293" s="116">
        <v>0</v>
      </c>
      <c r="R293" s="116">
        <v>0</v>
      </c>
      <c r="S293" s="116">
        <v>0</v>
      </c>
      <c r="T293" s="116">
        <v>0</v>
      </c>
      <c r="U293" s="116">
        <v>0</v>
      </c>
      <c r="V293" s="116">
        <v>0</v>
      </c>
      <c r="W293" s="116">
        <v>0</v>
      </c>
    </row>
    <row r="294" spans="1:23">
      <c r="A294" s="76" t="s">
        <v>727</v>
      </c>
      <c r="B294" s="76" t="s">
        <v>728</v>
      </c>
      <c r="C294" s="77" t="s">
        <v>950</v>
      </c>
      <c r="D294" s="57">
        <f t="shared" si="21"/>
        <v>4</v>
      </c>
      <c r="E294" s="57">
        <f t="shared" si="22"/>
        <v>8</v>
      </c>
      <c r="F294" s="57">
        <f t="shared" si="23"/>
        <v>4</v>
      </c>
      <c r="G294" s="57">
        <f t="shared" si="24"/>
        <v>0</v>
      </c>
      <c r="H294" s="57">
        <f t="shared" si="25"/>
        <v>0</v>
      </c>
      <c r="I294" s="116">
        <v>1</v>
      </c>
      <c r="J294" s="116">
        <v>3</v>
      </c>
      <c r="K294" s="116">
        <v>0</v>
      </c>
      <c r="L294" s="116">
        <v>4</v>
      </c>
      <c r="M294" s="116">
        <v>4</v>
      </c>
      <c r="N294" s="116">
        <v>0</v>
      </c>
      <c r="O294" s="116">
        <v>2</v>
      </c>
      <c r="P294" s="116">
        <v>2</v>
      </c>
      <c r="Q294" s="116">
        <v>0</v>
      </c>
      <c r="R294" s="116">
        <v>0</v>
      </c>
      <c r="S294" s="116">
        <v>0</v>
      </c>
      <c r="T294" s="116">
        <v>0</v>
      </c>
      <c r="U294" s="116">
        <v>0</v>
      </c>
      <c r="V294" s="116">
        <v>0</v>
      </c>
      <c r="W294" s="116">
        <v>0</v>
      </c>
    </row>
    <row r="295" spans="1:23">
      <c r="A295" s="76" t="s">
        <v>729</v>
      </c>
      <c r="B295" s="76" t="s">
        <v>730</v>
      </c>
      <c r="C295" s="77" t="s">
        <v>950</v>
      </c>
      <c r="D295" s="57">
        <f t="shared" si="21"/>
        <v>0</v>
      </c>
      <c r="E295" s="57">
        <f t="shared" si="22"/>
        <v>0</v>
      </c>
      <c r="F295" s="57">
        <f t="shared" si="23"/>
        <v>0</v>
      </c>
      <c r="G295" s="57">
        <f t="shared" si="24"/>
        <v>15</v>
      </c>
      <c r="H295" s="57">
        <f t="shared" si="25"/>
        <v>0</v>
      </c>
      <c r="I295" s="116">
        <v>0</v>
      </c>
      <c r="J295" s="116">
        <v>0</v>
      </c>
      <c r="K295" s="116">
        <v>0</v>
      </c>
      <c r="L295" s="116">
        <v>0</v>
      </c>
      <c r="M295" s="116">
        <v>0</v>
      </c>
      <c r="N295" s="116">
        <v>0</v>
      </c>
      <c r="O295" s="116">
        <v>0</v>
      </c>
      <c r="P295" s="116">
        <v>0</v>
      </c>
      <c r="Q295" s="116">
        <v>0</v>
      </c>
      <c r="R295" s="116">
        <v>12</v>
      </c>
      <c r="S295" s="116">
        <v>3</v>
      </c>
      <c r="T295" s="116">
        <v>0</v>
      </c>
      <c r="U295" s="116">
        <v>0</v>
      </c>
      <c r="V295" s="116">
        <v>0</v>
      </c>
      <c r="W295" s="116">
        <v>0</v>
      </c>
    </row>
    <row r="296" spans="1:23">
      <c r="A296" s="76" t="s">
        <v>731</v>
      </c>
      <c r="B296" s="76" t="s">
        <v>732</v>
      </c>
      <c r="C296" s="77" t="s">
        <v>950</v>
      </c>
      <c r="D296" s="57">
        <f t="shared" si="21"/>
        <v>1</v>
      </c>
      <c r="E296" s="57">
        <f t="shared" si="22"/>
        <v>0</v>
      </c>
      <c r="F296" s="57">
        <f t="shared" si="23"/>
        <v>12</v>
      </c>
      <c r="G296" s="57">
        <f t="shared" si="24"/>
        <v>0</v>
      </c>
      <c r="H296" s="57">
        <f t="shared" si="25"/>
        <v>0</v>
      </c>
      <c r="I296" s="116">
        <v>1</v>
      </c>
      <c r="J296" s="116">
        <v>0</v>
      </c>
      <c r="K296" s="116">
        <v>0</v>
      </c>
      <c r="L296" s="116">
        <v>0</v>
      </c>
      <c r="M296" s="116">
        <v>0</v>
      </c>
      <c r="N296" s="116">
        <v>0</v>
      </c>
      <c r="O296" s="116">
        <v>9</v>
      </c>
      <c r="P296" s="116">
        <v>3</v>
      </c>
      <c r="Q296" s="116">
        <v>0</v>
      </c>
      <c r="R296" s="116">
        <v>0</v>
      </c>
      <c r="S296" s="116">
        <v>0</v>
      </c>
      <c r="T296" s="116">
        <v>0</v>
      </c>
      <c r="U296" s="116">
        <v>0</v>
      </c>
      <c r="V296" s="116">
        <v>0</v>
      </c>
      <c r="W296" s="116">
        <v>0</v>
      </c>
    </row>
    <row r="297" spans="1:23">
      <c r="A297" s="76" t="s">
        <v>733</v>
      </c>
      <c r="B297" s="76" t="s">
        <v>734</v>
      </c>
      <c r="C297" s="77" t="s">
        <v>950</v>
      </c>
      <c r="D297" s="57">
        <f t="shared" si="21"/>
        <v>0</v>
      </c>
      <c r="E297" s="57">
        <f t="shared" si="22"/>
        <v>0</v>
      </c>
      <c r="F297" s="57">
        <f t="shared" si="23"/>
        <v>16</v>
      </c>
      <c r="G297" s="57">
        <f t="shared" si="24"/>
        <v>0</v>
      </c>
      <c r="H297" s="57">
        <f t="shared" si="25"/>
        <v>0</v>
      </c>
      <c r="I297" s="116">
        <v>0</v>
      </c>
      <c r="J297" s="116">
        <v>0</v>
      </c>
      <c r="K297" s="116">
        <v>0</v>
      </c>
      <c r="L297" s="116">
        <v>0</v>
      </c>
      <c r="M297" s="116">
        <v>0</v>
      </c>
      <c r="N297" s="116">
        <v>0</v>
      </c>
      <c r="O297" s="116">
        <v>13</v>
      </c>
      <c r="P297" s="116">
        <v>3</v>
      </c>
      <c r="Q297" s="116">
        <v>0</v>
      </c>
      <c r="R297" s="116">
        <v>0</v>
      </c>
      <c r="S297" s="116">
        <v>0</v>
      </c>
      <c r="T297" s="116">
        <v>0</v>
      </c>
      <c r="U297" s="116">
        <v>0</v>
      </c>
      <c r="V297" s="116">
        <v>0</v>
      </c>
      <c r="W297" s="116">
        <v>0</v>
      </c>
    </row>
    <row r="298" spans="1:23">
      <c r="A298" s="76" t="s">
        <v>238</v>
      </c>
      <c r="B298" s="76" t="s">
        <v>239</v>
      </c>
      <c r="C298" s="77" t="s">
        <v>950</v>
      </c>
      <c r="D298" s="57">
        <f t="shared" si="21"/>
        <v>0</v>
      </c>
      <c r="E298" s="57">
        <f t="shared" si="22"/>
        <v>0</v>
      </c>
      <c r="F298" s="57">
        <f t="shared" si="23"/>
        <v>9</v>
      </c>
      <c r="G298" s="57">
        <f t="shared" si="24"/>
        <v>0</v>
      </c>
      <c r="H298" s="57">
        <f t="shared" si="25"/>
        <v>0</v>
      </c>
      <c r="I298" s="116">
        <v>0</v>
      </c>
      <c r="J298" s="116">
        <v>0</v>
      </c>
      <c r="K298" s="116">
        <v>0</v>
      </c>
      <c r="L298" s="116">
        <v>0</v>
      </c>
      <c r="M298" s="116">
        <v>0</v>
      </c>
      <c r="N298" s="116">
        <v>0</v>
      </c>
      <c r="O298" s="116">
        <v>7</v>
      </c>
      <c r="P298" s="116">
        <v>2</v>
      </c>
      <c r="Q298" s="116">
        <v>0</v>
      </c>
      <c r="R298" s="116">
        <v>0</v>
      </c>
      <c r="S298" s="116">
        <v>0</v>
      </c>
      <c r="T298" s="116">
        <v>0</v>
      </c>
      <c r="U298" s="116">
        <v>0</v>
      </c>
      <c r="V298" s="116">
        <v>0</v>
      </c>
      <c r="W298" s="116">
        <v>0</v>
      </c>
    </row>
    <row r="299" spans="1:23">
      <c r="A299" s="76" t="s">
        <v>753</v>
      </c>
      <c r="B299" s="76" t="s">
        <v>754</v>
      </c>
      <c r="C299" s="77" t="s">
        <v>950</v>
      </c>
      <c r="D299" s="57">
        <f t="shared" si="21"/>
        <v>0</v>
      </c>
      <c r="E299" s="57">
        <f t="shared" si="22"/>
        <v>0</v>
      </c>
      <c r="F299" s="57">
        <f t="shared" si="23"/>
        <v>14</v>
      </c>
      <c r="G299" s="57">
        <f t="shared" si="24"/>
        <v>0</v>
      </c>
      <c r="H299" s="57">
        <f t="shared" si="25"/>
        <v>0</v>
      </c>
      <c r="I299" s="116">
        <v>0</v>
      </c>
      <c r="J299" s="116">
        <v>0</v>
      </c>
      <c r="K299" s="116">
        <v>0</v>
      </c>
      <c r="L299" s="116">
        <v>0</v>
      </c>
      <c r="M299" s="116">
        <v>0</v>
      </c>
      <c r="N299" s="116">
        <v>0</v>
      </c>
      <c r="O299" s="116">
        <v>9</v>
      </c>
      <c r="P299" s="116">
        <v>5</v>
      </c>
      <c r="Q299" s="116">
        <v>0</v>
      </c>
      <c r="R299" s="116">
        <v>0</v>
      </c>
      <c r="S299" s="116">
        <v>0</v>
      </c>
      <c r="T299" s="116">
        <v>0</v>
      </c>
      <c r="U299" s="116">
        <v>0</v>
      </c>
      <c r="V299" s="116">
        <v>0</v>
      </c>
      <c r="W299" s="116">
        <v>0</v>
      </c>
    </row>
    <row r="300" spans="1:23">
      <c r="A300" s="76" t="s">
        <v>771</v>
      </c>
      <c r="B300" s="76" t="s">
        <v>772</v>
      </c>
      <c r="C300" s="77" t="s">
        <v>950</v>
      </c>
      <c r="D300" s="57">
        <f t="shared" si="21"/>
        <v>0</v>
      </c>
      <c r="E300" s="57">
        <f t="shared" si="22"/>
        <v>2</v>
      </c>
      <c r="F300" s="57">
        <f t="shared" si="23"/>
        <v>15</v>
      </c>
      <c r="G300" s="57">
        <f t="shared" si="24"/>
        <v>0</v>
      </c>
      <c r="H300" s="57">
        <f t="shared" si="25"/>
        <v>0</v>
      </c>
      <c r="I300" s="116">
        <v>0</v>
      </c>
      <c r="J300" s="116">
        <v>0</v>
      </c>
      <c r="K300" s="116">
        <v>0</v>
      </c>
      <c r="L300" s="116">
        <v>1</v>
      </c>
      <c r="M300" s="116">
        <v>1</v>
      </c>
      <c r="N300" s="116">
        <v>0</v>
      </c>
      <c r="O300" s="116">
        <v>12</v>
      </c>
      <c r="P300" s="116">
        <v>3</v>
      </c>
      <c r="Q300" s="116">
        <v>0</v>
      </c>
      <c r="R300" s="116">
        <v>0</v>
      </c>
      <c r="S300" s="116">
        <v>0</v>
      </c>
      <c r="T300" s="116">
        <v>0</v>
      </c>
      <c r="U300" s="116">
        <v>0</v>
      </c>
      <c r="V300" s="116">
        <v>0</v>
      </c>
      <c r="W300" s="116">
        <v>0</v>
      </c>
    </row>
    <row r="301" spans="1:23">
      <c r="A301" s="76" t="s">
        <v>163</v>
      </c>
      <c r="B301" s="76" t="s">
        <v>164</v>
      </c>
      <c r="C301" s="77" t="s">
        <v>950</v>
      </c>
      <c r="D301" s="57">
        <f t="shared" si="21"/>
        <v>0</v>
      </c>
      <c r="E301" s="57">
        <f t="shared" si="22"/>
        <v>0</v>
      </c>
      <c r="F301" s="57">
        <f t="shared" si="23"/>
        <v>0</v>
      </c>
      <c r="G301" s="57">
        <f t="shared" si="24"/>
        <v>10</v>
      </c>
      <c r="H301" s="57">
        <f t="shared" si="25"/>
        <v>0</v>
      </c>
      <c r="I301" s="116">
        <v>0</v>
      </c>
      <c r="J301" s="116">
        <v>0</v>
      </c>
      <c r="K301" s="116">
        <v>0</v>
      </c>
      <c r="L301" s="116">
        <v>0</v>
      </c>
      <c r="M301" s="116">
        <v>0</v>
      </c>
      <c r="N301" s="116">
        <v>0</v>
      </c>
      <c r="O301" s="116">
        <v>0</v>
      </c>
      <c r="P301" s="116">
        <v>0</v>
      </c>
      <c r="Q301" s="116">
        <v>0</v>
      </c>
      <c r="R301" s="116">
        <v>5</v>
      </c>
      <c r="S301" s="116">
        <v>5</v>
      </c>
      <c r="T301" s="116">
        <v>0</v>
      </c>
      <c r="U301" s="116">
        <v>0</v>
      </c>
      <c r="V301" s="116">
        <v>0</v>
      </c>
      <c r="W301" s="116">
        <v>0</v>
      </c>
    </row>
    <row r="302" spans="1:23">
      <c r="A302" s="76" t="s">
        <v>773</v>
      </c>
      <c r="B302" s="76" t="s">
        <v>774</v>
      </c>
      <c r="C302" s="77" t="s">
        <v>950</v>
      </c>
      <c r="D302" s="57">
        <f t="shared" si="21"/>
        <v>6</v>
      </c>
      <c r="E302" s="57">
        <f t="shared" si="22"/>
        <v>0</v>
      </c>
      <c r="F302" s="57">
        <f t="shared" si="23"/>
        <v>13</v>
      </c>
      <c r="G302" s="57">
        <f t="shared" si="24"/>
        <v>0</v>
      </c>
      <c r="H302" s="57">
        <f t="shared" si="25"/>
        <v>0</v>
      </c>
      <c r="I302" s="116">
        <v>4</v>
      </c>
      <c r="J302" s="116">
        <v>2</v>
      </c>
      <c r="K302" s="116">
        <v>0</v>
      </c>
      <c r="L302" s="116">
        <v>0</v>
      </c>
      <c r="M302" s="116">
        <v>0</v>
      </c>
      <c r="N302" s="116">
        <v>0</v>
      </c>
      <c r="O302" s="116">
        <v>12</v>
      </c>
      <c r="P302" s="116">
        <v>1</v>
      </c>
      <c r="Q302" s="116">
        <v>0</v>
      </c>
      <c r="R302" s="116">
        <v>0</v>
      </c>
      <c r="S302" s="116">
        <v>0</v>
      </c>
      <c r="T302" s="116">
        <v>0</v>
      </c>
      <c r="U302" s="116">
        <v>0</v>
      </c>
      <c r="V302" s="116">
        <v>0</v>
      </c>
      <c r="W302" s="116">
        <v>0</v>
      </c>
    </row>
    <row r="303" spans="1:23">
      <c r="A303" s="76" t="s">
        <v>247</v>
      </c>
      <c r="B303" s="76" t="s">
        <v>248</v>
      </c>
      <c r="C303" s="77" t="s">
        <v>950</v>
      </c>
      <c r="D303" s="57">
        <f t="shared" si="21"/>
        <v>0</v>
      </c>
      <c r="E303" s="57">
        <f t="shared" si="22"/>
        <v>0</v>
      </c>
      <c r="F303" s="57">
        <f t="shared" si="23"/>
        <v>15</v>
      </c>
      <c r="G303" s="57">
        <f t="shared" si="24"/>
        <v>0</v>
      </c>
      <c r="H303" s="57">
        <f t="shared" si="25"/>
        <v>0</v>
      </c>
      <c r="I303" s="116">
        <v>0</v>
      </c>
      <c r="J303" s="116">
        <v>0</v>
      </c>
      <c r="K303" s="116">
        <v>0</v>
      </c>
      <c r="L303" s="116">
        <v>0</v>
      </c>
      <c r="M303" s="116">
        <v>0</v>
      </c>
      <c r="N303" s="116">
        <v>0</v>
      </c>
      <c r="O303" s="116">
        <v>13</v>
      </c>
      <c r="P303" s="116">
        <v>2</v>
      </c>
      <c r="Q303" s="116">
        <v>0</v>
      </c>
      <c r="R303" s="116">
        <v>0</v>
      </c>
      <c r="S303" s="116">
        <v>0</v>
      </c>
      <c r="T303" s="116">
        <v>0</v>
      </c>
      <c r="U303" s="116">
        <v>0</v>
      </c>
      <c r="V303" s="116">
        <v>0</v>
      </c>
      <c r="W303" s="116">
        <v>0</v>
      </c>
    </row>
    <row r="304" spans="1:23">
      <c r="A304" s="76" t="s">
        <v>166</v>
      </c>
      <c r="B304" s="76" t="s">
        <v>167</v>
      </c>
      <c r="C304" s="77" t="s">
        <v>950</v>
      </c>
      <c r="D304" s="57">
        <f t="shared" si="21"/>
        <v>9</v>
      </c>
      <c r="E304" s="57">
        <f t="shared" si="22"/>
        <v>0</v>
      </c>
      <c r="F304" s="57">
        <f t="shared" si="23"/>
        <v>10</v>
      </c>
      <c r="G304" s="57">
        <f t="shared" si="24"/>
        <v>0</v>
      </c>
      <c r="H304" s="57">
        <f t="shared" si="25"/>
        <v>0</v>
      </c>
      <c r="I304" s="116">
        <v>8</v>
      </c>
      <c r="J304" s="116">
        <v>1</v>
      </c>
      <c r="K304" s="116">
        <v>0</v>
      </c>
      <c r="L304" s="116">
        <v>0</v>
      </c>
      <c r="M304" s="116">
        <v>0</v>
      </c>
      <c r="N304" s="116">
        <v>0</v>
      </c>
      <c r="O304" s="116">
        <v>5</v>
      </c>
      <c r="P304" s="116">
        <v>5</v>
      </c>
      <c r="Q304" s="116">
        <v>0</v>
      </c>
      <c r="R304" s="116">
        <v>0</v>
      </c>
      <c r="S304" s="116">
        <v>0</v>
      </c>
      <c r="T304" s="116">
        <v>0</v>
      </c>
      <c r="U304" s="116">
        <v>0</v>
      </c>
      <c r="V304" s="116">
        <v>0</v>
      </c>
      <c r="W304" s="116">
        <v>0</v>
      </c>
    </row>
    <row r="305" spans="1:23">
      <c r="A305" s="76" t="s">
        <v>169</v>
      </c>
      <c r="B305" s="76" t="s">
        <v>170</v>
      </c>
      <c r="C305" s="77" t="s">
        <v>950</v>
      </c>
      <c r="D305" s="57">
        <f t="shared" si="21"/>
        <v>1</v>
      </c>
      <c r="E305" s="57">
        <f t="shared" si="22"/>
        <v>0</v>
      </c>
      <c r="F305" s="57">
        <f t="shared" si="23"/>
        <v>14</v>
      </c>
      <c r="G305" s="57">
        <f t="shared" si="24"/>
        <v>0</v>
      </c>
      <c r="H305" s="57">
        <f t="shared" si="25"/>
        <v>0</v>
      </c>
      <c r="I305" s="116">
        <v>0</v>
      </c>
      <c r="J305" s="116">
        <v>1</v>
      </c>
      <c r="K305" s="116">
        <v>0</v>
      </c>
      <c r="L305" s="116">
        <v>0</v>
      </c>
      <c r="M305" s="116">
        <v>0</v>
      </c>
      <c r="N305" s="116">
        <v>0</v>
      </c>
      <c r="O305" s="116">
        <v>12</v>
      </c>
      <c r="P305" s="116">
        <v>2</v>
      </c>
      <c r="Q305" s="116">
        <v>0</v>
      </c>
      <c r="R305" s="116">
        <v>0</v>
      </c>
      <c r="S305" s="116">
        <v>0</v>
      </c>
      <c r="T305" s="116">
        <v>0</v>
      </c>
      <c r="U305" s="116">
        <v>0</v>
      </c>
      <c r="V305" s="116">
        <v>0</v>
      </c>
      <c r="W305" s="116">
        <v>0</v>
      </c>
    </row>
    <row r="306" spans="1:23">
      <c r="A306" s="76" t="s">
        <v>253</v>
      </c>
      <c r="B306" s="76" t="s">
        <v>254</v>
      </c>
      <c r="C306" s="77" t="s">
        <v>950</v>
      </c>
      <c r="D306" s="57">
        <f t="shared" si="21"/>
        <v>3</v>
      </c>
      <c r="E306" s="57">
        <f t="shared" si="22"/>
        <v>0</v>
      </c>
      <c r="F306" s="57">
        <f t="shared" si="23"/>
        <v>13</v>
      </c>
      <c r="G306" s="57">
        <f t="shared" si="24"/>
        <v>0</v>
      </c>
      <c r="H306" s="57">
        <f t="shared" si="25"/>
        <v>0</v>
      </c>
      <c r="I306" s="116">
        <v>2</v>
      </c>
      <c r="J306" s="116">
        <v>1</v>
      </c>
      <c r="K306" s="116">
        <v>0</v>
      </c>
      <c r="L306" s="116">
        <v>0</v>
      </c>
      <c r="M306" s="116">
        <v>0</v>
      </c>
      <c r="N306" s="116">
        <v>0</v>
      </c>
      <c r="O306" s="116">
        <v>8</v>
      </c>
      <c r="P306" s="116">
        <v>5</v>
      </c>
      <c r="Q306" s="116">
        <v>0</v>
      </c>
      <c r="R306" s="116">
        <v>0</v>
      </c>
      <c r="S306" s="116">
        <v>0</v>
      </c>
      <c r="T306" s="116">
        <v>0</v>
      </c>
      <c r="U306" s="116">
        <v>0</v>
      </c>
      <c r="V306" s="116">
        <v>0</v>
      </c>
      <c r="W306" s="116">
        <v>0</v>
      </c>
    </row>
    <row r="307" spans="1:23">
      <c r="A307" s="76" t="s">
        <v>779</v>
      </c>
      <c r="B307" s="76" t="s">
        <v>780</v>
      </c>
      <c r="C307" s="77" t="s">
        <v>950</v>
      </c>
      <c r="D307" s="57">
        <f t="shared" si="21"/>
        <v>1</v>
      </c>
      <c r="E307" s="57">
        <f t="shared" si="22"/>
        <v>3</v>
      </c>
      <c r="F307" s="57">
        <f t="shared" si="23"/>
        <v>14</v>
      </c>
      <c r="G307" s="57">
        <f t="shared" si="24"/>
        <v>0</v>
      </c>
      <c r="H307" s="57">
        <f t="shared" si="25"/>
        <v>0</v>
      </c>
      <c r="I307" s="116">
        <v>1</v>
      </c>
      <c r="J307" s="116">
        <v>0</v>
      </c>
      <c r="K307" s="116">
        <v>0</v>
      </c>
      <c r="L307" s="116">
        <v>2</v>
      </c>
      <c r="M307" s="116">
        <v>1</v>
      </c>
      <c r="N307" s="116">
        <v>0</v>
      </c>
      <c r="O307" s="116">
        <v>13</v>
      </c>
      <c r="P307" s="116">
        <v>1</v>
      </c>
      <c r="Q307" s="116">
        <v>0</v>
      </c>
      <c r="R307" s="116">
        <v>0</v>
      </c>
      <c r="S307" s="116">
        <v>0</v>
      </c>
      <c r="T307" s="116">
        <v>0</v>
      </c>
      <c r="U307" s="116">
        <v>0</v>
      </c>
      <c r="V307" s="116">
        <v>0</v>
      </c>
      <c r="W307" s="116">
        <v>0</v>
      </c>
    </row>
    <row r="308" spans="1:23">
      <c r="A308" s="76" t="s">
        <v>175</v>
      </c>
      <c r="B308" s="76" t="s">
        <v>176</v>
      </c>
      <c r="C308" s="77" t="s">
        <v>950</v>
      </c>
      <c r="D308" s="57">
        <f t="shared" si="21"/>
        <v>0</v>
      </c>
      <c r="E308" s="57">
        <f t="shared" si="22"/>
        <v>0</v>
      </c>
      <c r="F308" s="57">
        <f t="shared" si="23"/>
        <v>0</v>
      </c>
      <c r="G308" s="57">
        <f t="shared" si="24"/>
        <v>0</v>
      </c>
      <c r="H308" s="57">
        <f t="shared" si="25"/>
        <v>15</v>
      </c>
      <c r="I308" s="116">
        <v>0</v>
      </c>
      <c r="J308" s="116">
        <v>0</v>
      </c>
      <c r="K308" s="116">
        <v>0</v>
      </c>
      <c r="L308" s="116">
        <v>0</v>
      </c>
      <c r="M308" s="116">
        <v>0</v>
      </c>
      <c r="N308" s="116">
        <v>0</v>
      </c>
      <c r="O308" s="116">
        <v>0</v>
      </c>
      <c r="P308" s="116">
        <v>0</v>
      </c>
      <c r="Q308" s="116">
        <v>0</v>
      </c>
      <c r="R308" s="116">
        <v>0</v>
      </c>
      <c r="S308" s="116">
        <v>0</v>
      </c>
      <c r="T308" s="116">
        <v>0</v>
      </c>
      <c r="U308" s="116">
        <v>11</v>
      </c>
      <c r="V308" s="116">
        <v>4</v>
      </c>
      <c r="W308" s="116">
        <v>0</v>
      </c>
    </row>
    <row r="309" spans="1:23">
      <c r="A309" s="76" t="s">
        <v>799</v>
      </c>
      <c r="B309" s="76" t="s">
        <v>800</v>
      </c>
      <c r="C309" s="77" t="s">
        <v>950</v>
      </c>
      <c r="D309" s="57">
        <f t="shared" si="21"/>
        <v>2</v>
      </c>
      <c r="E309" s="57">
        <f t="shared" si="22"/>
        <v>2</v>
      </c>
      <c r="F309" s="57">
        <f t="shared" si="23"/>
        <v>5</v>
      </c>
      <c r="G309" s="57">
        <f t="shared" si="24"/>
        <v>0</v>
      </c>
      <c r="H309" s="57">
        <f t="shared" si="25"/>
        <v>0</v>
      </c>
      <c r="I309" s="116">
        <v>1</v>
      </c>
      <c r="J309" s="116">
        <v>1</v>
      </c>
      <c r="K309" s="116">
        <v>0</v>
      </c>
      <c r="L309" s="116">
        <v>2</v>
      </c>
      <c r="M309" s="116">
        <v>0</v>
      </c>
      <c r="N309" s="116">
        <v>0</v>
      </c>
      <c r="O309" s="116">
        <v>3</v>
      </c>
      <c r="P309" s="116">
        <v>2</v>
      </c>
      <c r="Q309" s="116">
        <v>0</v>
      </c>
      <c r="R309" s="116">
        <v>0</v>
      </c>
      <c r="S309" s="116">
        <v>0</v>
      </c>
      <c r="T309" s="116">
        <v>0</v>
      </c>
      <c r="U309" s="116">
        <v>0</v>
      </c>
      <c r="V309" s="116">
        <v>0</v>
      </c>
      <c r="W309" s="116">
        <v>0</v>
      </c>
    </row>
    <row r="310" spans="1:23">
      <c r="A310" s="76" t="s">
        <v>807</v>
      </c>
      <c r="B310" s="76" t="s">
        <v>808</v>
      </c>
      <c r="C310" s="77" t="s">
        <v>950</v>
      </c>
      <c r="D310" s="57">
        <f t="shared" si="21"/>
        <v>0</v>
      </c>
      <c r="E310" s="57">
        <f t="shared" si="22"/>
        <v>0</v>
      </c>
      <c r="F310" s="57">
        <f t="shared" si="23"/>
        <v>12</v>
      </c>
      <c r="G310" s="57">
        <f t="shared" si="24"/>
        <v>0</v>
      </c>
      <c r="H310" s="57">
        <f t="shared" si="25"/>
        <v>0</v>
      </c>
      <c r="I310" s="116">
        <v>0</v>
      </c>
      <c r="J310" s="116">
        <v>0</v>
      </c>
      <c r="K310" s="116">
        <v>0</v>
      </c>
      <c r="L310" s="116">
        <v>0</v>
      </c>
      <c r="M310" s="116">
        <v>0</v>
      </c>
      <c r="N310" s="116">
        <v>0</v>
      </c>
      <c r="O310" s="116">
        <v>9</v>
      </c>
      <c r="P310" s="116">
        <v>3</v>
      </c>
      <c r="Q310" s="116">
        <v>0</v>
      </c>
      <c r="R310" s="116">
        <v>0</v>
      </c>
      <c r="S310" s="116">
        <v>0</v>
      </c>
      <c r="T310" s="116">
        <v>0</v>
      </c>
      <c r="U310" s="116">
        <v>0</v>
      </c>
      <c r="V310" s="116">
        <v>0</v>
      </c>
      <c r="W310" s="116">
        <v>0</v>
      </c>
    </row>
    <row r="311" spans="1:23">
      <c r="A311" s="76" t="s">
        <v>819</v>
      </c>
      <c r="B311" s="76" t="s">
        <v>820</v>
      </c>
      <c r="C311" s="77" t="s">
        <v>950</v>
      </c>
      <c r="D311" s="57">
        <f t="shared" si="21"/>
        <v>2</v>
      </c>
      <c r="E311" s="57">
        <f t="shared" si="22"/>
        <v>0</v>
      </c>
      <c r="F311" s="57">
        <f t="shared" si="23"/>
        <v>24</v>
      </c>
      <c r="G311" s="57">
        <f t="shared" si="24"/>
        <v>0</v>
      </c>
      <c r="H311" s="57">
        <f t="shared" si="25"/>
        <v>0</v>
      </c>
      <c r="I311" s="116">
        <v>1</v>
      </c>
      <c r="J311" s="116">
        <v>1</v>
      </c>
      <c r="K311" s="116">
        <v>0</v>
      </c>
      <c r="L311" s="116">
        <v>0</v>
      </c>
      <c r="M311" s="116">
        <v>0</v>
      </c>
      <c r="N311" s="116">
        <v>0</v>
      </c>
      <c r="O311" s="116">
        <v>11</v>
      </c>
      <c r="P311" s="116">
        <v>13</v>
      </c>
      <c r="Q311" s="116">
        <v>0</v>
      </c>
      <c r="R311" s="116">
        <v>0</v>
      </c>
      <c r="S311" s="116">
        <v>0</v>
      </c>
      <c r="T311" s="116">
        <v>0</v>
      </c>
      <c r="U311" s="116">
        <v>0</v>
      </c>
      <c r="V311" s="116">
        <v>0</v>
      </c>
      <c r="W311" s="116">
        <v>0</v>
      </c>
    </row>
    <row r="312" spans="1:23">
      <c r="A312" s="76" t="s">
        <v>821</v>
      </c>
      <c r="B312" s="76" t="s">
        <v>822</v>
      </c>
      <c r="C312" s="77" t="s">
        <v>950</v>
      </c>
      <c r="D312" s="57">
        <f t="shared" si="21"/>
        <v>0</v>
      </c>
      <c r="E312" s="57">
        <f t="shared" si="22"/>
        <v>1</v>
      </c>
      <c r="F312" s="57">
        <f t="shared" si="23"/>
        <v>0</v>
      </c>
      <c r="G312" s="57">
        <f t="shared" si="24"/>
        <v>11</v>
      </c>
      <c r="H312" s="57">
        <f t="shared" si="25"/>
        <v>0</v>
      </c>
      <c r="I312" s="116">
        <v>0</v>
      </c>
      <c r="J312" s="116">
        <v>0</v>
      </c>
      <c r="K312" s="116">
        <v>0</v>
      </c>
      <c r="L312" s="116">
        <v>1</v>
      </c>
      <c r="M312" s="116">
        <v>0</v>
      </c>
      <c r="N312" s="116">
        <v>0</v>
      </c>
      <c r="O312" s="116">
        <v>0</v>
      </c>
      <c r="P312" s="116">
        <v>0</v>
      </c>
      <c r="Q312" s="116">
        <v>0</v>
      </c>
      <c r="R312" s="116">
        <v>9</v>
      </c>
      <c r="S312" s="116">
        <v>2</v>
      </c>
      <c r="T312" s="116">
        <v>0</v>
      </c>
      <c r="U312" s="116">
        <v>0</v>
      </c>
      <c r="V312" s="116">
        <v>0</v>
      </c>
      <c r="W312" s="116">
        <v>0</v>
      </c>
    </row>
    <row r="313" spans="1:23">
      <c r="A313" s="76" t="s">
        <v>825</v>
      </c>
      <c r="B313" s="76" t="s">
        <v>826</v>
      </c>
      <c r="C313" s="77" t="s">
        <v>950</v>
      </c>
      <c r="D313" s="57">
        <f t="shared" si="21"/>
        <v>6</v>
      </c>
      <c r="E313" s="57">
        <f t="shared" si="22"/>
        <v>3</v>
      </c>
      <c r="F313" s="57">
        <f t="shared" si="23"/>
        <v>0</v>
      </c>
      <c r="G313" s="57">
        <f t="shared" si="24"/>
        <v>18</v>
      </c>
      <c r="H313" s="57">
        <f t="shared" si="25"/>
        <v>0</v>
      </c>
      <c r="I313" s="116">
        <v>2</v>
      </c>
      <c r="J313" s="116">
        <v>4</v>
      </c>
      <c r="K313" s="116">
        <v>0</v>
      </c>
      <c r="L313" s="116">
        <v>1</v>
      </c>
      <c r="M313" s="116">
        <v>2</v>
      </c>
      <c r="N313" s="116">
        <v>0</v>
      </c>
      <c r="O313" s="116">
        <v>0</v>
      </c>
      <c r="P313" s="116">
        <v>0</v>
      </c>
      <c r="Q313" s="116">
        <v>0</v>
      </c>
      <c r="R313" s="116">
        <v>9</v>
      </c>
      <c r="S313" s="116">
        <v>6</v>
      </c>
      <c r="T313" s="116">
        <v>3</v>
      </c>
      <c r="U313" s="116">
        <v>0</v>
      </c>
      <c r="V313" s="116">
        <v>0</v>
      </c>
      <c r="W313" s="116">
        <v>0</v>
      </c>
    </row>
    <row r="314" spans="1:23">
      <c r="A314" s="76" t="s">
        <v>827</v>
      </c>
      <c r="B314" s="76" t="s">
        <v>828</v>
      </c>
      <c r="C314" s="77" t="s">
        <v>950</v>
      </c>
      <c r="D314" s="57">
        <f t="shared" si="21"/>
        <v>1</v>
      </c>
      <c r="E314" s="57">
        <f t="shared" si="22"/>
        <v>0</v>
      </c>
      <c r="F314" s="57">
        <f t="shared" si="23"/>
        <v>0</v>
      </c>
      <c r="G314" s="57">
        <f t="shared" si="24"/>
        <v>16</v>
      </c>
      <c r="H314" s="57">
        <f t="shared" si="25"/>
        <v>0</v>
      </c>
      <c r="I314" s="116">
        <v>0</v>
      </c>
      <c r="J314" s="116">
        <v>1</v>
      </c>
      <c r="K314" s="116">
        <v>0</v>
      </c>
      <c r="L314" s="116">
        <v>0</v>
      </c>
      <c r="M314" s="116">
        <v>0</v>
      </c>
      <c r="N314" s="116">
        <v>0</v>
      </c>
      <c r="O314" s="116">
        <v>0</v>
      </c>
      <c r="P314" s="116">
        <v>0</v>
      </c>
      <c r="Q314" s="116">
        <v>0</v>
      </c>
      <c r="R314" s="116">
        <v>14</v>
      </c>
      <c r="S314" s="116">
        <v>2</v>
      </c>
      <c r="T314" s="116">
        <v>0</v>
      </c>
      <c r="U314" s="116">
        <v>0</v>
      </c>
      <c r="V314" s="116">
        <v>0</v>
      </c>
      <c r="W314" s="116">
        <v>0</v>
      </c>
    </row>
    <row r="315" spans="1:23">
      <c r="A315" s="76" t="s">
        <v>829</v>
      </c>
      <c r="B315" s="76" t="s">
        <v>830</v>
      </c>
      <c r="C315" s="77" t="s">
        <v>950</v>
      </c>
      <c r="D315" s="57">
        <f t="shared" si="21"/>
        <v>1</v>
      </c>
      <c r="E315" s="57">
        <f t="shared" si="22"/>
        <v>1</v>
      </c>
      <c r="F315" s="57">
        <f t="shared" si="23"/>
        <v>16</v>
      </c>
      <c r="G315" s="57">
        <f t="shared" si="24"/>
        <v>0</v>
      </c>
      <c r="H315" s="57">
        <f t="shared" si="25"/>
        <v>0</v>
      </c>
      <c r="I315" s="116">
        <v>1</v>
      </c>
      <c r="J315" s="116">
        <v>0</v>
      </c>
      <c r="K315" s="116">
        <v>0</v>
      </c>
      <c r="L315" s="116">
        <v>1</v>
      </c>
      <c r="M315" s="116">
        <v>0</v>
      </c>
      <c r="N315" s="116">
        <v>0</v>
      </c>
      <c r="O315" s="116">
        <v>13</v>
      </c>
      <c r="P315" s="116">
        <v>3</v>
      </c>
      <c r="Q315" s="116">
        <v>0</v>
      </c>
      <c r="R315" s="116">
        <v>0</v>
      </c>
      <c r="S315" s="116">
        <v>0</v>
      </c>
      <c r="T315" s="116">
        <v>0</v>
      </c>
      <c r="U315" s="116">
        <v>0</v>
      </c>
      <c r="V315" s="116">
        <v>0</v>
      </c>
      <c r="W315" s="116">
        <v>0</v>
      </c>
    </row>
    <row r="316" spans="1:23">
      <c r="A316" s="76" t="s">
        <v>75</v>
      </c>
      <c r="B316" s="76" t="s">
        <v>76</v>
      </c>
      <c r="C316" s="77" t="s">
        <v>950</v>
      </c>
      <c r="D316" s="57">
        <f t="shared" si="21"/>
        <v>3</v>
      </c>
      <c r="E316" s="57">
        <f t="shared" si="22"/>
        <v>1</v>
      </c>
      <c r="F316" s="57">
        <f t="shared" si="23"/>
        <v>0</v>
      </c>
      <c r="G316" s="57">
        <f t="shared" si="24"/>
        <v>19</v>
      </c>
      <c r="H316" s="57">
        <f t="shared" si="25"/>
        <v>0</v>
      </c>
      <c r="I316" s="116">
        <v>1</v>
      </c>
      <c r="J316" s="116">
        <v>2</v>
      </c>
      <c r="K316" s="116">
        <v>0</v>
      </c>
      <c r="L316" s="116">
        <v>1</v>
      </c>
      <c r="M316" s="116">
        <v>0</v>
      </c>
      <c r="N316" s="116">
        <v>0</v>
      </c>
      <c r="O316" s="116">
        <v>0</v>
      </c>
      <c r="P316" s="116">
        <v>0</v>
      </c>
      <c r="Q316" s="116">
        <v>0</v>
      </c>
      <c r="R316" s="116">
        <v>13</v>
      </c>
      <c r="S316" s="116">
        <v>6</v>
      </c>
      <c r="T316" s="116">
        <v>0</v>
      </c>
      <c r="U316" s="116">
        <v>0</v>
      </c>
      <c r="V316" s="116">
        <v>0</v>
      </c>
      <c r="W316" s="116">
        <v>0</v>
      </c>
    </row>
    <row r="317" spans="1:23">
      <c r="A317" s="78" t="s">
        <v>833</v>
      </c>
      <c r="B317" s="78" t="s">
        <v>834</v>
      </c>
      <c r="C317" s="79" t="s">
        <v>950</v>
      </c>
      <c r="D317" s="57">
        <f t="shared" si="21"/>
        <v>0</v>
      </c>
      <c r="E317" s="57">
        <f t="shared" si="22"/>
        <v>0</v>
      </c>
      <c r="F317" s="57">
        <f t="shared" si="23"/>
        <v>17</v>
      </c>
      <c r="G317" s="57">
        <f t="shared" si="24"/>
        <v>0</v>
      </c>
      <c r="H317" s="57">
        <f t="shared" si="25"/>
        <v>0</v>
      </c>
      <c r="I317" s="116">
        <v>0</v>
      </c>
      <c r="J317" s="116">
        <v>0</v>
      </c>
      <c r="K317" s="116">
        <v>0</v>
      </c>
      <c r="L317" s="116">
        <v>0</v>
      </c>
      <c r="M317" s="116">
        <v>0</v>
      </c>
      <c r="N317" s="116">
        <v>0</v>
      </c>
      <c r="O317" s="116">
        <v>8</v>
      </c>
      <c r="P317" s="116">
        <v>3</v>
      </c>
      <c r="Q317" s="116">
        <v>6</v>
      </c>
      <c r="R317" s="116">
        <v>0</v>
      </c>
      <c r="S317" s="116">
        <v>0</v>
      </c>
      <c r="T317" s="116">
        <v>0</v>
      </c>
      <c r="U317" s="116">
        <v>0</v>
      </c>
      <c r="V317" s="116">
        <v>0</v>
      </c>
      <c r="W317" s="116">
        <v>0</v>
      </c>
    </row>
    <row r="318" spans="1:23">
      <c r="A318" s="80" t="s">
        <v>578</v>
      </c>
      <c r="B318" s="82" t="s">
        <v>579</v>
      </c>
      <c r="C318" s="81" t="s">
        <v>923</v>
      </c>
      <c r="D318" s="57">
        <f t="shared" si="21"/>
        <v>12</v>
      </c>
      <c r="E318" s="57">
        <f t="shared" si="22"/>
        <v>2</v>
      </c>
      <c r="F318" s="57">
        <f t="shared" si="23"/>
        <v>4</v>
      </c>
      <c r="G318" s="57">
        <f t="shared" si="24"/>
        <v>0</v>
      </c>
      <c r="H318" s="57">
        <f t="shared" si="25"/>
        <v>0</v>
      </c>
      <c r="I318" s="116">
        <v>8</v>
      </c>
      <c r="J318" s="116">
        <v>4</v>
      </c>
      <c r="K318" s="116">
        <v>0</v>
      </c>
      <c r="L318" s="116">
        <v>1</v>
      </c>
      <c r="M318" s="116">
        <v>1</v>
      </c>
      <c r="N318" s="116">
        <v>0</v>
      </c>
      <c r="O318" s="116">
        <v>3</v>
      </c>
      <c r="P318" s="116">
        <v>1</v>
      </c>
      <c r="Q318" s="116">
        <v>0</v>
      </c>
      <c r="R318" s="116">
        <v>0</v>
      </c>
      <c r="S318" s="116">
        <v>0</v>
      </c>
      <c r="T318" s="116">
        <v>0</v>
      </c>
      <c r="U318" s="116">
        <v>0</v>
      </c>
      <c r="V318" s="116">
        <v>0</v>
      </c>
      <c r="W318" s="116">
        <v>0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16"/>
  <sheetViews>
    <sheetView topLeftCell="A300" workbookViewId="0">
      <selection activeCell="D308" sqref="D308"/>
    </sheetView>
  </sheetViews>
  <sheetFormatPr defaultRowHeight="16.5"/>
  <cols>
    <col min="1" max="1" width="13.5" style="16" bestFit="1" customWidth="1"/>
    <col min="2" max="2" width="33" style="16" bestFit="1" customWidth="1"/>
    <col min="3" max="3" width="13.125" style="20" bestFit="1" customWidth="1"/>
    <col min="4" max="4" width="10.25" bestFit="1" customWidth="1"/>
    <col min="5" max="5" width="20.625" customWidth="1"/>
  </cols>
  <sheetData>
    <row r="1" spans="1:4">
      <c r="A1" s="1" t="s">
        <v>0</v>
      </c>
      <c r="B1" s="3" t="s">
        <v>1</v>
      </c>
      <c r="C1" s="58" t="s">
        <v>972</v>
      </c>
      <c r="D1" s="58" t="s">
        <v>973</v>
      </c>
    </row>
    <row r="2" spans="1:4">
      <c r="A2" s="74" t="s">
        <v>280</v>
      </c>
      <c r="B2" s="74" t="s">
        <v>281</v>
      </c>
      <c r="C2" s="59">
        <v>9</v>
      </c>
      <c r="D2" s="60">
        <v>8.8500000000000002E-3</v>
      </c>
    </row>
    <row r="3" spans="1:4">
      <c r="A3" s="76" t="s">
        <v>631</v>
      </c>
      <c r="B3" s="76" t="s">
        <v>632</v>
      </c>
      <c r="C3" s="59">
        <v>18</v>
      </c>
      <c r="D3" s="60">
        <v>0.3</v>
      </c>
    </row>
    <row r="4" spans="1:4">
      <c r="A4" s="76" t="s">
        <v>151</v>
      </c>
      <c r="B4" s="76" t="s">
        <v>152</v>
      </c>
      <c r="C4" s="59">
        <v>8</v>
      </c>
      <c r="D4" s="60">
        <v>2.35</v>
      </c>
    </row>
    <row r="5" spans="1:4">
      <c r="A5" s="76" t="s">
        <v>633</v>
      </c>
      <c r="B5" s="76" t="s">
        <v>634</v>
      </c>
      <c r="C5" s="59">
        <v>7</v>
      </c>
      <c r="D5" s="60">
        <v>1.91</v>
      </c>
    </row>
    <row r="6" spans="1:4">
      <c r="A6" s="76" t="s">
        <v>635</v>
      </c>
      <c r="B6" s="76" t="s">
        <v>636</v>
      </c>
      <c r="C6" s="59">
        <v>9</v>
      </c>
      <c r="D6" s="60">
        <v>0.21</v>
      </c>
    </row>
    <row r="7" spans="1:4">
      <c r="A7" s="76" t="s">
        <v>208</v>
      </c>
      <c r="B7" s="76" t="s">
        <v>209</v>
      </c>
      <c r="C7" s="59">
        <v>10</v>
      </c>
      <c r="D7" s="60">
        <v>0.45</v>
      </c>
    </row>
    <row r="8" spans="1:4">
      <c r="A8" s="76" t="s">
        <v>214</v>
      </c>
      <c r="B8" s="76" t="s">
        <v>215</v>
      </c>
      <c r="C8" s="59">
        <v>12</v>
      </c>
      <c r="D8" s="60">
        <v>0.26</v>
      </c>
    </row>
    <row r="9" spans="1:4">
      <c r="A9" s="76" t="s">
        <v>657</v>
      </c>
      <c r="B9" s="76" t="s">
        <v>658</v>
      </c>
      <c r="C9" s="59">
        <v>8</v>
      </c>
      <c r="D9" s="60">
        <v>1.6439999999999999</v>
      </c>
    </row>
    <row r="10" spans="1:4">
      <c r="A10" s="76" t="s">
        <v>659</v>
      </c>
      <c r="B10" s="76" t="s">
        <v>660</v>
      </c>
      <c r="C10" s="59">
        <v>12</v>
      </c>
      <c r="D10" s="60">
        <v>0.31</v>
      </c>
    </row>
    <row r="11" spans="1:4">
      <c r="A11" s="76" t="s">
        <v>665</v>
      </c>
      <c r="B11" s="76" t="s">
        <v>666</v>
      </c>
      <c r="C11" s="59">
        <v>17</v>
      </c>
      <c r="D11" s="60">
        <v>0.82</v>
      </c>
    </row>
    <row r="12" spans="1:4">
      <c r="A12" s="76" t="s">
        <v>154</v>
      </c>
      <c r="B12" s="76" t="s">
        <v>155</v>
      </c>
      <c r="C12" s="59">
        <v>11</v>
      </c>
      <c r="D12" s="60">
        <v>0.11</v>
      </c>
    </row>
    <row r="13" spans="1:4">
      <c r="A13" s="76" t="s">
        <v>675</v>
      </c>
      <c r="B13" s="76" t="s">
        <v>676</v>
      </c>
      <c r="C13" s="59">
        <v>9</v>
      </c>
      <c r="D13" s="60">
        <v>0.4</v>
      </c>
    </row>
    <row r="14" spans="1:4">
      <c r="A14" s="76" t="s">
        <v>683</v>
      </c>
      <c r="B14" s="76" t="s">
        <v>684</v>
      </c>
      <c r="C14" s="59">
        <v>7</v>
      </c>
      <c r="D14" s="60">
        <v>0</v>
      </c>
    </row>
    <row r="15" spans="1:4">
      <c r="A15" s="76" t="s">
        <v>271</v>
      </c>
      <c r="B15" s="76" t="s">
        <v>272</v>
      </c>
      <c r="C15" s="59">
        <v>18</v>
      </c>
      <c r="D15" s="60">
        <v>0.09</v>
      </c>
    </row>
    <row r="16" spans="1:4">
      <c r="A16" s="76" t="s">
        <v>697</v>
      </c>
      <c r="B16" s="76" t="s">
        <v>698</v>
      </c>
      <c r="C16" s="59">
        <v>12</v>
      </c>
      <c r="D16" s="60">
        <v>6.46</v>
      </c>
    </row>
    <row r="17" spans="1:4">
      <c r="A17" s="76" t="s">
        <v>701</v>
      </c>
      <c r="B17" s="76" t="s">
        <v>702</v>
      </c>
      <c r="C17" s="59">
        <v>6</v>
      </c>
      <c r="D17" s="60">
        <v>0</v>
      </c>
    </row>
    <row r="18" spans="1:4">
      <c r="A18" s="76" t="s">
        <v>713</v>
      </c>
      <c r="B18" s="76" t="s">
        <v>714</v>
      </c>
      <c r="C18" s="59">
        <v>10</v>
      </c>
      <c r="D18" s="60">
        <v>2.2280000000000002</v>
      </c>
    </row>
    <row r="19" spans="1:4">
      <c r="A19" s="76" t="s">
        <v>715</v>
      </c>
      <c r="B19" s="76" t="s">
        <v>716</v>
      </c>
      <c r="C19" s="59">
        <v>8</v>
      </c>
      <c r="D19" s="60">
        <v>1.65</v>
      </c>
    </row>
    <row r="20" spans="1:4">
      <c r="A20" s="76" t="s">
        <v>232</v>
      </c>
      <c r="B20" s="76" t="s">
        <v>233</v>
      </c>
      <c r="C20" s="59">
        <v>21</v>
      </c>
      <c r="D20" s="60">
        <v>2.9</v>
      </c>
    </row>
    <row r="21" spans="1:4">
      <c r="A21" s="76" t="s">
        <v>235</v>
      </c>
      <c r="B21" s="76" t="s">
        <v>236</v>
      </c>
      <c r="C21" s="59">
        <v>13</v>
      </c>
      <c r="D21" s="60">
        <v>1.63</v>
      </c>
    </row>
    <row r="22" spans="1:4">
      <c r="A22" s="76" t="s">
        <v>735</v>
      </c>
      <c r="B22" s="76" t="s">
        <v>736</v>
      </c>
      <c r="C22" s="59">
        <v>13</v>
      </c>
      <c r="D22" s="60">
        <v>0.58699999999999997</v>
      </c>
    </row>
    <row r="23" spans="1:4">
      <c r="A23" s="76" t="s">
        <v>160</v>
      </c>
      <c r="B23" s="76" t="s">
        <v>161</v>
      </c>
      <c r="C23" s="59">
        <v>7</v>
      </c>
      <c r="D23" s="60">
        <v>0.82</v>
      </c>
    </row>
    <row r="24" spans="1:4">
      <c r="A24" s="76" t="s">
        <v>745</v>
      </c>
      <c r="B24" s="76" t="s">
        <v>746</v>
      </c>
      <c r="C24" s="59">
        <v>9</v>
      </c>
      <c r="D24" s="60">
        <v>1.597</v>
      </c>
    </row>
    <row r="25" spans="1:4">
      <c r="A25" s="76" t="s">
        <v>112</v>
      </c>
      <c r="B25" s="76" t="s">
        <v>113</v>
      </c>
      <c r="C25" s="59">
        <v>9</v>
      </c>
      <c r="D25" s="60">
        <v>0.35499999999999998</v>
      </c>
    </row>
    <row r="26" spans="1:4">
      <c r="A26" s="76" t="s">
        <v>244</v>
      </c>
      <c r="B26" s="76" t="s">
        <v>245</v>
      </c>
      <c r="C26" s="59">
        <v>16</v>
      </c>
      <c r="D26" s="60">
        <v>0.16</v>
      </c>
    </row>
    <row r="27" spans="1:4">
      <c r="A27" s="76" t="s">
        <v>775</v>
      </c>
      <c r="B27" s="76" t="s">
        <v>776</v>
      </c>
      <c r="C27" s="59">
        <v>15</v>
      </c>
      <c r="D27" s="60">
        <v>0.53</v>
      </c>
    </row>
    <row r="28" spans="1:4">
      <c r="A28" s="76" t="s">
        <v>781</v>
      </c>
      <c r="B28" s="76" t="s">
        <v>782</v>
      </c>
      <c r="C28" s="59">
        <v>12</v>
      </c>
      <c r="D28" s="60">
        <v>3.58</v>
      </c>
    </row>
    <row r="29" spans="1:4">
      <c r="A29" s="76" t="s">
        <v>785</v>
      </c>
      <c r="B29" s="76" t="s">
        <v>786</v>
      </c>
      <c r="C29" s="59">
        <v>13</v>
      </c>
      <c r="D29" s="60">
        <v>1.32</v>
      </c>
    </row>
    <row r="30" spans="1:4">
      <c r="A30" s="76" t="s">
        <v>36</v>
      </c>
      <c r="B30" s="76" t="s">
        <v>37</v>
      </c>
      <c r="C30" s="59">
        <v>10</v>
      </c>
      <c r="D30" s="60">
        <v>3.95</v>
      </c>
    </row>
    <row r="31" spans="1:4">
      <c r="A31" s="76" t="s">
        <v>803</v>
      </c>
      <c r="B31" s="76" t="s">
        <v>804</v>
      </c>
      <c r="C31" s="59">
        <v>8</v>
      </c>
      <c r="D31" s="60">
        <v>1.51</v>
      </c>
    </row>
    <row r="32" spans="1:4">
      <c r="A32" s="76" t="s">
        <v>181</v>
      </c>
      <c r="B32" s="76" t="s">
        <v>182</v>
      </c>
      <c r="C32" s="59">
        <v>10</v>
      </c>
      <c r="D32" s="60">
        <v>0.59699999999999998</v>
      </c>
    </row>
    <row r="33" spans="1:4">
      <c r="A33" s="76" t="s">
        <v>39</v>
      </c>
      <c r="B33" s="76" t="s">
        <v>40</v>
      </c>
      <c r="C33" s="59">
        <v>12</v>
      </c>
      <c r="D33" s="60">
        <v>2.89</v>
      </c>
    </row>
    <row r="34" spans="1:4">
      <c r="A34" s="76" t="s">
        <v>265</v>
      </c>
      <c r="B34" s="76" t="s">
        <v>266</v>
      </c>
      <c r="C34" s="59">
        <v>10</v>
      </c>
      <c r="D34" s="60">
        <v>0.47</v>
      </c>
    </row>
    <row r="35" spans="1:4">
      <c r="A35" s="76" t="s">
        <v>184</v>
      </c>
      <c r="B35" s="76" t="s">
        <v>185</v>
      </c>
      <c r="C35" s="59">
        <v>7</v>
      </c>
      <c r="D35" s="60">
        <v>1.38</v>
      </c>
    </row>
    <row r="36" spans="1:4">
      <c r="A36" s="76" t="s">
        <v>811</v>
      </c>
      <c r="B36" s="76" t="s">
        <v>812</v>
      </c>
      <c r="C36" s="59">
        <v>11</v>
      </c>
      <c r="D36" s="60">
        <v>0.35</v>
      </c>
    </row>
    <row r="37" spans="1:4">
      <c r="A37" s="76" t="s">
        <v>187</v>
      </c>
      <c r="B37" s="76" t="s">
        <v>188</v>
      </c>
      <c r="C37" s="59">
        <v>6</v>
      </c>
      <c r="D37" s="60">
        <v>0.5</v>
      </c>
    </row>
    <row r="38" spans="1:4">
      <c r="A38" s="76" t="s">
        <v>813</v>
      </c>
      <c r="B38" s="76" t="s">
        <v>814</v>
      </c>
      <c r="C38" s="59">
        <v>7</v>
      </c>
      <c r="D38" s="60">
        <v>6.9000000000000006E-2</v>
      </c>
    </row>
    <row r="39" spans="1:4">
      <c r="A39" s="76" t="s">
        <v>268</v>
      </c>
      <c r="B39" s="76" t="s">
        <v>269</v>
      </c>
      <c r="C39" s="59">
        <v>7</v>
      </c>
      <c r="D39" s="60">
        <v>3.07</v>
      </c>
    </row>
    <row r="40" spans="1:4">
      <c r="A40" s="76" t="s">
        <v>815</v>
      </c>
      <c r="B40" s="76" t="s">
        <v>816</v>
      </c>
      <c r="C40" s="59">
        <v>8</v>
      </c>
      <c r="D40" s="60">
        <v>2.44</v>
      </c>
    </row>
    <row r="41" spans="1:4">
      <c r="A41" s="76" t="s">
        <v>835</v>
      </c>
      <c r="B41" s="76" t="s">
        <v>836</v>
      </c>
      <c r="C41" s="59">
        <v>8</v>
      </c>
      <c r="D41" s="60">
        <v>0.155</v>
      </c>
    </row>
    <row r="42" spans="1:4">
      <c r="A42" s="76" t="s">
        <v>837</v>
      </c>
      <c r="B42" s="76" t="s">
        <v>838</v>
      </c>
      <c r="C42" s="59">
        <v>11</v>
      </c>
      <c r="D42" s="60">
        <v>9.5000000000000001E-2</v>
      </c>
    </row>
    <row r="43" spans="1:4">
      <c r="A43" s="76" t="s">
        <v>589</v>
      </c>
      <c r="B43" s="76" t="s">
        <v>590</v>
      </c>
      <c r="C43" s="59">
        <v>11</v>
      </c>
      <c r="D43" s="60">
        <v>0.79</v>
      </c>
    </row>
    <row r="44" spans="1:4">
      <c r="A44" s="76" t="s">
        <v>142</v>
      </c>
      <c r="B44" s="76" t="s">
        <v>143</v>
      </c>
      <c r="C44" s="59">
        <v>8</v>
      </c>
      <c r="D44" s="60">
        <v>3.25</v>
      </c>
    </row>
    <row r="45" spans="1:4">
      <c r="A45" s="76" t="s">
        <v>601</v>
      </c>
      <c r="B45" s="76" t="s">
        <v>602</v>
      </c>
      <c r="C45" s="59">
        <v>20</v>
      </c>
      <c r="D45" s="60">
        <v>0.127</v>
      </c>
    </row>
    <row r="46" spans="1:4">
      <c r="A46" s="76" t="s">
        <v>603</v>
      </c>
      <c r="B46" s="76" t="s">
        <v>604</v>
      </c>
      <c r="C46" s="59">
        <v>12</v>
      </c>
      <c r="D46" s="60">
        <v>2.0099999999999998</v>
      </c>
    </row>
    <row r="47" spans="1:4">
      <c r="A47" s="76" t="s">
        <v>605</v>
      </c>
      <c r="B47" s="76" t="s">
        <v>606</v>
      </c>
      <c r="C47" s="59">
        <v>7</v>
      </c>
      <c r="D47" s="60">
        <v>0.41</v>
      </c>
    </row>
    <row r="48" spans="1:4">
      <c r="A48" s="76" t="s">
        <v>607</v>
      </c>
      <c r="B48" s="76" t="s">
        <v>608</v>
      </c>
      <c r="C48" s="59">
        <v>14</v>
      </c>
      <c r="D48" s="60">
        <v>2.92</v>
      </c>
    </row>
    <row r="49" spans="1:4">
      <c r="A49" s="76" t="s">
        <v>199</v>
      </c>
      <c r="B49" s="76" t="s">
        <v>200</v>
      </c>
      <c r="C49" s="59">
        <v>16</v>
      </c>
      <c r="D49" s="60">
        <v>0.33</v>
      </c>
    </row>
    <row r="50" spans="1:4">
      <c r="A50" s="76" t="s">
        <v>202</v>
      </c>
      <c r="B50" s="76" t="s">
        <v>203</v>
      </c>
      <c r="C50" s="59">
        <v>10</v>
      </c>
      <c r="D50" s="60">
        <v>0.28999999999999998</v>
      </c>
    </row>
    <row r="51" spans="1:4">
      <c r="A51" s="76" t="s">
        <v>139</v>
      </c>
      <c r="B51" s="76" t="s">
        <v>140</v>
      </c>
      <c r="C51" s="59">
        <v>10</v>
      </c>
      <c r="D51" s="60">
        <v>0.47</v>
      </c>
    </row>
    <row r="52" spans="1:4">
      <c r="A52" s="76" t="s">
        <v>274</v>
      </c>
      <c r="B52" s="76" t="s">
        <v>275</v>
      </c>
      <c r="C52" s="59">
        <v>12</v>
      </c>
      <c r="D52" s="60">
        <v>2.12</v>
      </c>
    </row>
    <row r="53" spans="1:4">
      <c r="A53" s="76" t="s">
        <v>629</v>
      </c>
      <c r="B53" s="76" t="s">
        <v>630</v>
      </c>
      <c r="C53" s="59">
        <v>8</v>
      </c>
      <c r="D53" s="60">
        <v>0.03</v>
      </c>
    </row>
    <row r="54" spans="1:4">
      <c r="A54" s="76" t="s">
        <v>205</v>
      </c>
      <c r="B54" s="76" t="s">
        <v>206</v>
      </c>
      <c r="C54" s="59">
        <v>6</v>
      </c>
      <c r="D54" s="60">
        <v>0.25</v>
      </c>
    </row>
    <row r="55" spans="1:4">
      <c r="A55" s="76" t="s">
        <v>645</v>
      </c>
      <c r="B55" s="76" t="s">
        <v>646</v>
      </c>
      <c r="C55" s="59">
        <v>10</v>
      </c>
      <c r="D55" s="60">
        <v>2.71</v>
      </c>
    </row>
    <row r="56" spans="1:4">
      <c r="A56" s="76" t="s">
        <v>647</v>
      </c>
      <c r="B56" s="76" t="s">
        <v>648</v>
      </c>
      <c r="C56" s="59">
        <v>11</v>
      </c>
      <c r="D56" s="60">
        <v>2.4300000000000002</v>
      </c>
    </row>
    <row r="57" spans="1:4">
      <c r="A57" s="76" t="s">
        <v>661</v>
      </c>
      <c r="B57" s="76" t="s">
        <v>662</v>
      </c>
      <c r="C57" s="59">
        <v>13</v>
      </c>
      <c r="D57" s="60">
        <v>7.84</v>
      </c>
    </row>
    <row r="58" spans="1:4">
      <c r="A58" s="76" t="s">
        <v>689</v>
      </c>
      <c r="B58" s="76" t="s">
        <v>690</v>
      </c>
      <c r="C58" s="59">
        <v>10</v>
      </c>
      <c r="D58" s="60">
        <v>3.25</v>
      </c>
    </row>
    <row r="59" spans="1:4">
      <c r="A59" s="76" t="s">
        <v>229</v>
      </c>
      <c r="B59" s="76" t="s">
        <v>230</v>
      </c>
      <c r="C59" s="59">
        <v>12</v>
      </c>
      <c r="D59" s="60">
        <v>0</v>
      </c>
    </row>
    <row r="60" spans="1:4">
      <c r="A60" s="76" t="s">
        <v>723</v>
      </c>
      <c r="B60" s="76" t="s">
        <v>724</v>
      </c>
      <c r="C60" s="59">
        <v>15</v>
      </c>
      <c r="D60" s="60">
        <v>3.96</v>
      </c>
    </row>
    <row r="61" spans="1:4">
      <c r="A61" s="76" t="s">
        <v>27</v>
      </c>
      <c r="B61" s="76" t="s">
        <v>28</v>
      </c>
      <c r="C61" s="59">
        <v>8</v>
      </c>
      <c r="D61" s="60">
        <v>0.502</v>
      </c>
    </row>
    <row r="62" spans="1:4">
      <c r="A62" s="76" t="s">
        <v>157</v>
      </c>
      <c r="B62" s="76" t="s">
        <v>158</v>
      </c>
      <c r="C62" s="59">
        <v>7</v>
      </c>
      <c r="D62" s="60">
        <v>0.52</v>
      </c>
    </row>
    <row r="63" spans="1:4">
      <c r="A63" s="76" t="s">
        <v>741</v>
      </c>
      <c r="B63" s="76" t="s">
        <v>742</v>
      </c>
      <c r="C63" s="59">
        <v>7</v>
      </c>
      <c r="D63" s="60">
        <v>0.23</v>
      </c>
    </row>
    <row r="64" spans="1:4">
      <c r="A64" s="76" t="s">
        <v>743</v>
      </c>
      <c r="B64" s="76" t="s">
        <v>744</v>
      </c>
      <c r="C64" s="59">
        <v>12</v>
      </c>
      <c r="D64" s="60">
        <v>0.33</v>
      </c>
    </row>
    <row r="65" spans="1:4">
      <c r="A65" s="76" t="s">
        <v>755</v>
      </c>
      <c r="B65" s="76" t="s">
        <v>756</v>
      </c>
      <c r="C65" s="59">
        <v>12</v>
      </c>
      <c r="D65" s="60">
        <v>2.68</v>
      </c>
    </row>
    <row r="66" spans="1:4">
      <c r="A66" s="76" t="s">
        <v>757</v>
      </c>
      <c r="B66" s="76" t="s">
        <v>758</v>
      </c>
      <c r="C66" s="59">
        <v>13</v>
      </c>
      <c r="D66" s="60">
        <v>3.08</v>
      </c>
    </row>
    <row r="67" spans="1:4">
      <c r="A67" s="76" t="s">
        <v>241</v>
      </c>
      <c r="B67" s="76" t="s">
        <v>242</v>
      </c>
      <c r="C67" s="59">
        <v>12</v>
      </c>
      <c r="D67" s="60">
        <v>1.88</v>
      </c>
    </row>
    <row r="68" spans="1:4">
      <c r="A68" s="76" t="s">
        <v>250</v>
      </c>
      <c r="B68" s="76" t="s">
        <v>251</v>
      </c>
      <c r="C68" s="59">
        <v>23</v>
      </c>
      <c r="D68" s="60">
        <v>2.46</v>
      </c>
    </row>
    <row r="69" spans="1:4">
      <c r="A69" s="76" t="s">
        <v>256</v>
      </c>
      <c r="B69" s="76" t="s">
        <v>257</v>
      </c>
      <c r="C69" s="59">
        <v>9</v>
      </c>
      <c r="D69" s="60">
        <v>0.28999999999999998</v>
      </c>
    </row>
    <row r="70" spans="1:4">
      <c r="A70" s="76" t="s">
        <v>783</v>
      </c>
      <c r="B70" s="76" t="s">
        <v>784</v>
      </c>
      <c r="C70" s="59">
        <v>10</v>
      </c>
      <c r="D70" s="60">
        <v>3.82</v>
      </c>
    </row>
    <row r="71" spans="1:4">
      <c r="A71" s="76" t="s">
        <v>78</v>
      </c>
      <c r="B71" s="76" t="s">
        <v>79</v>
      </c>
      <c r="C71" s="59">
        <v>12</v>
      </c>
      <c r="D71" s="60">
        <v>0.47</v>
      </c>
    </row>
    <row r="72" spans="1:4">
      <c r="A72" s="76" t="s">
        <v>259</v>
      </c>
      <c r="B72" s="76" t="s">
        <v>260</v>
      </c>
      <c r="C72" s="59">
        <v>21</v>
      </c>
      <c r="D72" s="60">
        <v>0.35</v>
      </c>
    </row>
    <row r="73" spans="1:4">
      <c r="A73" s="76" t="s">
        <v>172</v>
      </c>
      <c r="B73" s="76" t="s">
        <v>173</v>
      </c>
      <c r="C73" s="59">
        <v>11</v>
      </c>
      <c r="D73" s="60">
        <v>2.77</v>
      </c>
    </row>
    <row r="74" spans="1:4">
      <c r="A74" s="76" t="s">
        <v>262</v>
      </c>
      <c r="B74" s="76" t="s">
        <v>263</v>
      </c>
      <c r="C74" s="59">
        <v>14</v>
      </c>
      <c r="D74" s="60">
        <v>1.1579999999999999</v>
      </c>
    </row>
    <row r="75" spans="1:4">
      <c r="A75" s="76" t="s">
        <v>787</v>
      </c>
      <c r="B75" s="76" t="s">
        <v>788</v>
      </c>
      <c r="C75" s="59">
        <v>13</v>
      </c>
      <c r="D75" s="60">
        <v>1.83</v>
      </c>
    </row>
    <row r="76" spans="1:4">
      <c r="A76" s="76" t="s">
        <v>791</v>
      </c>
      <c r="B76" s="76" t="s">
        <v>792</v>
      </c>
      <c r="C76" s="59">
        <v>10</v>
      </c>
      <c r="D76" s="60">
        <v>0.38</v>
      </c>
    </row>
    <row r="77" spans="1:4">
      <c r="A77" s="76" t="s">
        <v>127</v>
      </c>
      <c r="B77" s="76" t="s">
        <v>128</v>
      </c>
      <c r="C77" s="59">
        <v>13</v>
      </c>
      <c r="D77" s="60">
        <v>4.18</v>
      </c>
    </row>
    <row r="78" spans="1:4">
      <c r="A78" s="76" t="s">
        <v>54</v>
      </c>
      <c r="B78" s="76" t="s">
        <v>55</v>
      </c>
      <c r="C78" s="59">
        <v>12</v>
      </c>
      <c r="D78" s="60">
        <v>4.12</v>
      </c>
    </row>
    <row r="79" spans="1:4">
      <c r="A79" s="76" t="s">
        <v>57</v>
      </c>
      <c r="B79" s="76" t="s">
        <v>58</v>
      </c>
      <c r="C79" s="59">
        <v>11</v>
      </c>
      <c r="D79" s="60">
        <v>0.21</v>
      </c>
    </row>
    <row r="80" spans="1:4">
      <c r="A80" s="76" t="s">
        <v>178</v>
      </c>
      <c r="B80" s="76" t="s">
        <v>179</v>
      </c>
      <c r="C80" s="59">
        <v>7</v>
      </c>
      <c r="D80" s="60">
        <v>0.83</v>
      </c>
    </row>
    <row r="81" spans="1:4">
      <c r="A81" s="76" t="s">
        <v>797</v>
      </c>
      <c r="B81" s="76" t="s">
        <v>798</v>
      </c>
      <c r="C81" s="59">
        <v>18</v>
      </c>
      <c r="D81" s="60">
        <v>2.1</v>
      </c>
    </row>
    <row r="82" spans="1:4">
      <c r="A82" s="76" t="s">
        <v>801</v>
      </c>
      <c r="B82" s="76" t="s">
        <v>802</v>
      </c>
      <c r="C82" s="59">
        <v>9</v>
      </c>
      <c r="D82" s="60">
        <v>0.57999999999999996</v>
      </c>
    </row>
    <row r="83" spans="1:4">
      <c r="A83" s="76" t="s">
        <v>809</v>
      </c>
      <c r="B83" s="76" t="s">
        <v>810</v>
      </c>
      <c r="C83" s="59">
        <v>5</v>
      </c>
      <c r="D83" s="60">
        <v>0.11</v>
      </c>
    </row>
    <row r="84" spans="1:4">
      <c r="A84" s="76" t="s">
        <v>87</v>
      </c>
      <c r="B84" s="76" t="s">
        <v>88</v>
      </c>
      <c r="C84" s="59">
        <v>10</v>
      </c>
      <c r="D84" s="60">
        <v>0.6</v>
      </c>
    </row>
    <row r="85" spans="1:4">
      <c r="A85" s="76" t="s">
        <v>190</v>
      </c>
      <c r="B85" s="76" t="s">
        <v>191</v>
      </c>
      <c r="C85" s="59">
        <v>8</v>
      </c>
      <c r="D85" s="60">
        <v>3.48</v>
      </c>
    </row>
    <row r="86" spans="1:4">
      <c r="A86" s="76" t="s">
        <v>831</v>
      </c>
      <c r="B86" s="76" t="s">
        <v>832</v>
      </c>
      <c r="C86" s="59">
        <v>15</v>
      </c>
      <c r="D86" s="60">
        <v>0.65</v>
      </c>
    </row>
    <row r="87" spans="1:4">
      <c r="A87" s="76" t="s">
        <v>193</v>
      </c>
      <c r="B87" s="76" t="s">
        <v>194</v>
      </c>
      <c r="C87" s="59">
        <v>8</v>
      </c>
      <c r="D87" s="60">
        <v>0.04</v>
      </c>
    </row>
    <row r="88" spans="1:4">
      <c r="A88" s="76" t="s">
        <v>196</v>
      </c>
      <c r="B88" s="76" t="s">
        <v>197</v>
      </c>
      <c r="C88" s="59">
        <v>10</v>
      </c>
      <c r="D88" s="60">
        <v>0.5</v>
      </c>
    </row>
    <row r="89" spans="1:4">
      <c r="A89" s="76" t="s">
        <v>283</v>
      </c>
      <c r="B89" s="76" t="s">
        <v>284</v>
      </c>
      <c r="C89" s="59">
        <v>7</v>
      </c>
      <c r="D89" s="60">
        <v>1.89</v>
      </c>
    </row>
    <row r="90" spans="1:4">
      <c r="A90" s="76" t="s">
        <v>395</v>
      </c>
      <c r="B90" s="76" t="s">
        <v>396</v>
      </c>
      <c r="C90" s="59">
        <v>13</v>
      </c>
      <c r="D90" s="60">
        <v>2.58</v>
      </c>
    </row>
    <row r="91" spans="1:4">
      <c r="A91" s="76" t="s">
        <v>587</v>
      </c>
      <c r="B91" s="76" t="s">
        <v>588</v>
      </c>
      <c r="C91" s="59">
        <v>6</v>
      </c>
      <c r="D91" s="60">
        <v>1.05</v>
      </c>
    </row>
    <row r="92" spans="1:4">
      <c r="A92" s="76" t="s">
        <v>286</v>
      </c>
      <c r="B92" s="76" t="s">
        <v>287</v>
      </c>
      <c r="C92" s="59">
        <v>5</v>
      </c>
      <c r="D92" s="60">
        <v>1.41</v>
      </c>
    </row>
    <row r="93" spans="1:4">
      <c r="A93" s="76" t="s">
        <v>593</v>
      </c>
      <c r="B93" s="76" t="s">
        <v>594</v>
      </c>
      <c r="C93" s="59">
        <v>4</v>
      </c>
      <c r="D93" s="60">
        <v>0.26</v>
      </c>
    </row>
    <row r="94" spans="1:4">
      <c r="A94" s="76" t="s">
        <v>401</v>
      </c>
      <c r="B94" s="76" t="s">
        <v>402</v>
      </c>
      <c r="C94" s="59">
        <v>4</v>
      </c>
      <c r="D94" s="60">
        <v>0.24</v>
      </c>
    </row>
    <row r="95" spans="1:4">
      <c r="A95" s="76" t="s">
        <v>609</v>
      </c>
      <c r="B95" s="76" t="s">
        <v>610</v>
      </c>
      <c r="C95" s="59">
        <v>12</v>
      </c>
      <c r="D95" s="60">
        <v>4.68</v>
      </c>
    </row>
    <row r="96" spans="1:4">
      <c r="A96" s="76" t="s">
        <v>407</v>
      </c>
      <c r="B96" s="76" t="s">
        <v>408</v>
      </c>
      <c r="C96" s="59">
        <v>17</v>
      </c>
      <c r="D96" s="60">
        <v>0.18</v>
      </c>
    </row>
    <row r="97" spans="1:4">
      <c r="A97" s="76" t="s">
        <v>410</v>
      </c>
      <c r="B97" s="76" t="s">
        <v>411</v>
      </c>
      <c r="C97" s="59">
        <v>14</v>
      </c>
      <c r="D97" s="60">
        <v>1.37</v>
      </c>
    </row>
    <row r="98" spans="1:4">
      <c r="A98" s="76" t="s">
        <v>292</v>
      </c>
      <c r="B98" s="76" t="s">
        <v>293</v>
      </c>
      <c r="C98" s="59">
        <v>11</v>
      </c>
      <c r="D98" s="60">
        <v>3.33</v>
      </c>
    </row>
    <row r="99" spans="1:4">
      <c r="A99" s="76" t="s">
        <v>611</v>
      </c>
      <c r="B99" s="76" t="s">
        <v>612</v>
      </c>
      <c r="C99" s="59">
        <v>20</v>
      </c>
      <c r="D99" s="60">
        <v>2.31</v>
      </c>
    </row>
    <row r="100" spans="1:4">
      <c r="A100" s="76" t="s">
        <v>18</v>
      </c>
      <c r="B100" s="76" t="s">
        <v>19</v>
      </c>
      <c r="C100" s="59">
        <v>10</v>
      </c>
      <c r="D100" s="60">
        <v>5.79</v>
      </c>
    </row>
    <row r="101" spans="1:4">
      <c r="A101" s="76" t="s">
        <v>295</v>
      </c>
      <c r="B101" s="76" t="s">
        <v>296</v>
      </c>
      <c r="C101" s="59">
        <v>11</v>
      </c>
      <c r="D101" s="60">
        <v>2.93</v>
      </c>
    </row>
    <row r="102" spans="1:4">
      <c r="A102" s="76" t="s">
        <v>413</v>
      </c>
      <c r="B102" s="76" t="s">
        <v>414</v>
      </c>
      <c r="C102" s="59">
        <v>15</v>
      </c>
      <c r="D102" s="60">
        <v>7.52</v>
      </c>
    </row>
    <row r="103" spans="1:4">
      <c r="A103" s="76" t="s">
        <v>106</v>
      </c>
      <c r="B103" s="76" t="s">
        <v>107</v>
      </c>
      <c r="C103" s="59">
        <v>13</v>
      </c>
      <c r="D103" s="60">
        <v>0.66</v>
      </c>
    </row>
    <row r="104" spans="1:4">
      <c r="A104" s="76" t="s">
        <v>302</v>
      </c>
      <c r="B104" s="76" t="s">
        <v>303</v>
      </c>
      <c r="C104" s="59">
        <v>9</v>
      </c>
      <c r="D104" s="60">
        <v>1.56</v>
      </c>
    </row>
    <row r="105" spans="1:4">
      <c r="A105" s="76" t="s">
        <v>103</v>
      </c>
      <c r="B105" s="76" t="s">
        <v>104</v>
      </c>
      <c r="C105" s="59">
        <v>18</v>
      </c>
      <c r="D105" s="60">
        <v>3.73</v>
      </c>
    </row>
    <row r="106" spans="1:4">
      <c r="A106" s="76" t="s">
        <v>305</v>
      </c>
      <c r="B106" s="76" t="s">
        <v>306</v>
      </c>
      <c r="C106" s="59">
        <v>11</v>
      </c>
      <c r="D106" s="60">
        <v>4.45</v>
      </c>
    </row>
    <row r="107" spans="1:4">
      <c r="A107" s="76" t="s">
        <v>422</v>
      </c>
      <c r="B107" s="76" t="s">
        <v>423</v>
      </c>
      <c r="C107" s="59">
        <v>11</v>
      </c>
      <c r="D107" s="60">
        <v>0.49</v>
      </c>
    </row>
    <row r="108" spans="1:4">
      <c r="A108" s="76" t="s">
        <v>619</v>
      </c>
      <c r="B108" s="76" t="s">
        <v>620</v>
      </c>
      <c r="C108" s="59">
        <v>16</v>
      </c>
      <c r="D108" s="60">
        <v>1.73</v>
      </c>
    </row>
    <row r="109" spans="1:4">
      <c r="A109" s="76" t="s">
        <v>308</v>
      </c>
      <c r="B109" s="76" t="s">
        <v>309</v>
      </c>
      <c r="C109" s="59">
        <v>8</v>
      </c>
      <c r="D109" s="60">
        <v>2.29</v>
      </c>
    </row>
    <row r="110" spans="1:4">
      <c r="A110" s="76" t="s">
        <v>311</v>
      </c>
      <c r="B110" s="76" t="s">
        <v>312</v>
      </c>
      <c r="C110" s="59">
        <v>13</v>
      </c>
      <c r="D110" s="60">
        <v>2.56</v>
      </c>
    </row>
    <row r="111" spans="1:4">
      <c r="A111" s="76" t="s">
        <v>425</v>
      </c>
      <c r="B111" s="76" t="s">
        <v>426</v>
      </c>
      <c r="C111" s="59">
        <v>15</v>
      </c>
      <c r="D111" s="60">
        <v>2.21</v>
      </c>
    </row>
    <row r="112" spans="1:4">
      <c r="A112" s="76" t="s">
        <v>314</v>
      </c>
      <c r="B112" s="76" t="s">
        <v>315</v>
      </c>
      <c r="C112" s="59">
        <v>12</v>
      </c>
      <c r="D112" s="60">
        <v>2.86</v>
      </c>
    </row>
    <row r="113" spans="1:4">
      <c r="A113" s="76" t="s">
        <v>431</v>
      </c>
      <c r="B113" s="76" t="s">
        <v>432</v>
      </c>
      <c r="C113" s="59">
        <v>13</v>
      </c>
      <c r="D113" s="60">
        <v>0.22</v>
      </c>
    </row>
    <row r="114" spans="1:4">
      <c r="A114" s="76" t="s">
        <v>625</v>
      </c>
      <c r="B114" s="76" t="s">
        <v>626</v>
      </c>
      <c r="C114" s="59">
        <v>7</v>
      </c>
      <c r="D114" s="60">
        <v>1.18</v>
      </c>
    </row>
    <row r="115" spans="1:4">
      <c r="A115" s="76" t="s">
        <v>317</v>
      </c>
      <c r="B115" s="76" t="s">
        <v>318</v>
      </c>
      <c r="C115" s="59">
        <v>7</v>
      </c>
      <c r="D115" s="60">
        <v>2.12</v>
      </c>
    </row>
    <row r="116" spans="1:4">
      <c r="A116" s="76" t="s">
        <v>320</v>
      </c>
      <c r="B116" s="76" t="s">
        <v>321</v>
      </c>
      <c r="C116" s="59">
        <v>9</v>
      </c>
      <c r="D116" s="60">
        <v>2.19</v>
      </c>
    </row>
    <row r="117" spans="1:4">
      <c r="A117" s="76" t="s">
        <v>639</v>
      </c>
      <c r="B117" s="76" t="s">
        <v>640</v>
      </c>
      <c r="C117" s="59">
        <v>16</v>
      </c>
      <c r="D117" s="60">
        <v>0.21</v>
      </c>
    </row>
    <row r="118" spans="1:4">
      <c r="A118" s="76" t="s">
        <v>557</v>
      </c>
      <c r="B118" s="76" t="s">
        <v>558</v>
      </c>
      <c r="C118" s="59">
        <v>17</v>
      </c>
      <c r="D118" s="60">
        <v>2.1</v>
      </c>
    </row>
    <row r="119" spans="1:4">
      <c r="A119" s="76" t="s">
        <v>548</v>
      </c>
      <c r="B119" s="76" t="s">
        <v>549</v>
      </c>
      <c r="C119" s="59">
        <v>11</v>
      </c>
      <c r="D119" s="60">
        <v>1.7</v>
      </c>
    </row>
    <row r="120" spans="1:4">
      <c r="A120" s="76" t="s">
        <v>542</v>
      </c>
      <c r="B120" s="76" t="s">
        <v>543</v>
      </c>
      <c r="C120" s="59">
        <v>10</v>
      </c>
      <c r="D120" s="60">
        <v>0.18806999999999999</v>
      </c>
    </row>
    <row r="121" spans="1:4">
      <c r="A121" s="76" t="s">
        <v>21</v>
      </c>
      <c r="B121" s="76" t="s">
        <v>22</v>
      </c>
      <c r="C121" s="59">
        <v>14</v>
      </c>
      <c r="D121" s="60">
        <v>2.4300000000000002</v>
      </c>
    </row>
    <row r="122" spans="1:4">
      <c r="A122" s="76" t="s">
        <v>329</v>
      </c>
      <c r="B122" s="76" t="s">
        <v>330</v>
      </c>
      <c r="C122" s="59">
        <v>13</v>
      </c>
      <c r="D122" s="60">
        <v>1.96</v>
      </c>
    </row>
    <row r="123" spans="1:4">
      <c r="A123" s="76" t="s">
        <v>440</v>
      </c>
      <c r="B123" s="76" t="s">
        <v>441</v>
      </c>
      <c r="C123" s="59">
        <v>10</v>
      </c>
      <c r="D123" s="60">
        <v>4.24</v>
      </c>
    </row>
    <row r="124" spans="1:4">
      <c r="A124" s="76" t="s">
        <v>90</v>
      </c>
      <c r="B124" s="76" t="s">
        <v>91</v>
      </c>
      <c r="C124" s="59">
        <v>10</v>
      </c>
      <c r="D124" s="60">
        <v>2.625</v>
      </c>
    </row>
    <row r="125" spans="1:4">
      <c r="A125" s="76" t="s">
        <v>332</v>
      </c>
      <c r="B125" s="76" t="s">
        <v>333</v>
      </c>
      <c r="C125" s="59">
        <v>11</v>
      </c>
      <c r="D125" s="60">
        <v>0.26</v>
      </c>
    </row>
    <row r="126" spans="1:4">
      <c r="A126" s="76" t="s">
        <v>443</v>
      </c>
      <c r="B126" s="76" t="s">
        <v>444</v>
      </c>
      <c r="C126" s="59">
        <v>12</v>
      </c>
      <c r="D126" s="60">
        <v>0.08</v>
      </c>
    </row>
    <row r="127" spans="1:4">
      <c r="A127" s="76" t="s">
        <v>653</v>
      </c>
      <c r="B127" s="76" t="s">
        <v>654</v>
      </c>
      <c r="C127" s="59">
        <v>15</v>
      </c>
      <c r="D127" s="60">
        <v>0.56999999999999995</v>
      </c>
    </row>
    <row r="128" spans="1:4">
      <c r="A128" s="76" t="s">
        <v>24</v>
      </c>
      <c r="B128" s="76" t="s">
        <v>25</v>
      </c>
      <c r="C128" s="59">
        <v>10</v>
      </c>
      <c r="D128" s="60">
        <v>2.3199999999999998</v>
      </c>
    </row>
    <row r="129" spans="1:4">
      <c r="A129" s="76" t="s">
        <v>335</v>
      </c>
      <c r="B129" s="76" t="s">
        <v>336</v>
      </c>
      <c r="C129" s="59">
        <v>10</v>
      </c>
      <c r="D129" s="60">
        <v>3.58</v>
      </c>
    </row>
    <row r="130" spans="1:4">
      <c r="A130" s="76" t="s">
        <v>655</v>
      </c>
      <c r="B130" s="76" t="s">
        <v>656</v>
      </c>
      <c r="C130" s="59">
        <v>11</v>
      </c>
      <c r="D130" s="60">
        <v>0.03</v>
      </c>
    </row>
    <row r="131" spans="1:4">
      <c r="A131" s="76" t="s">
        <v>338</v>
      </c>
      <c r="B131" s="76" t="s">
        <v>339</v>
      </c>
      <c r="C131" s="59">
        <v>11</v>
      </c>
      <c r="D131" s="60">
        <v>1.3</v>
      </c>
    </row>
    <row r="132" spans="1:4">
      <c r="A132" s="76" t="s">
        <v>446</v>
      </c>
      <c r="B132" s="76" t="s">
        <v>447</v>
      </c>
      <c r="C132" s="59">
        <v>9</v>
      </c>
      <c r="D132" s="60">
        <v>5.3390000000000004</v>
      </c>
    </row>
    <row r="133" spans="1:4">
      <c r="A133" s="76" t="s">
        <v>455</v>
      </c>
      <c r="B133" s="76" t="s">
        <v>456</v>
      </c>
      <c r="C133" s="59">
        <v>9</v>
      </c>
      <c r="D133" s="60">
        <v>0.19639999999999999</v>
      </c>
    </row>
    <row r="134" spans="1:4">
      <c r="A134" s="76" t="s">
        <v>344</v>
      </c>
      <c r="B134" s="76" t="s">
        <v>345</v>
      </c>
      <c r="C134" s="59">
        <v>11</v>
      </c>
      <c r="D134" s="60">
        <v>0.44</v>
      </c>
    </row>
    <row r="135" spans="1:4">
      <c r="A135" s="76" t="s">
        <v>347</v>
      </c>
      <c r="B135" s="76" t="s">
        <v>348</v>
      </c>
      <c r="C135" s="59">
        <v>8</v>
      </c>
      <c r="D135" s="60">
        <v>1.51</v>
      </c>
    </row>
    <row r="136" spans="1:4">
      <c r="A136" s="76" t="s">
        <v>677</v>
      </c>
      <c r="B136" s="76" t="s">
        <v>678</v>
      </c>
      <c r="C136" s="59">
        <v>10</v>
      </c>
      <c r="D136" s="60">
        <v>0.14729999999999999</v>
      </c>
    </row>
    <row r="137" spans="1:4">
      <c r="A137" s="76" t="s">
        <v>124</v>
      </c>
      <c r="B137" s="76" t="s">
        <v>125</v>
      </c>
      <c r="C137" s="59">
        <v>9</v>
      </c>
      <c r="D137" s="60">
        <v>0.23</v>
      </c>
    </row>
    <row r="138" spans="1:4">
      <c r="A138" s="76" t="s">
        <v>681</v>
      </c>
      <c r="B138" s="76" t="s">
        <v>682</v>
      </c>
      <c r="C138" s="59">
        <v>16</v>
      </c>
      <c r="D138" s="60">
        <v>0.43</v>
      </c>
    </row>
    <row r="139" spans="1:4">
      <c r="A139" s="76" t="s">
        <v>350</v>
      </c>
      <c r="B139" s="76" t="s">
        <v>351</v>
      </c>
      <c r="C139" s="59">
        <v>12</v>
      </c>
      <c r="D139" s="60">
        <v>2.4249999999999998</v>
      </c>
    </row>
    <row r="140" spans="1:4">
      <c r="A140" s="76" t="s">
        <v>458</v>
      </c>
      <c r="B140" s="76" t="s">
        <v>459</v>
      </c>
      <c r="C140" s="59">
        <v>10</v>
      </c>
      <c r="D140" s="60">
        <v>3.843</v>
      </c>
    </row>
    <row r="141" spans="1:4">
      <c r="A141" s="76" t="s">
        <v>353</v>
      </c>
      <c r="B141" s="76" t="s">
        <v>354</v>
      </c>
      <c r="C141" s="59">
        <v>10</v>
      </c>
      <c r="D141" s="60">
        <v>2.48</v>
      </c>
    </row>
    <row r="142" spans="1:4">
      <c r="A142" s="76" t="s">
        <v>687</v>
      </c>
      <c r="B142" s="76" t="s">
        <v>688</v>
      </c>
      <c r="C142" s="59">
        <v>13</v>
      </c>
      <c r="D142" s="60">
        <v>6.32</v>
      </c>
    </row>
    <row r="143" spans="1:4">
      <c r="A143" s="76" t="s">
        <v>356</v>
      </c>
      <c r="B143" s="76" t="s">
        <v>357</v>
      </c>
      <c r="C143" s="59">
        <v>9</v>
      </c>
      <c r="D143" s="60">
        <v>0.05</v>
      </c>
    </row>
    <row r="144" spans="1:4">
      <c r="A144" s="76" t="s">
        <v>461</v>
      </c>
      <c r="B144" s="76" t="s">
        <v>462</v>
      </c>
      <c r="C144" s="59">
        <v>7</v>
      </c>
      <c r="D144" s="60">
        <v>0.38700000000000001</v>
      </c>
    </row>
    <row r="145" spans="1:4">
      <c r="A145" s="76" t="s">
        <v>691</v>
      </c>
      <c r="B145" s="76" t="s">
        <v>692</v>
      </c>
      <c r="C145" s="59">
        <v>10</v>
      </c>
      <c r="D145" s="60">
        <v>2.93</v>
      </c>
    </row>
    <row r="146" spans="1:4">
      <c r="A146" s="76" t="s">
        <v>464</v>
      </c>
      <c r="B146" s="76" t="s">
        <v>465</v>
      </c>
      <c r="C146" s="59">
        <v>13</v>
      </c>
      <c r="D146" s="60">
        <v>2.9323999999999999</v>
      </c>
    </row>
    <row r="147" spans="1:4">
      <c r="A147" s="76" t="s">
        <v>695</v>
      </c>
      <c r="B147" s="76" t="s">
        <v>696</v>
      </c>
      <c r="C147" s="59">
        <v>21</v>
      </c>
      <c r="D147" s="60">
        <v>0.65300000000000002</v>
      </c>
    </row>
    <row r="148" spans="1:4">
      <c r="A148" s="76" t="s">
        <v>473</v>
      </c>
      <c r="B148" s="76" t="s">
        <v>474</v>
      </c>
      <c r="C148" s="59">
        <v>12</v>
      </c>
      <c r="D148" s="60">
        <v>0.17100000000000001</v>
      </c>
    </row>
    <row r="149" spans="1:4">
      <c r="A149" s="76" t="s">
        <v>476</v>
      </c>
      <c r="B149" s="76" t="s">
        <v>477</v>
      </c>
      <c r="C149" s="59">
        <v>13</v>
      </c>
      <c r="D149" s="60">
        <v>0.90900000000000003</v>
      </c>
    </row>
    <row r="150" spans="1:4">
      <c r="A150" s="76" t="s">
        <v>359</v>
      </c>
      <c r="B150" s="76" t="s">
        <v>360</v>
      </c>
      <c r="C150" s="59">
        <v>10</v>
      </c>
      <c r="D150" s="60">
        <v>2.29</v>
      </c>
    </row>
    <row r="151" spans="1:4">
      <c r="A151" s="76" t="s">
        <v>479</v>
      </c>
      <c r="B151" s="76" t="s">
        <v>480</v>
      </c>
      <c r="C151" s="59">
        <v>12</v>
      </c>
      <c r="D151" s="60">
        <v>2.1616</v>
      </c>
    </row>
    <row r="152" spans="1:4">
      <c r="A152" s="76" t="s">
        <v>563</v>
      </c>
      <c r="B152" s="76" t="s">
        <v>564</v>
      </c>
      <c r="C152" s="59">
        <v>13</v>
      </c>
      <c r="D152" s="60">
        <v>0.08</v>
      </c>
    </row>
    <row r="153" spans="1:4">
      <c r="A153" s="76" t="s">
        <v>703</v>
      </c>
      <c r="B153" s="76" t="s">
        <v>704</v>
      </c>
      <c r="C153" s="59">
        <v>18</v>
      </c>
      <c r="D153" s="60">
        <v>1.6865000000000001</v>
      </c>
    </row>
    <row r="154" spans="1:4">
      <c r="A154" s="76" t="s">
        <v>482</v>
      </c>
      <c r="B154" s="76" t="s">
        <v>483</v>
      </c>
      <c r="C154" s="59">
        <v>9</v>
      </c>
      <c r="D154" s="60">
        <v>4.4999999999999998E-2</v>
      </c>
    </row>
    <row r="155" spans="1:4">
      <c r="A155" s="76" t="s">
        <v>491</v>
      </c>
      <c r="B155" s="76" t="s">
        <v>492</v>
      </c>
      <c r="C155" s="59">
        <v>6</v>
      </c>
      <c r="D155" s="60">
        <v>2.2639999999999998</v>
      </c>
    </row>
    <row r="156" spans="1:4">
      <c r="A156" s="76" t="s">
        <v>362</v>
      </c>
      <c r="B156" s="76" t="s">
        <v>363</v>
      </c>
      <c r="C156" s="59">
        <v>10</v>
      </c>
      <c r="D156" s="60">
        <v>5.78</v>
      </c>
    </row>
    <row r="157" spans="1:4">
      <c r="A157" s="76" t="s">
        <v>494</v>
      </c>
      <c r="B157" s="76" t="s">
        <v>495</v>
      </c>
      <c r="C157" s="59">
        <v>12</v>
      </c>
      <c r="D157" s="60">
        <v>2.65</v>
      </c>
    </row>
    <row r="158" spans="1:4">
      <c r="A158" s="76" t="s">
        <v>30</v>
      </c>
      <c r="B158" s="76" t="s">
        <v>31</v>
      </c>
      <c r="C158" s="59">
        <v>12</v>
      </c>
      <c r="D158" s="60">
        <v>1.38</v>
      </c>
    </row>
    <row r="159" spans="1:4">
      <c r="A159" s="76" t="s">
        <v>497</v>
      </c>
      <c r="B159" s="76" t="s">
        <v>498</v>
      </c>
      <c r="C159" s="59">
        <v>10</v>
      </c>
      <c r="D159" s="60">
        <v>3.63</v>
      </c>
    </row>
    <row r="160" spans="1:4">
      <c r="A160" s="76" t="s">
        <v>749</v>
      </c>
      <c r="B160" s="76" t="s">
        <v>750</v>
      </c>
      <c r="C160" s="59">
        <v>8</v>
      </c>
      <c r="D160" s="60">
        <v>0.13</v>
      </c>
    </row>
    <row r="161" spans="1:4">
      <c r="A161" s="76" t="s">
        <v>751</v>
      </c>
      <c r="B161" s="76" t="s">
        <v>752</v>
      </c>
      <c r="C161" s="59">
        <v>9</v>
      </c>
      <c r="D161" s="60">
        <v>0.96499999999999997</v>
      </c>
    </row>
    <row r="162" spans="1:4">
      <c r="A162" s="76" t="s">
        <v>500</v>
      </c>
      <c r="B162" s="76" t="s">
        <v>501</v>
      </c>
      <c r="C162" s="59">
        <v>8</v>
      </c>
      <c r="D162" s="60">
        <v>0.32300000000000001</v>
      </c>
    </row>
    <row r="163" spans="1:4">
      <c r="A163" s="76" t="s">
        <v>767</v>
      </c>
      <c r="B163" s="76" t="s">
        <v>768</v>
      </c>
      <c r="C163" s="59">
        <v>7</v>
      </c>
      <c r="D163" s="60">
        <v>2.29</v>
      </c>
    </row>
    <row r="164" spans="1:4">
      <c r="A164" s="76" t="s">
        <v>769</v>
      </c>
      <c r="B164" s="76" t="s">
        <v>770</v>
      </c>
      <c r="C164" s="59">
        <v>22</v>
      </c>
      <c r="D164" s="60">
        <v>2.5489999999999999</v>
      </c>
    </row>
    <row r="165" spans="1:4">
      <c r="A165" s="76" t="s">
        <v>115</v>
      </c>
      <c r="B165" s="76" t="s">
        <v>116</v>
      </c>
      <c r="C165" s="59">
        <v>8</v>
      </c>
      <c r="D165" s="60">
        <v>0.248</v>
      </c>
    </row>
    <row r="166" spans="1:4">
      <c r="A166" s="76" t="s">
        <v>380</v>
      </c>
      <c r="B166" s="76" t="s">
        <v>381</v>
      </c>
      <c r="C166" s="59">
        <v>8</v>
      </c>
      <c r="D166" s="60">
        <v>6.12</v>
      </c>
    </row>
    <row r="167" spans="1:4">
      <c r="A167" s="76" t="s">
        <v>509</v>
      </c>
      <c r="B167" s="76" t="s">
        <v>510</v>
      </c>
      <c r="C167" s="59">
        <v>12</v>
      </c>
      <c r="D167" s="60">
        <v>2.3199999999999998</v>
      </c>
    </row>
    <row r="168" spans="1:4">
      <c r="A168" s="76" t="s">
        <v>566</v>
      </c>
      <c r="B168" s="76" t="s">
        <v>567</v>
      </c>
      <c r="C168" s="59">
        <v>7</v>
      </c>
      <c r="D168" s="60">
        <v>0.08</v>
      </c>
    </row>
    <row r="169" spans="1:4">
      <c r="A169" s="76" t="s">
        <v>118</v>
      </c>
      <c r="B169" s="76" t="s">
        <v>119</v>
      </c>
      <c r="C169" s="59">
        <v>10</v>
      </c>
      <c r="D169" s="60">
        <v>0.78600000000000003</v>
      </c>
    </row>
    <row r="170" spans="1:4">
      <c r="A170" s="76" t="s">
        <v>789</v>
      </c>
      <c r="B170" s="76" t="s">
        <v>790</v>
      </c>
      <c r="C170" s="59">
        <v>10</v>
      </c>
      <c r="D170" s="60">
        <v>4.83</v>
      </c>
    </row>
    <row r="171" spans="1:4">
      <c r="A171" s="76" t="s">
        <v>805</v>
      </c>
      <c r="B171" s="76" t="s">
        <v>806</v>
      </c>
      <c r="C171" s="59">
        <v>10</v>
      </c>
      <c r="D171" s="60">
        <v>2.71</v>
      </c>
    </row>
    <row r="172" spans="1:4">
      <c r="A172" s="76" t="s">
        <v>60</v>
      </c>
      <c r="B172" s="76" t="s">
        <v>61</v>
      </c>
      <c r="C172" s="59">
        <v>12</v>
      </c>
      <c r="D172" s="60">
        <v>2.76</v>
      </c>
    </row>
    <row r="173" spans="1:4">
      <c r="A173" s="76" t="s">
        <v>63</v>
      </c>
      <c r="B173" s="76" t="s">
        <v>64</v>
      </c>
      <c r="C173" s="59">
        <v>10</v>
      </c>
      <c r="D173" s="60">
        <v>5.62</v>
      </c>
    </row>
    <row r="174" spans="1:4">
      <c r="A174" s="76" t="s">
        <v>66</v>
      </c>
      <c r="B174" s="76" t="s">
        <v>67</v>
      </c>
      <c r="C174" s="59">
        <v>10</v>
      </c>
      <c r="D174" s="60">
        <v>2.88</v>
      </c>
    </row>
    <row r="175" spans="1:4">
      <c r="A175" s="76" t="s">
        <v>823</v>
      </c>
      <c r="B175" s="76" t="s">
        <v>824</v>
      </c>
      <c r="C175" s="59">
        <v>15</v>
      </c>
      <c r="D175" s="60">
        <v>2.2999999999999998</v>
      </c>
    </row>
    <row r="176" spans="1:4">
      <c r="A176" s="76" t="s">
        <v>45</v>
      </c>
      <c r="B176" s="76" t="s">
        <v>46</v>
      </c>
      <c r="C176" s="59">
        <v>12</v>
      </c>
      <c r="D176" s="60">
        <v>3.7</v>
      </c>
    </row>
    <row r="177" spans="1:4">
      <c r="A177" s="76" t="s">
        <v>527</v>
      </c>
      <c r="B177" s="76" t="s">
        <v>528</v>
      </c>
      <c r="C177" s="59">
        <v>11</v>
      </c>
      <c r="D177" s="60">
        <v>0.67200000000000004</v>
      </c>
    </row>
    <row r="178" spans="1:4">
      <c r="A178" s="76" t="s">
        <v>591</v>
      </c>
      <c r="B178" s="76" t="s">
        <v>592</v>
      </c>
      <c r="C178" s="59">
        <v>12</v>
      </c>
      <c r="D178" s="60">
        <v>0.1026</v>
      </c>
    </row>
    <row r="179" spans="1:4">
      <c r="A179" s="76" t="s">
        <v>398</v>
      </c>
      <c r="B179" s="76" t="s">
        <v>399</v>
      </c>
      <c r="C179" s="59">
        <v>10</v>
      </c>
      <c r="D179" s="60">
        <v>0.53</v>
      </c>
    </row>
    <row r="180" spans="1:4">
      <c r="A180" s="76" t="s">
        <v>597</v>
      </c>
      <c r="B180" s="76" t="s">
        <v>598</v>
      </c>
      <c r="C180" s="59">
        <v>6</v>
      </c>
      <c r="D180" s="60">
        <v>0</v>
      </c>
    </row>
    <row r="181" spans="1:4">
      <c r="A181" s="76" t="s">
        <v>10</v>
      </c>
      <c r="B181" s="76" t="s">
        <v>11</v>
      </c>
      <c r="C181" s="59">
        <v>11</v>
      </c>
      <c r="D181" s="60">
        <v>2.169</v>
      </c>
    </row>
    <row r="182" spans="1:4">
      <c r="A182" s="76" t="s">
        <v>133</v>
      </c>
      <c r="B182" s="76" t="s">
        <v>134</v>
      </c>
      <c r="C182" s="59">
        <v>13</v>
      </c>
      <c r="D182" s="60">
        <v>0.49099999999999999</v>
      </c>
    </row>
    <row r="183" spans="1:4">
      <c r="A183" s="76" t="s">
        <v>289</v>
      </c>
      <c r="B183" s="76" t="s">
        <v>290</v>
      </c>
      <c r="C183" s="59">
        <v>14</v>
      </c>
      <c r="D183" s="60">
        <v>2.4300000000000002</v>
      </c>
    </row>
    <row r="184" spans="1:4">
      <c r="A184" s="76" t="s">
        <v>404</v>
      </c>
      <c r="B184" s="76" t="s">
        <v>405</v>
      </c>
      <c r="C184" s="59">
        <v>14</v>
      </c>
      <c r="D184" s="60">
        <v>2.37</v>
      </c>
    </row>
    <row r="185" spans="1:4">
      <c r="A185" s="76" t="s">
        <v>599</v>
      </c>
      <c r="B185" s="76" t="s">
        <v>600</v>
      </c>
      <c r="C185" s="59">
        <v>6</v>
      </c>
      <c r="D185" s="60">
        <v>1.7749999999999999</v>
      </c>
    </row>
    <row r="186" spans="1:4">
      <c r="A186" s="76" t="s">
        <v>613</v>
      </c>
      <c r="B186" s="76" t="s">
        <v>614</v>
      </c>
      <c r="C186" s="59">
        <v>15</v>
      </c>
      <c r="D186" s="60">
        <v>3.6580000000000001E-2</v>
      </c>
    </row>
    <row r="187" spans="1:4">
      <c r="A187" s="76" t="s">
        <v>15</v>
      </c>
      <c r="B187" s="76" t="s">
        <v>16</v>
      </c>
      <c r="C187" s="59">
        <v>10</v>
      </c>
      <c r="D187" s="60">
        <v>1.099</v>
      </c>
    </row>
    <row r="188" spans="1:4">
      <c r="A188" s="76" t="s">
        <v>298</v>
      </c>
      <c r="B188" s="76" t="s">
        <v>299</v>
      </c>
      <c r="C188" s="59">
        <v>11</v>
      </c>
      <c r="D188" s="60">
        <v>4.46</v>
      </c>
    </row>
    <row r="189" spans="1:4">
      <c r="A189" s="76" t="s">
        <v>416</v>
      </c>
      <c r="B189" s="76" t="s">
        <v>417</v>
      </c>
      <c r="C189" s="59">
        <v>12</v>
      </c>
      <c r="D189" s="60">
        <v>0.1638</v>
      </c>
    </row>
    <row r="190" spans="1:4">
      <c r="A190" s="76" t="s">
        <v>419</v>
      </c>
      <c r="B190" s="76" t="s">
        <v>420</v>
      </c>
      <c r="C190" s="59">
        <v>12</v>
      </c>
      <c r="D190" s="60">
        <v>0.18090000000000001</v>
      </c>
    </row>
    <row r="191" spans="1:4">
      <c r="A191" s="76" t="s">
        <v>93</v>
      </c>
      <c r="B191" s="76" t="s">
        <v>94</v>
      </c>
      <c r="C191" s="59">
        <v>8</v>
      </c>
      <c r="D191" s="60">
        <v>2.39</v>
      </c>
    </row>
    <row r="192" spans="1:4">
      <c r="A192" s="76" t="s">
        <v>621</v>
      </c>
      <c r="B192" s="76" t="s">
        <v>622</v>
      </c>
      <c r="C192" s="59">
        <v>11</v>
      </c>
      <c r="D192" s="60">
        <v>0.443</v>
      </c>
    </row>
    <row r="193" spans="1:4">
      <c r="A193" s="76" t="s">
        <v>428</v>
      </c>
      <c r="B193" s="76" t="s">
        <v>429</v>
      </c>
      <c r="C193" s="59">
        <v>15</v>
      </c>
      <c r="D193" s="60">
        <v>0.28799999999999998</v>
      </c>
    </row>
    <row r="194" spans="1:4">
      <c r="A194" s="76" t="s">
        <v>434</v>
      </c>
      <c r="B194" s="76" t="s">
        <v>435</v>
      </c>
      <c r="C194" s="59">
        <v>14</v>
      </c>
      <c r="D194" s="60">
        <v>0.2</v>
      </c>
    </row>
    <row r="195" spans="1:4">
      <c r="A195" s="76" t="s">
        <v>551</v>
      </c>
      <c r="B195" s="76" t="s">
        <v>552</v>
      </c>
      <c r="C195" s="59">
        <v>10</v>
      </c>
      <c r="D195" s="60">
        <v>2.78</v>
      </c>
    </row>
    <row r="196" spans="1:4">
      <c r="A196" s="76" t="s">
        <v>641</v>
      </c>
      <c r="B196" s="76" t="s">
        <v>642</v>
      </c>
      <c r="C196" s="59">
        <v>11</v>
      </c>
      <c r="D196" s="60">
        <v>3.37</v>
      </c>
    </row>
    <row r="197" spans="1:4">
      <c r="A197" s="76" t="s">
        <v>130</v>
      </c>
      <c r="B197" s="76" t="s">
        <v>131</v>
      </c>
      <c r="C197" s="59">
        <v>8</v>
      </c>
      <c r="D197" s="60">
        <v>0.5</v>
      </c>
    </row>
    <row r="198" spans="1:4">
      <c r="A198" s="76" t="s">
        <v>323</v>
      </c>
      <c r="B198" s="76" t="s">
        <v>324</v>
      </c>
      <c r="C198" s="59">
        <v>12</v>
      </c>
      <c r="D198" s="60">
        <v>4.66</v>
      </c>
    </row>
    <row r="199" spans="1:4">
      <c r="A199" s="76" t="s">
        <v>649</v>
      </c>
      <c r="B199" s="76" t="s">
        <v>650</v>
      </c>
      <c r="C199" s="59">
        <v>10</v>
      </c>
      <c r="D199" s="60">
        <v>0.40799999999999997</v>
      </c>
    </row>
    <row r="200" spans="1:4">
      <c r="A200" s="76" t="s">
        <v>326</v>
      </c>
      <c r="B200" s="76" t="s">
        <v>327</v>
      </c>
      <c r="C200" s="59">
        <v>15</v>
      </c>
      <c r="D200" s="60">
        <v>2.7E-2</v>
      </c>
    </row>
    <row r="201" spans="1:4">
      <c r="A201" s="76" t="s">
        <v>437</v>
      </c>
      <c r="B201" s="76" t="s">
        <v>438</v>
      </c>
      <c r="C201" s="59">
        <v>17</v>
      </c>
      <c r="D201" s="60">
        <v>2.4732500000000002</v>
      </c>
    </row>
    <row r="202" spans="1:4">
      <c r="A202" s="76" t="s">
        <v>575</v>
      </c>
      <c r="B202" s="76" t="s">
        <v>576</v>
      </c>
      <c r="C202" s="59">
        <v>7</v>
      </c>
      <c r="D202" s="60">
        <v>1.488</v>
      </c>
    </row>
    <row r="203" spans="1:4">
      <c r="A203" s="76" t="s">
        <v>651</v>
      </c>
      <c r="B203" s="76" t="s">
        <v>652</v>
      </c>
      <c r="C203" s="59">
        <v>9</v>
      </c>
      <c r="D203" s="60">
        <v>2.89</v>
      </c>
    </row>
    <row r="204" spans="1:4">
      <c r="A204" s="76" t="s">
        <v>341</v>
      </c>
      <c r="B204" s="76" t="s">
        <v>342</v>
      </c>
      <c r="C204" s="59">
        <v>11</v>
      </c>
      <c r="D204" s="60">
        <v>0.68079999999999996</v>
      </c>
    </row>
    <row r="205" spans="1:4">
      <c r="A205" s="76" t="s">
        <v>109</v>
      </c>
      <c r="B205" s="76" t="s">
        <v>110</v>
      </c>
      <c r="C205" s="59">
        <v>11</v>
      </c>
      <c r="D205" s="60">
        <v>3.83</v>
      </c>
    </row>
    <row r="206" spans="1:4">
      <c r="A206" s="76" t="s">
        <v>449</v>
      </c>
      <c r="B206" s="76" t="s">
        <v>450</v>
      </c>
      <c r="C206" s="59">
        <v>12</v>
      </c>
      <c r="D206" s="60">
        <v>1.7490000000000001</v>
      </c>
    </row>
    <row r="207" spans="1:4">
      <c r="A207" s="76" t="s">
        <v>452</v>
      </c>
      <c r="B207" s="76" t="s">
        <v>453</v>
      </c>
      <c r="C207" s="59">
        <v>20</v>
      </c>
      <c r="D207" s="60">
        <v>4.8959999999999999</v>
      </c>
    </row>
    <row r="208" spans="1:4">
      <c r="A208" s="76" t="s">
        <v>572</v>
      </c>
      <c r="B208" s="76" t="s">
        <v>573</v>
      </c>
      <c r="C208" s="59">
        <v>9</v>
      </c>
      <c r="D208" s="60">
        <v>0.15</v>
      </c>
    </row>
    <row r="209" spans="1:4">
      <c r="A209" s="76" t="s">
        <v>533</v>
      </c>
      <c r="B209" s="76" t="s">
        <v>534</v>
      </c>
      <c r="C209" s="59">
        <v>10</v>
      </c>
      <c r="D209" s="60">
        <v>2.2200000000000002</v>
      </c>
    </row>
    <row r="210" spans="1:4">
      <c r="A210" s="76" t="s">
        <v>536</v>
      </c>
      <c r="B210" s="76" t="s">
        <v>537</v>
      </c>
      <c r="C210" s="59">
        <v>15</v>
      </c>
      <c r="D210" s="60">
        <v>9.1999999999999998E-2</v>
      </c>
    </row>
    <row r="211" spans="1:4">
      <c r="A211" s="76" t="s">
        <v>467</v>
      </c>
      <c r="B211" s="76" t="s">
        <v>468</v>
      </c>
      <c r="C211" s="59">
        <v>8</v>
      </c>
      <c r="D211" s="60">
        <v>2.0350000000000001</v>
      </c>
    </row>
    <row r="212" spans="1:4">
      <c r="A212" s="76" t="s">
        <v>545</v>
      </c>
      <c r="B212" s="76" t="s">
        <v>546</v>
      </c>
      <c r="C212" s="59">
        <v>8</v>
      </c>
      <c r="D212" s="60">
        <v>0.14199999999999999</v>
      </c>
    </row>
    <row r="213" spans="1:4">
      <c r="A213" s="76" t="s">
        <v>470</v>
      </c>
      <c r="B213" s="76" t="s">
        <v>471</v>
      </c>
      <c r="C213" s="59">
        <v>11</v>
      </c>
      <c r="D213" s="60">
        <v>0.48180000000000001</v>
      </c>
    </row>
    <row r="214" spans="1:4">
      <c r="A214" s="76" t="s">
        <v>554</v>
      </c>
      <c r="B214" s="76" t="s">
        <v>555</v>
      </c>
      <c r="C214" s="59">
        <v>10</v>
      </c>
      <c r="D214" s="60">
        <v>1.54</v>
      </c>
    </row>
    <row r="215" spans="1:4">
      <c r="A215" s="76" t="s">
        <v>693</v>
      </c>
      <c r="B215" s="76" t="s">
        <v>694</v>
      </c>
      <c r="C215" s="59">
        <v>10</v>
      </c>
      <c r="D215" s="60">
        <v>0.64300000000000002</v>
      </c>
    </row>
    <row r="216" spans="1:4">
      <c r="A216" s="76" t="s">
        <v>709</v>
      </c>
      <c r="B216" s="76" t="s">
        <v>710</v>
      </c>
      <c r="C216" s="59">
        <v>11</v>
      </c>
      <c r="D216" s="60">
        <v>4.2389999999999999</v>
      </c>
    </row>
    <row r="217" spans="1:4">
      <c r="A217" s="76" t="s">
        <v>711</v>
      </c>
      <c r="B217" s="76" t="s">
        <v>712</v>
      </c>
      <c r="C217" s="59">
        <v>14</v>
      </c>
      <c r="D217" s="60">
        <v>3.09</v>
      </c>
    </row>
    <row r="218" spans="1:4">
      <c r="A218" s="76" t="s">
        <v>485</v>
      </c>
      <c r="B218" s="76" t="s">
        <v>486</v>
      </c>
      <c r="C218" s="59">
        <v>12</v>
      </c>
      <c r="D218" s="60">
        <v>0.25979999999999998</v>
      </c>
    </row>
    <row r="219" spans="1:4">
      <c r="A219" s="76" t="s">
        <v>488</v>
      </c>
      <c r="B219" s="76" t="s">
        <v>489</v>
      </c>
      <c r="C219" s="59">
        <v>8</v>
      </c>
      <c r="D219" s="60">
        <v>0.112</v>
      </c>
    </row>
    <row r="220" spans="1:4">
      <c r="A220" s="76" t="s">
        <v>717</v>
      </c>
      <c r="B220" s="76" t="s">
        <v>718</v>
      </c>
      <c r="C220" s="59">
        <v>9</v>
      </c>
      <c r="D220" s="60">
        <v>5.1100000000000003</v>
      </c>
    </row>
    <row r="221" spans="1:4">
      <c r="A221" s="76" t="s">
        <v>365</v>
      </c>
      <c r="B221" s="76" t="s">
        <v>366</v>
      </c>
      <c r="C221" s="59">
        <v>11</v>
      </c>
      <c r="D221" s="60">
        <v>0.30299999999999999</v>
      </c>
    </row>
    <row r="222" spans="1:4">
      <c r="A222" s="76" t="s">
        <v>725</v>
      </c>
      <c r="B222" s="76" t="s">
        <v>726</v>
      </c>
      <c r="C222" s="59">
        <v>14</v>
      </c>
      <c r="D222" s="60">
        <v>0.14019999999999999</v>
      </c>
    </row>
    <row r="223" spans="1:4">
      <c r="A223" s="76" t="s">
        <v>51</v>
      </c>
      <c r="B223" s="76" t="s">
        <v>52</v>
      </c>
      <c r="C223" s="59">
        <v>12</v>
      </c>
      <c r="D223" s="60">
        <v>0.36</v>
      </c>
    </row>
    <row r="224" spans="1:4">
      <c r="A224" s="76" t="s">
        <v>368</v>
      </c>
      <c r="B224" s="76" t="s">
        <v>369</v>
      </c>
      <c r="C224" s="59">
        <v>8</v>
      </c>
      <c r="D224" s="60">
        <v>4.3099999999999996</v>
      </c>
    </row>
    <row r="225" spans="1:4">
      <c r="A225" s="76" t="s">
        <v>737</v>
      </c>
      <c r="B225" s="76" t="s">
        <v>738</v>
      </c>
      <c r="C225" s="59">
        <v>14</v>
      </c>
      <c r="D225" s="60">
        <v>1.1000000000000001</v>
      </c>
    </row>
    <row r="226" spans="1:4">
      <c r="A226" s="76" t="s">
        <v>739</v>
      </c>
      <c r="B226" s="76" t="s">
        <v>740</v>
      </c>
      <c r="C226" s="59">
        <v>12</v>
      </c>
      <c r="D226" s="60">
        <v>2.21</v>
      </c>
    </row>
    <row r="227" spans="1:4">
      <c r="A227" s="76" t="s">
        <v>747</v>
      </c>
      <c r="B227" s="76" t="s">
        <v>748</v>
      </c>
      <c r="C227" s="59">
        <v>12</v>
      </c>
      <c r="D227" s="60">
        <v>1.5969</v>
      </c>
    </row>
    <row r="228" spans="1:4">
      <c r="A228" s="76" t="s">
        <v>539</v>
      </c>
      <c r="B228" s="76" t="s">
        <v>540</v>
      </c>
      <c r="C228" s="59">
        <v>10</v>
      </c>
      <c r="D228" s="60">
        <v>0.29409999999999997</v>
      </c>
    </row>
    <row r="229" spans="1:4">
      <c r="A229" s="76" t="s">
        <v>569</v>
      </c>
      <c r="B229" s="76" t="s">
        <v>570</v>
      </c>
      <c r="C229" s="59">
        <v>13</v>
      </c>
      <c r="D229" s="60">
        <v>8.17</v>
      </c>
    </row>
    <row r="230" spans="1:4">
      <c r="A230" s="76" t="s">
        <v>759</v>
      </c>
      <c r="B230" s="76" t="s">
        <v>760</v>
      </c>
      <c r="C230" s="59">
        <v>8</v>
      </c>
      <c r="D230" s="60">
        <v>0.109</v>
      </c>
    </row>
    <row r="231" spans="1:4">
      <c r="A231" s="76" t="s">
        <v>761</v>
      </c>
      <c r="B231" s="76" t="s">
        <v>762</v>
      </c>
      <c r="C231" s="59">
        <v>15</v>
      </c>
      <c r="D231" s="60">
        <v>2.96</v>
      </c>
    </row>
    <row r="232" spans="1:4">
      <c r="A232" s="76" t="s">
        <v>371</v>
      </c>
      <c r="B232" s="76" t="s">
        <v>372</v>
      </c>
      <c r="C232" s="59">
        <v>13</v>
      </c>
      <c r="D232" s="60">
        <v>0.43669999999999998</v>
      </c>
    </row>
    <row r="233" spans="1:4">
      <c r="A233" s="76" t="s">
        <v>763</v>
      </c>
      <c r="B233" s="76" t="s">
        <v>764</v>
      </c>
      <c r="C233" s="59">
        <v>8</v>
      </c>
      <c r="D233" s="60">
        <v>0.26490000000000002</v>
      </c>
    </row>
    <row r="234" spans="1:4">
      <c r="A234" s="76" t="s">
        <v>96</v>
      </c>
      <c r="B234" s="76" t="s">
        <v>97</v>
      </c>
      <c r="C234" s="59">
        <v>11</v>
      </c>
      <c r="D234" s="60">
        <v>2.0455999999999999</v>
      </c>
    </row>
    <row r="235" spans="1:4">
      <c r="A235" s="76" t="s">
        <v>374</v>
      </c>
      <c r="B235" s="76" t="s">
        <v>375</v>
      </c>
      <c r="C235" s="59">
        <v>10</v>
      </c>
      <c r="D235" s="60">
        <v>0.42399999999999999</v>
      </c>
    </row>
    <row r="236" spans="1:4">
      <c r="A236" s="76" t="s">
        <v>503</v>
      </c>
      <c r="B236" s="76" t="s">
        <v>504</v>
      </c>
      <c r="C236" s="59">
        <v>10</v>
      </c>
      <c r="D236" s="60">
        <v>0.2077</v>
      </c>
    </row>
    <row r="237" spans="1:4">
      <c r="A237" s="76" t="s">
        <v>765</v>
      </c>
      <c r="B237" s="76" t="s">
        <v>766</v>
      </c>
      <c r="C237" s="59">
        <v>10</v>
      </c>
      <c r="D237" s="60">
        <v>0.34</v>
      </c>
    </row>
    <row r="238" spans="1:4">
      <c r="A238" s="76" t="s">
        <v>560</v>
      </c>
      <c r="B238" s="76" t="s">
        <v>561</v>
      </c>
      <c r="C238" s="59">
        <v>9</v>
      </c>
      <c r="D238" s="60">
        <v>1.71</v>
      </c>
    </row>
    <row r="239" spans="1:4">
      <c r="A239" s="76" t="s">
        <v>100</v>
      </c>
      <c r="B239" s="76" t="s">
        <v>101</v>
      </c>
      <c r="C239" s="59">
        <v>12</v>
      </c>
      <c r="D239" s="60">
        <v>2.8340000000000001</v>
      </c>
    </row>
    <row r="240" spans="1:4">
      <c r="A240" s="76" t="s">
        <v>777</v>
      </c>
      <c r="B240" s="76" t="s">
        <v>778</v>
      </c>
      <c r="C240" s="59">
        <v>12</v>
      </c>
      <c r="D240" s="60">
        <v>1.44</v>
      </c>
    </row>
    <row r="241" spans="1:4">
      <c r="A241" s="76" t="s">
        <v>506</v>
      </c>
      <c r="B241" s="76" t="s">
        <v>507</v>
      </c>
      <c r="C241" s="59">
        <v>20</v>
      </c>
      <c r="D241" s="60">
        <v>1.34</v>
      </c>
    </row>
    <row r="242" spans="1:4">
      <c r="A242" s="76" t="s">
        <v>33</v>
      </c>
      <c r="B242" s="76" t="s">
        <v>34</v>
      </c>
      <c r="C242" s="59">
        <v>10</v>
      </c>
      <c r="D242" s="60">
        <v>0</v>
      </c>
    </row>
    <row r="243" spans="1:4">
      <c r="A243" s="76" t="s">
        <v>377</v>
      </c>
      <c r="B243" s="76" t="s">
        <v>378</v>
      </c>
      <c r="C243" s="59">
        <v>4</v>
      </c>
      <c r="D243" s="60">
        <v>0.28599999999999998</v>
      </c>
    </row>
    <row r="244" spans="1:4">
      <c r="A244" s="76" t="s">
        <v>383</v>
      </c>
      <c r="B244" s="76" t="s">
        <v>384</v>
      </c>
      <c r="C244" s="59">
        <v>8</v>
      </c>
      <c r="D244" s="60">
        <v>2.77</v>
      </c>
    </row>
    <row r="245" spans="1:4">
      <c r="A245" s="76" t="s">
        <v>512</v>
      </c>
      <c r="B245" s="76" t="s">
        <v>513</v>
      </c>
      <c r="C245" s="59">
        <v>16</v>
      </c>
      <c r="D245" s="60">
        <v>0.32</v>
      </c>
    </row>
    <row r="246" spans="1:4">
      <c r="A246" s="76" t="s">
        <v>515</v>
      </c>
      <c r="B246" s="76" t="s">
        <v>516</v>
      </c>
      <c r="C246" s="59">
        <v>9</v>
      </c>
      <c r="D246" s="60">
        <v>0.42857000000000001</v>
      </c>
    </row>
    <row r="247" spans="1:4">
      <c r="A247" s="76" t="s">
        <v>793</v>
      </c>
      <c r="B247" s="76" t="s">
        <v>794</v>
      </c>
      <c r="C247" s="59">
        <v>17</v>
      </c>
      <c r="D247" s="60">
        <v>0.17860000000000001</v>
      </c>
    </row>
    <row r="248" spans="1:4">
      <c r="A248" s="76" t="s">
        <v>795</v>
      </c>
      <c r="B248" s="76" t="s">
        <v>796</v>
      </c>
      <c r="C248" s="59">
        <v>7</v>
      </c>
      <c r="D248" s="60">
        <v>1.25</v>
      </c>
    </row>
    <row r="249" spans="1:4">
      <c r="A249" s="76" t="s">
        <v>386</v>
      </c>
      <c r="B249" s="76" t="s">
        <v>387</v>
      </c>
      <c r="C249" s="59">
        <v>8</v>
      </c>
      <c r="D249" s="60">
        <v>2.7526000000000002</v>
      </c>
    </row>
    <row r="250" spans="1:4">
      <c r="A250" s="76" t="s">
        <v>518</v>
      </c>
      <c r="B250" s="76" t="s">
        <v>519</v>
      </c>
      <c r="C250" s="59">
        <v>14</v>
      </c>
      <c r="D250" s="60">
        <v>4.2016999999999998</v>
      </c>
    </row>
    <row r="251" spans="1:4">
      <c r="A251" s="76" t="s">
        <v>42</v>
      </c>
      <c r="B251" s="76" t="s">
        <v>43</v>
      </c>
      <c r="C251" s="59">
        <v>9</v>
      </c>
      <c r="D251" s="60">
        <v>1.3594999999999999</v>
      </c>
    </row>
    <row r="252" spans="1:4">
      <c r="A252" s="76" t="s">
        <v>84</v>
      </c>
      <c r="B252" s="76" t="s">
        <v>85</v>
      </c>
      <c r="C252" s="59">
        <v>9</v>
      </c>
      <c r="D252" s="60">
        <v>0.34</v>
      </c>
    </row>
    <row r="253" spans="1:4">
      <c r="A253" s="76" t="s">
        <v>69</v>
      </c>
      <c r="B253" s="76" t="s">
        <v>70</v>
      </c>
      <c r="C253" s="59">
        <v>10</v>
      </c>
      <c r="D253" s="60">
        <v>2.0674999999999999</v>
      </c>
    </row>
    <row r="254" spans="1:4">
      <c r="A254" s="76" t="s">
        <v>389</v>
      </c>
      <c r="B254" s="76" t="s">
        <v>390</v>
      </c>
      <c r="C254" s="59">
        <v>12</v>
      </c>
      <c r="D254" s="60">
        <v>2.5499999999999998</v>
      </c>
    </row>
    <row r="255" spans="1:4">
      <c r="A255" s="76" t="s">
        <v>521</v>
      </c>
      <c r="B255" s="76" t="s">
        <v>522</v>
      </c>
      <c r="C255" s="59">
        <v>6</v>
      </c>
      <c r="D255" s="60">
        <v>6.6699999999999995E-2</v>
      </c>
    </row>
    <row r="256" spans="1:4">
      <c r="A256" s="76" t="s">
        <v>72</v>
      </c>
      <c r="B256" s="76" t="s">
        <v>73</v>
      </c>
      <c r="C256" s="59">
        <v>10</v>
      </c>
      <c r="D256" s="60">
        <v>2.99</v>
      </c>
    </row>
    <row r="257" spans="1:4">
      <c r="A257" s="76" t="s">
        <v>392</v>
      </c>
      <c r="B257" s="76" t="s">
        <v>393</v>
      </c>
      <c r="C257" s="59">
        <v>14</v>
      </c>
      <c r="D257" s="60">
        <v>1.9346000000000001</v>
      </c>
    </row>
    <row r="258" spans="1:4">
      <c r="A258" s="76" t="s">
        <v>817</v>
      </c>
      <c r="B258" s="76" t="s">
        <v>818</v>
      </c>
      <c r="C258" s="59">
        <v>10</v>
      </c>
      <c r="D258" s="60">
        <v>1.66E-2</v>
      </c>
    </row>
    <row r="259" spans="1:4">
      <c r="A259" s="76" t="s">
        <v>524</v>
      </c>
      <c r="B259" s="76" t="s">
        <v>525</v>
      </c>
      <c r="C259" s="59">
        <v>11</v>
      </c>
      <c r="D259" s="60">
        <v>0</v>
      </c>
    </row>
    <row r="260" spans="1:4">
      <c r="A260" s="76" t="s">
        <v>530</v>
      </c>
      <c r="B260" s="76" t="s">
        <v>531</v>
      </c>
      <c r="C260" s="59">
        <v>12</v>
      </c>
      <c r="D260" s="60">
        <v>2.86</v>
      </c>
    </row>
    <row r="261" spans="1:4">
      <c r="A261" s="76" t="s">
        <v>595</v>
      </c>
      <c r="B261" s="76" t="s">
        <v>596</v>
      </c>
      <c r="C261" s="59">
        <v>10</v>
      </c>
      <c r="D261" s="60">
        <v>3.097</v>
      </c>
    </row>
    <row r="262" spans="1:4">
      <c r="A262" s="76" t="s">
        <v>615</v>
      </c>
      <c r="B262" s="76" t="s">
        <v>616</v>
      </c>
      <c r="C262" s="59">
        <v>10</v>
      </c>
      <c r="D262" s="60">
        <v>0.81</v>
      </c>
    </row>
    <row r="263" spans="1:4">
      <c r="A263" s="76" t="s">
        <v>121</v>
      </c>
      <c r="B263" s="76" t="s">
        <v>122</v>
      </c>
      <c r="C263" s="59">
        <v>9</v>
      </c>
      <c r="D263" s="60">
        <v>0.82</v>
      </c>
    </row>
    <row r="264" spans="1:4">
      <c r="A264" s="76" t="s">
        <v>145</v>
      </c>
      <c r="B264" s="76" t="s">
        <v>146</v>
      </c>
      <c r="C264" s="59">
        <v>12</v>
      </c>
      <c r="D264" s="60">
        <v>1.1299999999999999</v>
      </c>
    </row>
    <row r="265" spans="1:4">
      <c r="A265" s="76" t="s">
        <v>617</v>
      </c>
      <c r="B265" s="76" t="s">
        <v>618</v>
      </c>
      <c r="C265" s="59">
        <v>9</v>
      </c>
      <c r="D265" s="60">
        <v>4.16</v>
      </c>
    </row>
    <row r="266" spans="1:4">
      <c r="A266" s="76" t="s">
        <v>148</v>
      </c>
      <c r="B266" s="76" t="s">
        <v>149</v>
      </c>
      <c r="C266" s="59">
        <v>9</v>
      </c>
      <c r="D266" s="60">
        <v>1.849</v>
      </c>
    </row>
    <row r="267" spans="1:4">
      <c r="A267" s="76" t="s">
        <v>623</v>
      </c>
      <c r="B267" s="76" t="s">
        <v>624</v>
      </c>
      <c r="C267" s="59">
        <v>9</v>
      </c>
      <c r="D267" s="60">
        <v>1.44</v>
      </c>
    </row>
    <row r="268" spans="1:4">
      <c r="A268" s="76" t="s">
        <v>136</v>
      </c>
      <c r="B268" s="76" t="s">
        <v>137</v>
      </c>
      <c r="C268" s="59">
        <v>14</v>
      </c>
      <c r="D268" s="60">
        <v>2.9809999999999999</v>
      </c>
    </row>
    <row r="269" spans="1:4">
      <c r="A269" s="76" t="s">
        <v>277</v>
      </c>
      <c r="B269" s="76" t="s">
        <v>278</v>
      </c>
      <c r="C269" s="59">
        <v>7</v>
      </c>
      <c r="D269" s="60">
        <v>8.2000000000000003E-2</v>
      </c>
    </row>
    <row r="270" spans="1:4">
      <c r="A270" s="76" t="s">
        <v>627</v>
      </c>
      <c r="B270" s="76" t="s">
        <v>628</v>
      </c>
      <c r="C270" s="59">
        <v>6</v>
      </c>
      <c r="D270" s="60">
        <v>6.5199999999999994E-2</v>
      </c>
    </row>
    <row r="271" spans="1:4">
      <c r="A271" s="76" t="s">
        <v>637</v>
      </c>
      <c r="B271" s="76" t="s">
        <v>638</v>
      </c>
      <c r="C271" s="59">
        <v>12</v>
      </c>
      <c r="D271" s="60">
        <v>0.13300000000000001</v>
      </c>
    </row>
    <row r="272" spans="1:4">
      <c r="A272" s="76" t="s">
        <v>211</v>
      </c>
      <c r="B272" s="76" t="s">
        <v>212</v>
      </c>
      <c r="C272" s="59">
        <v>10</v>
      </c>
      <c r="D272" s="60">
        <v>0.30357000000000001</v>
      </c>
    </row>
    <row r="273" spans="1:4">
      <c r="A273" s="76" t="s">
        <v>48</v>
      </c>
      <c r="B273" s="76" t="s">
        <v>49</v>
      </c>
      <c r="C273" s="59">
        <v>17</v>
      </c>
      <c r="D273" s="60">
        <v>0.26</v>
      </c>
    </row>
    <row r="274" spans="1:4">
      <c r="A274" s="76" t="s">
        <v>643</v>
      </c>
      <c r="B274" s="76" t="s">
        <v>644</v>
      </c>
      <c r="C274" s="59">
        <v>10</v>
      </c>
      <c r="D274" s="60">
        <v>0.65900000000000003</v>
      </c>
    </row>
    <row r="275" spans="1:4">
      <c r="A275" s="76" t="s">
        <v>663</v>
      </c>
      <c r="B275" s="76" t="s">
        <v>664</v>
      </c>
      <c r="C275" s="59">
        <v>10</v>
      </c>
      <c r="D275" s="60">
        <v>0.3105</v>
      </c>
    </row>
    <row r="276" spans="1:4">
      <c r="A276" s="76" t="s">
        <v>217</v>
      </c>
      <c r="B276" s="76" t="s">
        <v>218</v>
      </c>
      <c r="C276" s="59">
        <v>13</v>
      </c>
      <c r="D276" s="60">
        <v>2.5707</v>
      </c>
    </row>
    <row r="277" spans="1:4">
      <c r="A277" s="76" t="s">
        <v>667</v>
      </c>
      <c r="B277" s="76" t="s">
        <v>668</v>
      </c>
      <c r="C277" s="59">
        <v>11</v>
      </c>
      <c r="D277" s="60">
        <v>4.5</v>
      </c>
    </row>
    <row r="278" spans="1:4">
      <c r="A278" s="76" t="s">
        <v>220</v>
      </c>
      <c r="B278" s="76" t="s">
        <v>221</v>
      </c>
      <c r="C278" s="59">
        <v>11</v>
      </c>
      <c r="D278" s="60">
        <v>6.2E-2</v>
      </c>
    </row>
    <row r="279" spans="1:4">
      <c r="A279" s="76" t="s">
        <v>669</v>
      </c>
      <c r="B279" s="76" t="s">
        <v>670</v>
      </c>
      <c r="C279" s="59">
        <v>10</v>
      </c>
      <c r="D279" s="60">
        <v>0.16300000000000001</v>
      </c>
    </row>
    <row r="280" spans="1:4">
      <c r="A280" s="76" t="s">
        <v>671</v>
      </c>
      <c r="B280" s="76" t="s">
        <v>672</v>
      </c>
      <c r="C280" s="59">
        <v>9</v>
      </c>
      <c r="D280" s="60">
        <v>0</v>
      </c>
    </row>
    <row r="281" spans="1:4">
      <c r="A281" s="76" t="s">
        <v>673</v>
      </c>
      <c r="B281" s="76" t="s">
        <v>674</v>
      </c>
      <c r="C281" s="59">
        <v>14</v>
      </c>
      <c r="D281" s="60">
        <v>0.57899999999999996</v>
      </c>
    </row>
    <row r="282" spans="1:4">
      <c r="A282" s="76" t="s">
        <v>223</v>
      </c>
      <c r="B282" s="76" t="s">
        <v>224</v>
      </c>
      <c r="C282" s="59">
        <v>15</v>
      </c>
      <c r="D282" s="60">
        <v>0</v>
      </c>
    </row>
    <row r="283" spans="1:4">
      <c r="A283" s="76" t="s">
        <v>679</v>
      </c>
      <c r="B283" s="76" t="s">
        <v>680</v>
      </c>
      <c r="C283" s="59">
        <v>9</v>
      </c>
      <c r="D283" s="60">
        <v>0.33679999999999999</v>
      </c>
    </row>
    <row r="284" spans="1:4">
      <c r="A284" s="76" t="s">
        <v>685</v>
      </c>
      <c r="B284" s="76" t="s">
        <v>686</v>
      </c>
      <c r="C284" s="59">
        <v>10</v>
      </c>
      <c r="D284" s="60">
        <v>0.84</v>
      </c>
    </row>
    <row r="285" spans="1:4">
      <c r="A285" s="76" t="s">
        <v>699</v>
      </c>
      <c r="B285" s="76" t="s">
        <v>700</v>
      </c>
      <c r="C285" s="59">
        <v>12</v>
      </c>
      <c r="D285" s="60">
        <v>0.02</v>
      </c>
    </row>
    <row r="286" spans="1:4">
      <c r="A286" s="76" t="s">
        <v>226</v>
      </c>
      <c r="B286" s="76" t="s">
        <v>227</v>
      </c>
      <c r="C286" s="59">
        <v>13</v>
      </c>
      <c r="D286" s="60">
        <v>9.2999999999999999E-2</v>
      </c>
    </row>
    <row r="287" spans="1:4">
      <c r="A287" s="76" t="s">
        <v>705</v>
      </c>
      <c r="B287" s="76" t="s">
        <v>706</v>
      </c>
      <c r="C287" s="59">
        <v>9</v>
      </c>
      <c r="D287" s="60">
        <v>2.1</v>
      </c>
    </row>
    <row r="288" spans="1:4">
      <c r="A288" s="76" t="s">
        <v>707</v>
      </c>
      <c r="B288" s="76" t="s">
        <v>708</v>
      </c>
      <c r="C288" s="59">
        <v>9</v>
      </c>
      <c r="D288" s="60">
        <v>0.38800000000000001</v>
      </c>
    </row>
    <row r="289" spans="1:4">
      <c r="A289" s="76" t="s">
        <v>81</v>
      </c>
      <c r="B289" s="76" t="s">
        <v>82</v>
      </c>
      <c r="C289" s="59">
        <v>9</v>
      </c>
      <c r="D289" s="60">
        <v>2.5</v>
      </c>
    </row>
    <row r="290" spans="1:4">
      <c r="A290" s="76" t="s">
        <v>719</v>
      </c>
      <c r="B290" s="76" t="s">
        <v>720</v>
      </c>
      <c r="C290" s="59">
        <v>10</v>
      </c>
      <c r="D290" s="60">
        <v>8.8499999999999995E-2</v>
      </c>
    </row>
    <row r="291" spans="1:4">
      <c r="A291" s="76" t="s">
        <v>721</v>
      </c>
      <c r="B291" s="76" t="s">
        <v>722</v>
      </c>
      <c r="C291" s="59">
        <v>10</v>
      </c>
      <c r="D291" s="60">
        <v>2.37</v>
      </c>
    </row>
    <row r="292" spans="1:4">
      <c r="A292" s="76" t="s">
        <v>727</v>
      </c>
      <c r="B292" s="76" t="s">
        <v>728</v>
      </c>
      <c r="C292" s="59">
        <v>11</v>
      </c>
      <c r="D292" s="60">
        <v>3.91</v>
      </c>
    </row>
    <row r="293" spans="1:4">
      <c r="A293" s="76" t="s">
        <v>729</v>
      </c>
      <c r="B293" s="76" t="s">
        <v>730</v>
      </c>
      <c r="C293" s="59">
        <v>8</v>
      </c>
      <c r="D293" s="60">
        <v>3.766</v>
      </c>
    </row>
    <row r="294" spans="1:4">
      <c r="A294" s="76" t="s">
        <v>731</v>
      </c>
      <c r="B294" s="76" t="s">
        <v>732</v>
      </c>
      <c r="C294" s="59">
        <v>9</v>
      </c>
      <c r="D294" s="60">
        <v>1.948</v>
      </c>
    </row>
    <row r="295" spans="1:4">
      <c r="A295" s="76" t="s">
        <v>733</v>
      </c>
      <c r="B295" s="76" t="s">
        <v>734</v>
      </c>
      <c r="C295" s="59">
        <v>10</v>
      </c>
      <c r="D295" s="60">
        <v>0.30496000000000001</v>
      </c>
    </row>
    <row r="296" spans="1:4">
      <c r="A296" s="76" t="s">
        <v>238</v>
      </c>
      <c r="B296" s="76" t="s">
        <v>239</v>
      </c>
      <c r="C296" s="59">
        <v>7</v>
      </c>
      <c r="D296" s="60">
        <v>0.76829000000000003</v>
      </c>
    </row>
    <row r="297" spans="1:4">
      <c r="A297" s="76" t="s">
        <v>753</v>
      </c>
      <c r="B297" s="76" t="s">
        <v>754</v>
      </c>
      <c r="C297" s="59">
        <v>9</v>
      </c>
      <c r="D297" s="60">
        <v>1.1859999999999999</v>
      </c>
    </row>
    <row r="298" spans="1:4">
      <c r="A298" s="76" t="s">
        <v>771</v>
      </c>
      <c r="B298" s="76" t="s">
        <v>772</v>
      </c>
      <c r="C298" s="59">
        <v>8</v>
      </c>
      <c r="D298" s="60">
        <v>0.74399999999999999</v>
      </c>
    </row>
    <row r="299" spans="1:4">
      <c r="A299" s="76" t="s">
        <v>163</v>
      </c>
      <c r="B299" s="76" t="s">
        <v>164</v>
      </c>
      <c r="C299" s="59">
        <v>8</v>
      </c>
      <c r="D299" s="60">
        <v>0.77</v>
      </c>
    </row>
    <row r="300" spans="1:4">
      <c r="A300" s="76" t="s">
        <v>773</v>
      </c>
      <c r="B300" s="76" t="s">
        <v>774</v>
      </c>
      <c r="C300" s="59">
        <v>12</v>
      </c>
      <c r="D300" s="60">
        <v>2.5089999999999999</v>
      </c>
    </row>
    <row r="301" spans="1:4">
      <c r="A301" s="76" t="s">
        <v>247</v>
      </c>
      <c r="B301" s="76" t="s">
        <v>248</v>
      </c>
      <c r="C301" s="59">
        <v>10</v>
      </c>
      <c r="D301" s="60">
        <v>0.14280000000000001</v>
      </c>
    </row>
    <row r="302" spans="1:4">
      <c r="A302" s="76" t="s">
        <v>166</v>
      </c>
      <c r="B302" s="76" t="s">
        <v>167</v>
      </c>
      <c r="C302" s="59">
        <v>12</v>
      </c>
      <c r="D302" s="60">
        <v>6.7599999999999993E-2</v>
      </c>
    </row>
    <row r="303" spans="1:4">
      <c r="A303" s="76" t="s">
        <v>169</v>
      </c>
      <c r="B303" s="76" t="s">
        <v>170</v>
      </c>
      <c r="C303" s="59">
        <v>12</v>
      </c>
      <c r="D303" s="60">
        <v>0.58599999999999997</v>
      </c>
    </row>
    <row r="304" spans="1:4">
      <c r="A304" s="76" t="s">
        <v>253</v>
      </c>
      <c r="B304" s="76" t="s">
        <v>254</v>
      </c>
      <c r="C304" s="59">
        <v>11</v>
      </c>
      <c r="D304" s="60">
        <v>2.0558000000000001</v>
      </c>
    </row>
    <row r="305" spans="1:4">
      <c r="A305" s="76" t="s">
        <v>779</v>
      </c>
      <c r="B305" s="76" t="s">
        <v>780</v>
      </c>
      <c r="C305" s="59">
        <v>15</v>
      </c>
      <c r="D305" s="60">
        <v>3.45</v>
      </c>
    </row>
    <row r="306" spans="1:4">
      <c r="A306" s="76" t="s">
        <v>175</v>
      </c>
      <c r="B306" s="76" t="s">
        <v>176</v>
      </c>
      <c r="C306" s="59">
        <v>6</v>
      </c>
      <c r="D306" s="60">
        <v>0.94</v>
      </c>
    </row>
    <row r="307" spans="1:4">
      <c r="A307" s="76" t="s">
        <v>799</v>
      </c>
      <c r="B307" s="76" t="s">
        <v>800</v>
      </c>
      <c r="C307" s="59">
        <v>6</v>
      </c>
      <c r="D307" s="60">
        <v>0</v>
      </c>
    </row>
    <row r="308" spans="1:4">
      <c r="A308" s="76" t="s">
        <v>807</v>
      </c>
      <c r="B308" s="76" t="s">
        <v>808</v>
      </c>
      <c r="C308" s="59">
        <v>16</v>
      </c>
      <c r="D308" s="60">
        <v>0.28999999999999998</v>
      </c>
    </row>
    <row r="309" spans="1:4">
      <c r="A309" s="76" t="s">
        <v>819</v>
      </c>
      <c r="B309" s="76" t="s">
        <v>820</v>
      </c>
      <c r="C309" s="59">
        <v>8</v>
      </c>
      <c r="D309" s="60">
        <v>0</v>
      </c>
    </row>
    <row r="310" spans="1:4">
      <c r="A310" s="76" t="s">
        <v>821</v>
      </c>
      <c r="B310" s="76" t="s">
        <v>822</v>
      </c>
      <c r="C310" s="59">
        <v>9</v>
      </c>
      <c r="D310" s="60">
        <v>0.41660000000000003</v>
      </c>
    </row>
    <row r="311" spans="1:4">
      <c r="A311" s="76" t="s">
        <v>825</v>
      </c>
      <c r="B311" s="76" t="s">
        <v>826</v>
      </c>
      <c r="C311" s="59">
        <v>9</v>
      </c>
      <c r="D311" s="60">
        <v>0.68100000000000005</v>
      </c>
    </row>
    <row r="312" spans="1:4">
      <c r="A312" s="76" t="s">
        <v>827</v>
      </c>
      <c r="B312" s="76" t="s">
        <v>828</v>
      </c>
      <c r="C312" s="59">
        <v>8</v>
      </c>
      <c r="D312" s="60">
        <v>0.497</v>
      </c>
    </row>
    <row r="313" spans="1:4">
      <c r="A313" s="76" t="s">
        <v>829</v>
      </c>
      <c r="B313" s="76" t="s">
        <v>830</v>
      </c>
      <c r="C313" s="59">
        <v>10</v>
      </c>
      <c r="D313" s="60">
        <v>3.09</v>
      </c>
    </row>
    <row r="314" spans="1:4">
      <c r="A314" s="76" t="s">
        <v>75</v>
      </c>
      <c r="B314" s="76" t="s">
        <v>76</v>
      </c>
      <c r="C314" s="59">
        <v>9</v>
      </c>
      <c r="D314" s="60">
        <v>6.7279999999999998</v>
      </c>
    </row>
    <row r="315" spans="1:4">
      <c r="A315" s="78" t="s">
        <v>833</v>
      </c>
      <c r="B315" s="78" t="s">
        <v>834</v>
      </c>
      <c r="C315" s="59">
        <v>9</v>
      </c>
      <c r="D315" s="60">
        <v>0.1205</v>
      </c>
    </row>
    <row r="316" spans="1:4">
      <c r="A316" s="80" t="s">
        <v>578</v>
      </c>
      <c r="B316" s="82" t="s">
        <v>579</v>
      </c>
      <c r="C316" s="59">
        <v>7</v>
      </c>
      <c r="D316" s="60">
        <v>3.38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A1:H316"/>
  <sheetViews>
    <sheetView zoomScaleNormal="100" workbookViewId="0">
      <pane xSplit="3" ySplit="1" topLeftCell="D2" activePane="bottomRight" state="frozen"/>
      <selection pane="topRight"/>
      <selection pane="bottomLeft"/>
      <selection pane="bottomRight" activeCell="C1" sqref="C1"/>
    </sheetView>
  </sheetViews>
  <sheetFormatPr defaultColWidth="12.625" defaultRowHeight="15" customHeight="1"/>
  <cols>
    <col min="1" max="1" width="13.5" style="63" customWidth="1"/>
    <col min="2" max="2" width="6.125" style="63" customWidth="1"/>
    <col min="3" max="3" width="33.25" style="63" customWidth="1"/>
    <col min="4" max="4" width="5" style="71" customWidth="1"/>
    <col min="5" max="5" width="5.875" style="71" customWidth="1"/>
    <col min="6" max="6" width="6.75" style="71" customWidth="1"/>
    <col min="7" max="8" width="8.75" style="71" customWidth="1"/>
    <col min="9" max="9" width="12.625" style="63" customWidth="1"/>
    <col min="10" max="16384" width="12.625" style="63"/>
  </cols>
  <sheetData>
    <row r="1" spans="1:8" s="68" customFormat="1" ht="28.5" customHeight="1">
      <c r="A1" s="64" t="s">
        <v>0</v>
      </c>
      <c r="B1" s="65" t="s">
        <v>871</v>
      </c>
      <c r="C1" s="64" t="s">
        <v>1</v>
      </c>
      <c r="D1" s="66" t="s">
        <v>974</v>
      </c>
      <c r="E1" s="66" t="s">
        <v>975</v>
      </c>
      <c r="F1" s="66" t="s">
        <v>976</v>
      </c>
      <c r="G1" s="67" t="s">
        <v>977</v>
      </c>
      <c r="H1" s="67" t="s">
        <v>978</v>
      </c>
    </row>
    <row r="2" spans="1:8" ht="16.5" customHeight="1">
      <c r="A2" s="74" t="s">
        <v>280</v>
      </c>
      <c r="B2" s="75" t="s">
        <v>884</v>
      </c>
      <c r="C2" s="74" t="s">
        <v>281</v>
      </c>
      <c r="D2" s="70"/>
      <c r="E2" s="70">
        <v>23</v>
      </c>
      <c r="F2" s="70">
        <v>0</v>
      </c>
      <c r="G2" s="69">
        <v>3</v>
      </c>
      <c r="H2" s="69">
        <v>20</v>
      </c>
    </row>
    <row r="3" spans="1:8" ht="16.5" customHeight="1">
      <c r="A3" s="76" t="s">
        <v>631</v>
      </c>
      <c r="B3" s="77" t="s">
        <v>884</v>
      </c>
      <c r="C3" s="76" t="s">
        <v>632</v>
      </c>
      <c r="D3" s="70"/>
      <c r="E3" s="70">
        <v>50</v>
      </c>
      <c r="F3" s="70">
        <v>0</v>
      </c>
      <c r="G3" s="69">
        <v>1</v>
      </c>
      <c r="H3" s="69">
        <v>49</v>
      </c>
    </row>
    <row r="4" spans="1:8" ht="16.5" customHeight="1">
      <c r="A4" s="76" t="s">
        <v>151</v>
      </c>
      <c r="B4" s="77" t="s">
        <v>884</v>
      </c>
      <c r="C4" s="76" t="s">
        <v>152</v>
      </c>
      <c r="D4" s="70"/>
      <c r="E4" s="70">
        <v>33</v>
      </c>
      <c r="F4" s="70">
        <v>0</v>
      </c>
      <c r="G4" s="69">
        <v>33</v>
      </c>
      <c r="H4" s="69">
        <v>0</v>
      </c>
    </row>
    <row r="5" spans="1:8" ht="16.5" customHeight="1">
      <c r="A5" s="76" t="s">
        <v>633</v>
      </c>
      <c r="B5" s="77" t="s">
        <v>884</v>
      </c>
      <c r="C5" s="76" t="s">
        <v>634</v>
      </c>
      <c r="D5" s="70"/>
      <c r="E5" s="70">
        <v>24</v>
      </c>
      <c r="F5" s="70">
        <v>0</v>
      </c>
      <c r="G5" s="69">
        <v>24</v>
      </c>
      <c r="H5" s="69">
        <v>0</v>
      </c>
    </row>
    <row r="6" spans="1:8" ht="16.5" customHeight="1">
      <c r="A6" s="76" t="s">
        <v>635</v>
      </c>
      <c r="B6" s="77" t="s">
        <v>884</v>
      </c>
      <c r="C6" s="76" t="s">
        <v>636</v>
      </c>
      <c r="D6" s="70"/>
      <c r="E6" s="70">
        <v>25</v>
      </c>
      <c r="F6" s="70">
        <v>0</v>
      </c>
      <c r="G6" s="69">
        <v>9</v>
      </c>
      <c r="H6" s="69">
        <v>16</v>
      </c>
    </row>
    <row r="7" spans="1:8" ht="16.5" customHeight="1">
      <c r="A7" s="76" t="s">
        <v>208</v>
      </c>
      <c r="B7" s="77" t="s">
        <v>884</v>
      </c>
      <c r="C7" s="76" t="s">
        <v>209</v>
      </c>
      <c r="D7" s="70"/>
      <c r="E7" s="70">
        <v>19</v>
      </c>
      <c r="F7" s="70">
        <v>0</v>
      </c>
      <c r="G7" s="69">
        <v>7</v>
      </c>
      <c r="H7" s="69">
        <v>12</v>
      </c>
    </row>
    <row r="8" spans="1:8" ht="16.5" customHeight="1">
      <c r="A8" s="76" t="s">
        <v>214</v>
      </c>
      <c r="B8" s="77" t="s">
        <v>884</v>
      </c>
      <c r="C8" s="76" t="s">
        <v>215</v>
      </c>
      <c r="D8" s="70"/>
      <c r="E8" s="70">
        <v>47</v>
      </c>
      <c r="F8" s="70">
        <v>0</v>
      </c>
      <c r="G8" s="69">
        <v>32</v>
      </c>
      <c r="H8" s="69">
        <v>15</v>
      </c>
    </row>
    <row r="9" spans="1:8" ht="16.5" customHeight="1">
      <c r="A9" s="76" t="s">
        <v>657</v>
      </c>
      <c r="B9" s="77" t="s">
        <v>884</v>
      </c>
      <c r="C9" s="76" t="s">
        <v>658</v>
      </c>
      <c r="D9" s="70"/>
      <c r="E9" s="70">
        <v>40</v>
      </c>
      <c r="F9" s="70">
        <v>0</v>
      </c>
      <c r="G9" s="69">
        <v>36</v>
      </c>
      <c r="H9" s="69">
        <v>4</v>
      </c>
    </row>
    <row r="10" spans="1:8" ht="16.5" customHeight="1">
      <c r="A10" s="76" t="s">
        <v>659</v>
      </c>
      <c r="B10" s="77" t="s">
        <v>884</v>
      </c>
      <c r="C10" s="76" t="s">
        <v>660</v>
      </c>
      <c r="D10" s="70"/>
      <c r="E10" s="70">
        <v>59</v>
      </c>
      <c r="F10" s="70">
        <v>0</v>
      </c>
      <c r="G10" s="69">
        <v>53</v>
      </c>
      <c r="H10" s="69">
        <v>6</v>
      </c>
    </row>
    <row r="11" spans="1:8" ht="16.5" customHeight="1">
      <c r="A11" s="76" t="s">
        <v>665</v>
      </c>
      <c r="B11" s="77" t="s">
        <v>884</v>
      </c>
      <c r="C11" s="76" t="s">
        <v>666</v>
      </c>
      <c r="D11" s="70"/>
      <c r="E11" s="70">
        <v>27</v>
      </c>
      <c r="F11" s="70">
        <v>0</v>
      </c>
      <c r="G11" s="69"/>
      <c r="H11" s="69">
        <v>27</v>
      </c>
    </row>
    <row r="12" spans="1:8" ht="16.5" customHeight="1">
      <c r="A12" s="76" t="s">
        <v>154</v>
      </c>
      <c r="B12" s="77" t="s">
        <v>884</v>
      </c>
      <c r="C12" s="76" t="s">
        <v>155</v>
      </c>
      <c r="D12" s="70"/>
      <c r="E12" s="70">
        <v>48</v>
      </c>
      <c r="F12" s="70">
        <v>0</v>
      </c>
      <c r="G12" s="69">
        <v>41</v>
      </c>
      <c r="H12" s="69">
        <v>7</v>
      </c>
    </row>
    <row r="13" spans="1:8" ht="16.5" customHeight="1">
      <c r="A13" s="76" t="s">
        <v>675</v>
      </c>
      <c r="B13" s="77" t="s">
        <v>884</v>
      </c>
      <c r="C13" s="76" t="s">
        <v>676</v>
      </c>
      <c r="D13" s="70"/>
      <c r="E13" s="70">
        <v>32</v>
      </c>
      <c r="F13" s="70">
        <v>0</v>
      </c>
      <c r="G13" s="69">
        <v>9</v>
      </c>
      <c r="H13" s="69">
        <v>23</v>
      </c>
    </row>
    <row r="14" spans="1:8" ht="16.5" customHeight="1">
      <c r="A14" s="76" t="s">
        <v>683</v>
      </c>
      <c r="B14" s="77" t="s">
        <v>884</v>
      </c>
      <c r="C14" s="76" t="s">
        <v>684</v>
      </c>
      <c r="D14" s="70"/>
      <c r="E14" s="70">
        <v>15</v>
      </c>
      <c r="F14" s="70">
        <v>0</v>
      </c>
      <c r="G14" s="69">
        <v>14</v>
      </c>
      <c r="H14" s="69">
        <v>1</v>
      </c>
    </row>
    <row r="15" spans="1:8" ht="16.5" customHeight="1">
      <c r="A15" s="76" t="s">
        <v>271</v>
      </c>
      <c r="B15" s="77" t="s">
        <v>884</v>
      </c>
      <c r="C15" s="76" t="s">
        <v>272</v>
      </c>
      <c r="D15" s="70"/>
      <c r="E15" s="70">
        <v>55</v>
      </c>
      <c r="F15" s="70">
        <v>0</v>
      </c>
      <c r="G15" s="69">
        <v>48</v>
      </c>
      <c r="H15" s="69">
        <v>7</v>
      </c>
    </row>
    <row r="16" spans="1:8" ht="16.5" customHeight="1">
      <c r="A16" s="76" t="s">
        <v>697</v>
      </c>
      <c r="B16" s="77" t="s">
        <v>884</v>
      </c>
      <c r="C16" s="76" t="s">
        <v>698</v>
      </c>
      <c r="D16" s="70"/>
      <c r="E16" s="70">
        <v>60</v>
      </c>
      <c r="F16" s="70">
        <v>0</v>
      </c>
      <c r="G16" s="69">
        <v>5</v>
      </c>
      <c r="H16" s="69">
        <v>55</v>
      </c>
    </row>
    <row r="17" spans="1:8" ht="16.5" customHeight="1">
      <c r="A17" s="76" t="s">
        <v>701</v>
      </c>
      <c r="B17" s="77" t="s">
        <v>884</v>
      </c>
      <c r="C17" s="76" t="s">
        <v>702</v>
      </c>
      <c r="D17" s="70"/>
      <c r="E17" s="70">
        <v>16</v>
      </c>
      <c r="F17" s="70">
        <v>0</v>
      </c>
      <c r="G17" s="69">
        <v>14</v>
      </c>
      <c r="H17" s="69">
        <v>2</v>
      </c>
    </row>
    <row r="18" spans="1:8" ht="16.5" customHeight="1">
      <c r="A18" s="76" t="s">
        <v>713</v>
      </c>
      <c r="B18" s="77" t="s">
        <v>884</v>
      </c>
      <c r="C18" s="76" t="s">
        <v>714</v>
      </c>
      <c r="D18" s="70"/>
      <c r="E18" s="70">
        <v>53</v>
      </c>
      <c r="F18" s="70">
        <v>0</v>
      </c>
      <c r="G18" s="69">
        <v>20</v>
      </c>
      <c r="H18" s="69">
        <v>33</v>
      </c>
    </row>
    <row r="19" spans="1:8" ht="16.5" customHeight="1">
      <c r="A19" s="76" t="s">
        <v>715</v>
      </c>
      <c r="B19" s="77" t="s">
        <v>884</v>
      </c>
      <c r="C19" s="76" t="s">
        <v>716</v>
      </c>
      <c r="D19" s="70"/>
      <c r="E19" s="70">
        <v>41</v>
      </c>
      <c r="F19" s="70">
        <v>0</v>
      </c>
      <c r="G19" s="69">
        <v>1</v>
      </c>
      <c r="H19" s="69">
        <v>40</v>
      </c>
    </row>
    <row r="20" spans="1:8" ht="16.5" customHeight="1">
      <c r="A20" s="76" t="s">
        <v>232</v>
      </c>
      <c r="B20" s="77" t="s">
        <v>884</v>
      </c>
      <c r="C20" s="76" t="s">
        <v>233</v>
      </c>
      <c r="D20" s="70"/>
      <c r="E20" s="70">
        <v>48</v>
      </c>
      <c r="F20" s="70">
        <v>0</v>
      </c>
      <c r="G20" s="69">
        <v>41</v>
      </c>
      <c r="H20" s="69">
        <v>7</v>
      </c>
    </row>
    <row r="21" spans="1:8" ht="16.5" customHeight="1">
      <c r="A21" s="76" t="s">
        <v>235</v>
      </c>
      <c r="B21" s="77" t="s">
        <v>884</v>
      </c>
      <c r="C21" s="76" t="s">
        <v>236</v>
      </c>
      <c r="D21" s="70"/>
      <c r="E21" s="70">
        <v>36</v>
      </c>
      <c r="F21" s="70">
        <v>0</v>
      </c>
      <c r="G21" s="69">
        <v>18</v>
      </c>
      <c r="H21" s="69">
        <v>18</v>
      </c>
    </row>
    <row r="22" spans="1:8" ht="16.5" customHeight="1">
      <c r="A22" s="76" t="s">
        <v>735</v>
      </c>
      <c r="B22" s="77" t="s">
        <v>884</v>
      </c>
      <c r="C22" s="76" t="s">
        <v>736</v>
      </c>
      <c r="D22" s="70"/>
      <c r="E22" s="70">
        <v>13</v>
      </c>
      <c r="F22" s="70">
        <v>0</v>
      </c>
      <c r="G22" s="69">
        <v>13</v>
      </c>
      <c r="H22" s="69">
        <v>0</v>
      </c>
    </row>
    <row r="23" spans="1:8" ht="16.5" customHeight="1">
      <c r="A23" s="76" t="s">
        <v>160</v>
      </c>
      <c r="B23" s="77" t="s">
        <v>884</v>
      </c>
      <c r="C23" s="76" t="s">
        <v>161</v>
      </c>
      <c r="D23" s="70"/>
      <c r="E23" s="70">
        <v>39</v>
      </c>
      <c r="F23" s="70">
        <v>0</v>
      </c>
      <c r="G23" s="69">
        <v>6</v>
      </c>
      <c r="H23" s="69">
        <v>33</v>
      </c>
    </row>
    <row r="24" spans="1:8" ht="16.5" customHeight="1">
      <c r="A24" s="76" t="s">
        <v>745</v>
      </c>
      <c r="B24" s="77" t="s">
        <v>884</v>
      </c>
      <c r="C24" s="76" t="s">
        <v>746</v>
      </c>
      <c r="D24" s="70"/>
      <c r="E24" s="70">
        <v>65</v>
      </c>
      <c r="F24" s="70">
        <v>0</v>
      </c>
      <c r="G24" s="69">
        <v>20</v>
      </c>
      <c r="H24" s="69">
        <v>45</v>
      </c>
    </row>
    <row r="25" spans="1:8" ht="16.5" customHeight="1">
      <c r="A25" s="76" t="s">
        <v>112</v>
      </c>
      <c r="B25" s="77" t="s">
        <v>884</v>
      </c>
      <c r="C25" s="76" t="s">
        <v>113</v>
      </c>
      <c r="D25" s="70"/>
      <c r="E25" s="70">
        <v>64</v>
      </c>
      <c r="F25" s="70">
        <v>0</v>
      </c>
      <c r="G25" s="69">
        <v>1</v>
      </c>
      <c r="H25" s="69">
        <v>63</v>
      </c>
    </row>
    <row r="26" spans="1:8" ht="16.5" customHeight="1">
      <c r="A26" s="76" t="s">
        <v>244</v>
      </c>
      <c r="B26" s="77" t="s">
        <v>884</v>
      </c>
      <c r="C26" s="76" t="s">
        <v>245</v>
      </c>
      <c r="D26" s="70"/>
      <c r="E26" s="70">
        <v>50</v>
      </c>
      <c r="F26" s="70">
        <v>0</v>
      </c>
      <c r="G26" s="69">
        <v>49</v>
      </c>
      <c r="H26" s="69">
        <v>1</v>
      </c>
    </row>
    <row r="27" spans="1:8" ht="16.5" customHeight="1">
      <c r="A27" s="76" t="s">
        <v>775</v>
      </c>
      <c r="B27" s="77" t="s">
        <v>884</v>
      </c>
      <c r="C27" s="76" t="s">
        <v>776</v>
      </c>
      <c r="D27" s="70"/>
      <c r="E27" s="70">
        <v>52</v>
      </c>
      <c r="F27" s="70">
        <v>0</v>
      </c>
      <c r="G27" s="69">
        <v>41</v>
      </c>
      <c r="H27" s="69">
        <v>11</v>
      </c>
    </row>
    <row r="28" spans="1:8" ht="16.5" customHeight="1">
      <c r="A28" s="76" t="s">
        <v>781</v>
      </c>
      <c r="B28" s="77" t="s">
        <v>884</v>
      </c>
      <c r="C28" s="76" t="s">
        <v>782</v>
      </c>
      <c r="D28" s="70"/>
      <c r="E28" s="70">
        <v>58</v>
      </c>
      <c r="F28" s="70">
        <v>0</v>
      </c>
      <c r="G28" s="69">
        <v>57</v>
      </c>
      <c r="H28" s="69">
        <v>1</v>
      </c>
    </row>
    <row r="29" spans="1:8" ht="16.5" customHeight="1">
      <c r="A29" s="76" t="s">
        <v>785</v>
      </c>
      <c r="B29" s="77" t="s">
        <v>884</v>
      </c>
      <c r="C29" s="76" t="s">
        <v>786</v>
      </c>
      <c r="D29" s="70"/>
      <c r="E29" s="70">
        <v>38</v>
      </c>
      <c r="F29" s="70">
        <v>0</v>
      </c>
      <c r="G29" s="69">
        <v>19</v>
      </c>
      <c r="H29" s="69">
        <v>19</v>
      </c>
    </row>
    <row r="30" spans="1:8" ht="16.5" customHeight="1">
      <c r="A30" s="76" t="s">
        <v>36</v>
      </c>
      <c r="B30" s="77" t="s">
        <v>884</v>
      </c>
      <c r="C30" s="76" t="s">
        <v>37</v>
      </c>
      <c r="D30" s="70"/>
      <c r="E30" s="70">
        <v>0</v>
      </c>
      <c r="F30" s="70">
        <v>47</v>
      </c>
      <c r="G30" s="69">
        <v>28</v>
      </c>
      <c r="H30" s="69">
        <v>19</v>
      </c>
    </row>
    <row r="31" spans="1:8" ht="16.5" customHeight="1">
      <c r="A31" s="76" t="s">
        <v>803</v>
      </c>
      <c r="B31" s="77" t="s">
        <v>884</v>
      </c>
      <c r="C31" s="76" t="s">
        <v>804</v>
      </c>
      <c r="D31" s="70"/>
      <c r="E31" s="70">
        <v>38</v>
      </c>
      <c r="F31" s="70">
        <v>0</v>
      </c>
      <c r="G31" s="69">
        <v>29</v>
      </c>
      <c r="H31" s="69">
        <v>9</v>
      </c>
    </row>
    <row r="32" spans="1:8" ht="16.5" customHeight="1">
      <c r="A32" s="76" t="s">
        <v>181</v>
      </c>
      <c r="B32" s="77" t="s">
        <v>884</v>
      </c>
      <c r="C32" s="76" t="s">
        <v>182</v>
      </c>
      <c r="D32" s="70"/>
      <c r="E32" s="70">
        <v>27</v>
      </c>
      <c r="F32" s="70">
        <v>0</v>
      </c>
      <c r="G32" s="69"/>
      <c r="H32" s="69">
        <v>27</v>
      </c>
    </row>
    <row r="33" spans="1:8" ht="16.5" customHeight="1">
      <c r="A33" s="76" t="s">
        <v>39</v>
      </c>
      <c r="B33" s="77" t="s">
        <v>884</v>
      </c>
      <c r="C33" s="76" t="s">
        <v>40</v>
      </c>
      <c r="D33" s="70"/>
      <c r="E33" s="70">
        <v>0</v>
      </c>
      <c r="F33" s="70">
        <v>43</v>
      </c>
      <c r="G33" s="69">
        <v>12</v>
      </c>
      <c r="H33" s="69">
        <v>31</v>
      </c>
    </row>
    <row r="34" spans="1:8" ht="16.5" customHeight="1">
      <c r="A34" s="76" t="s">
        <v>265</v>
      </c>
      <c r="B34" s="77" t="s">
        <v>884</v>
      </c>
      <c r="C34" s="76" t="s">
        <v>266</v>
      </c>
      <c r="D34" s="70"/>
      <c r="E34" s="70">
        <v>34</v>
      </c>
      <c r="F34" s="70">
        <v>0</v>
      </c>
      <c r="G34" s="69">
        <v>19</v>
      </c>
      <c r="H34" s="69">
        <v>15</v>
      </c>
    </row>
    <row r="35" spans="1:8" ht="16.5" customHeight="1">
      <c r="A35" s="76" t="s">
        <v>184</v>
      </c>
      <c r="B35" s="77" t="s">
        <v>884</v>
      </c>
      <c r="C35" s="76" t="s">
        <v>185</v>
      </c>
      <c r="D35" s="70"/>
      <c r="E35" s="70">
        <v>29</v>
      </c>
      <c r="F35" s="70">
        <v>0</v>
      </c>
      <c r="G35" s="69">
        <v>1</v>
      </c>
      <c r="H35" s="69">
        <v>28</v>
      </c>
    </row>
    <row r="36" spans="1:8" ht="16.5" customHeight="1">
      <c r="A36" s="76" t="s">
        <v>811</v>
      </c>
      <c r="B36" s="77" t="s">
        <v>884</v>
      </c>
      <c r="C36" s="76" t="s">
        <v>812</v>
      </c>
      <c r="D36" s="70"/>
      <c r="E36" s="70">
        <v>53</v>
      </c>
      <c r="F36" s="70">
        <v>0</v>
      </c>
      <c r="G36" s="69">
        <v>38</v>
      </c>
      <c r="H36" s="69">
        <v>15</v>
      </c>
    </row>
    <row r="37" spans="1:8" ht="16.5" customHeight="1">
      <c r="A37" s="76" t="s">
        <v>187</v>
      </c>
      <c r="B37" s="77" t="s">
        <v>884</v>
      </c>
      <c r="C37" s="76" t="s">
        <v>188</v>
      </c>
      <c r="D37" s="70"/>
      <c r="E37" s="70">
        <v>20</v>
      </c>
      <c r="F37" s="70">
        <v>0</v>
      </c>
      <c r="G37" s="69">
        <v>9</v>
      </c>
      <c r="H37" s="69">
        <v>10</v>
      </c>
    </row>
    <row r="38" spans="1:8" ht="16.5" customHeight="1">
      <c r="A38" s="76" t="s">
        <v>813</v>
      </c>
      <c r="B38" s="77" t="s">
        <v>884</v>
      </c>
      <c r="C38" s="76" t="s">
        <v>814</v>
      </c>
      <c r="D38" s="70"/>
      <c r="E38" s="70">
        <v>27</v>
      </c>
      <c r="F38" s="70">
        <v>0</v>
      </c>
      <c r="G38" s="69">
        <v>21</v>
      </c>
      <c r="H38" s="69">
        <v>6</v>
      </c>
    </row>
    <row r="39" spans="1:8" ht="16.5" customHeight="1">
      <c r="A39" s="76" t="s">
        <v>268</v>
      </c>
      <c r="B39" s="77" t="s">
        <v>884</v>
      </c>
      <c r="C39" s="76" t="s">
        <v>269</v>
      </c>
      <c r="D39" s="70"/>
      <c r="E39" s="70">
        <v>13</v>
      </c>
      <c r="F39" s="70">
        <v>0</v>
      </c>
      <c r="G39" s="69">
        <v>6</v>
      </c>
      <c r="H39" s="69">
        <v>7</v>
      </c>
    </row>
    <row r="40" spans="1:8" ht="16.5" customHeight="1">
      <c r="A40" s="76" t="s">
        <v>815</v>
      </c>
      <c r="B40" s="77" t="s">
        <v>884</v>
      </c>
      <c r="C40" s="76" t="s">
        <v>816</v>
      </c>
      <c r="D40" s="70"/>
      <c r="E40" s="70">
        <v>32</v>
      </c>
      <c r="F40" s="70">
        <v>0</v>
      </c>
      <c r="G40" s="69">
        <v>30</v>
      </c>
      <c r="H40" s="69">
        <v>2</v>
      </c>
    </row>
    <row r="41" spans="1:8" ht="16.5" customHeight="1">
      <c r="A41" s="76" t="s">
        <v>835</v>
      </c>
      <c r="B41" s="77" t="s">
        <v>884</v>
      </c>
      <c r="C41" s="76" t="s">
        <v>836</v>
      </c>
      <c r="D41" s="70"/>
      <c r="E41" s="70">
        <v>23</v>
      </c>
      <c r="F41" s="70">
        <v>0</v>
      </c>
      <c r="G41" s="69">
        <v>22</v>
      </c>
      <c r="H41" s="69">
        <v>1</v>
      </c>
    </row>
    <row r="42" spans="1:8" ht="16.5" customHeight="1">
      <c r="A42" s="76" t="s">
        <v>837</v>
      </c>
      <c r="B42" s="77" t="s">
        <v>884</v>
      </c>
      <c r="C42" s="76" t="s">
        <v>838</v>
      </c>
      <c r="D42" s="70"/>
      <c r="E42" s="70">
        <v>31</v>
      </c>
      <c r="F42" s="70">
        <v>0</v>
      </c>
      <c r="G42" s="69">
        <v>30</v>
      </c>
      <c r="H42" s="69">
        <v>1</v>
      </c>
    </row>
    <row r="43" spans="1:8" ht="16.5" customHeight="1">
      <c r="A43" s="76" t="s">
        <v>589</v>
      </c>
      <c r="B43" s="77" t="s">
        <v>909</v>
      </c>
      <c r="C43" s="76" t="s">
        <v>590</v>
      </c>
      <c r="D43" s="70"/>
      <c r="E43" s="70">
        <v>68</v>
      </c>
      <c r="F43" s="70">
        <v>0</v>
      </c>
      <c r="G43" s="69">
        <v>68</v>
      </c>
      <c r="H43" s="69">
        <v>0</v>
      </c>
    </row>
    <row r="44" spans="1:8" ht="16.5" customHeight="1">
      <c r="A44" s="76" t="s">
        <v>142</v>
      </c>
      <c r="B44" s="77" t="s">
        <v>909</v>
      </c>
      <c r="C44" s="76" t="s">
        <v>143</v>
      </c>
      <c r="D44" s="70"/>
      <c r="E44" s="70">
        <v>39</v>
      </c>
      <c r="F44" s="70">
        <v>0</v>
      </c>
      <c r="G44" s="69"/>
      <c r="H44" s="69">
        <v>39</v>
      </c>
    </row>
    <row r="45" spans="1:8" ht="16.5" customHeight="1">
      <c r="A45" s="76" t="s">
        <v>601</v>
      </c>
      <c r="B45" s="77" t="s">
        <v>909</v>
      </c>
      <c r="C45" s="76" t="s">
        <v>602</v>
      </c>
      <c r="D45" s="70"/>
      <c r="E45" s="70">
        <v>46</v>
      </c>
      <c r="F45" s="70">
        <v>0</v>
      </c>
      <c r="G45" s="69">
        <v>46</v>
      </c>
      <c r="H45" s="69">
        <v>0</v>
      </c>
    </row>
    <row r="46" spans="1:8" ht="16.5" customHeight="1">
      <c r="A46" s="76" t="s">
        <v>603</v>
      </c>
      <c r="B46" s="77" t="s">
        <v>909</v>
      </c>
      <c r="C46" s="76" t="s">
        <v>604</v>
      </c>
      <c r="D46" s="70"/>
      <c r="E46" s="70">
        <v>45</v>
      </c>
      <c r="F46" s="70">
        <v>0</v>
      </c>
      <c r="G46" s="69">
        <v>45</v>
      </c>
      <c r="H46" s="69">
        <v>0</v>
      </c>
    </row>
    <row r="47" spans="1:8" ht="16.5" customHeight="1">
      <c r="A47" s="76" t="s">
        <v>605</v>
      </c>
      <c r="B47" s="77" t="s">
        <v>909</v>
      </c>
      <c r="C47" s="76" t="s">
        <v>606</v>
      </c>
      <c r="D47" s="70"/>
      <c r="E47" s="70">
        <v>31</v>
      </c>
      <c r="F47" s="70">
        <v>0</v>
      </c>
      <c r="G47" s="69">
        <v>31</v>
      </c>
      <c r="H47" s="69">
        <v>0</v>
      </c>
    </row>
    <row r="48" spans="1:8" ht="16.5" customHeight="1">
      <c r="A48" s="76" t="s">
        <v>607</v>
      </c>
      <c r="B48" s="77" t="s">
        <v>909</v>
      </c>
      <c r="C48" s="76" t="s">
        <v>608</v>
      </c>
      <c r="D48" s="70"/>
      <c r="E48" s="70">
        <v>51</v>
      </c>
      <c r="F48" s="70">
        <v>0</v>
      </c>
      <c r="G48" s="69">
        <v>51</v>
      </c>
      <c r="H48" s="69">
        <v>0</v>
      </c>
    </row>
    <row r="49" spans="1:8" ht="16.5" customHeight="1">
      <c r="A49" s="76" t="s">
        <v>199</v>
      </c>
      <c r="B49" s="77" t="s">
        <v>909</v>
      </c>
      <c r="C49" s="76" t="s">
        <v>200</v>
      </c>
      <c r="D49" s="70"/>
      <c r="E49" s="70">
        <v>31</v>
      </c>
      <c r="F49" s="70">
        <v>0</v>
      </c>
      <c r="G49" s="69">
        <v>31</v>
      </c>
      <c r="H49" s="69">
        <v>0</v>
      </c>
    </row>
    <row r="50" spans="1:8" ht="16.5" customHeight="1">
      <c r="A50" s="76" t="s">
        <v>202</v>
      </c>
      <c r="B50" s="77" t="s">
        <v>909</v>
      </c>
      <c r="C50" s="76" t="s">
        <v>203</v>
      </c>
      <c r="D50" s="70"/>
      <c r="E50" s="70">
        <v>32</v>
      </c>
      <c r="F50" s="70">
        <v>0</v>
      </c>
      <c r="G50" s="69">
        <v>32</v>
      </c>
      <c r="H50" s="69">
        <v>0</v>
      </c>
    </row>
    <row r="51" spans="1:8" ht="16.5" customHeight="1">
      <c r="A51" s="76" t="s">
        <v>139</v>
      </c>
      <c r="B51" s="77" t="s">
        <v>909</v>
      </c>
      <c r="C51" s="76" t="s">
        <v>140</v>
      </c>
      <c r="D51" s="70"/>
      <c r="E51" s="70">
        <v>61</v>
      </c>
      <c r="F51" s="70">
        <v>0</v>
      </c>
      <c r="G51" s="69"/>
      <c r="H51" s="69">
        <v>61</v>
      </c>
    </row>
    <row r="52" spans="1:8" ht="16.5" customHeight="1">
      <c r="A52" s="76" t="s">
        <v>274</v>
      </c>
      <c r="B52" s="77" t="s">
        <v>909</v>
      </c>
      <c r="C52" s="76" t="s">
        <v>275</v>
      </c>
      <c r="D52" s="70"/>
      <c r="E52" s="70">
        <v>28</v>
      </c>
      <c r="F52" s="70">
        <v>0</v>
      </c>
      <c r="G52" s="69">
        <v>28</v>
      </c>
      <c r="H52" s="69">
        <v>0</v>
      </c>
    </row>
    <row r="53" spans="1:8" ht="16.5" customHeight="1">
      <c r="A53" s="76" t="s">
        <v>629</v>
      </c>
      <c r="B53" s="77" t="s">
        <v>909</v>
      </c>
      <c r="C53" s="76" t="s">
        <v>630</v>
      </c>
      <c r="D53" s="70"/>
      <c r="E53" s="70">
        <v>31</v>
      </c>
      <c r="F53" s="70">
        <v>0</v>
      </c>
      <c r="G53" s="69">
        <v>31</v>
      </c>
      <c r="H53" s="69">
        <v>0</v>
      </c>
    </row>
    <row r="54" spans="1:8" ht="16.5" customHeight="1">
      <c r="A54" s="76" t="s">
        <v>205</v>
      </c>
      <c r="B54" s="77" t="s">
        <v>909</v>
      </c>
      <c r="C54" s="76" t="s">
        <v>206</v>
      </c>
      <c r="D54" s="70"/>
      <c r="E54" s="70">
        <v>27</v>
      </c>
      <c r="F54" s="70">
        <v>0</v>
      </c>
      <c r="G54" s="69"/>
      <c r="H54" s="69">
        <v>27</v>
      </c>
    </row>
    <row r="55" spans="1:8" ht="16.5" customHeight="1">
      <c r="A55" s="76" t="s">
        <v>645</v>
      </c>
      <c r="B55" s="77" t="s">
        <v>909</v>
      </c>
      <c r="C55" s="76" t="s">
        <v>646</v>
      </c>
      <c r="D55" s="70"/>
      <c r="E55" s="70">
        <v>28</v>
      </c>
      <c r="F55" s="70">
        <v>0</v>
      </c>
      <c r="G55" s="69">
        <v>28</v>
      </c>
      <c r="H55" s="69">
        <v>0</v>
      </c>
    </row>
    <row r="56" spans="1:8" ht="16.5" customHeight="1">
      <c r="A56" s="76" t="s">
        <v>647</v>
      </c>
      <c r="B56" s="77" t="s">
        <v>909</v>
      </c>
      <c r="C56" s="76" t="s">
        <v>648</v>
      </c>
      <c r="D56" s="70"/>
      <c r="E56" s="70">
        <v>51</v>
      </c>
      <c r="F56" s="70">
        <v>0</v>
      </c>
      <c r="G56" s="69">
        <v>51</v>
      </c>
      <c r="H56" s="69">
        <v>0</v>
      </c>
    </row>
    <row r="57" spans="1:8" ht="16.5" customHeight="1">
      <c r="A57" s="76" t="s">
        <v>661</v>
      </c>
      <c r="B57" s="77" t="s">
        <v>909</v>
      </c>
      <c r="C57" s="76" t="s">
        <v>662</v>
      </c>
      <c r="D57" s="70"/>
      <c r="E57" s="70">
        <v>52</v>
      </c>
      <c r="F57" s="70">
        <v>0</v>
      </c>
      <c r="G57" s="69">
        <v>52</v>
      </c>
      <c r="H57" s="69">
        <v>0</v>
      </c>
    </row>
    <row r="58" spans="1:8" ht="16.5" customHeight="1">
      <c r="A58" s="76" t="s">
        <v>689</v>
      </c>
      <c r="B58" s="77" t="s">
        <v>909</v>
      </c>
      <c r="C58" s="76" t="s">
        <v>690</v>
      </c>
      <c r="D58" s="70"/>
      <c r="E58" s="70">
        <v>20</v>
      </c>
      <c r="F58" s="70">
        <v>0</v>
      </c>
      <c r="G58" s="69"/>
      <c r="H58" s="69">
        <v>20</v>
      </c>
    </row>
    <row r="59" spans="1:8" ht="16.5" customHeight="1">
      <c r="A59" s="76" t="s">
        <v>229</v>
      </c>
      <c r="B59" s="77" t="s">
        <v>909</v>
      </c>
      <c r="C59" s="76" t="s">
        <v>230</v>
      </c>
      <c r="D59" s="70"/>
      <c r="E59" s="70">
        <v>34</v>
      </c>
      <c r="F59" s="70">
        <v>0</v>
      </c>
      <c r="G59" s="69"/>
      <c r="H59" s="69">
        <v>34</v>
      </c>
    </row>
    <row r="60" spans="1:8" ht="16.5" customHeight="1">
      <c r="A60" s="76" t="s">
        <v>723</v>
      </c>
      <c r="B60" s="77" t="s">
        <v>909</v>
      </c>
      <c r="C60" s="76" t="s">
        <v>724</v>
      </c>
      <c r="D60" s="70"/>
      <c r="E60" s="70">
        <v>68</v>
      </c>
      <c r="F60" s="70">
        <v>0</v>
      </c>
      <c r="G60" s="69">
        <v>68</v>
      </c>
      <c r="H60" s="69">
        <v>0</v>
      </c>
    </row>
    <row r="61" spans="1:8" ht="16.5" customHeight="1">
      <c r="A61" s="76" t="s">
        <v>27</v>
      </c>
      <c r="B61" s="77" t="s">
        <v>909</v>
      </c>
      <c r="C61" s="76" t="s">
        <v>28</v>
      </c>
      <c r="D61" s="70"/>
      <c r="E61" s="70">
        <v>0</v>
      </c>
      <c r="F61" s="70">
        <v>61</v>
      </c>
      <c r="G61" s="69"/>
      <c r="H61" s="69">
        <v>61</v>
      </c>
    </row>
    <row r="62" spans="1:8" ht="16.5" customHeight="1">
      <c r="A62" s="76" t="s">
        <v>157</v>
      </c>
      <c r="B62" s="77" t="s">
        <v>909</v>
      </c>
      <c r="C62" s="76" t="s">
        <v>158</v>
      </c>
      <c r="D62" s="70"/>
      <c r="E62" s="70">
        <v>32</v>
      </c>
      <c r="F62" s="70">
        <v>0</v>
      </c>
      <c r="G62" s="69">
        <v>32</v>
      </c>
      <c r="H62" s="69">
        <v>0</v>
      </c>
    </row>
    <row r="63" spans="1:8" ht="16.5" customHeight="1">
      <c r="A63" s="76" t="s">
        <v>741</v>
      </c>
      <c r="B63" s="77" t="s">
        <v>909</v>
      </c>
      <c r="C63" s="76" t="s">
        <v>742</v>
      </c>
      <c r="D63" s="70"/>
      <c r="E63" s="70">
        <v>35</v>
      </c>
      <c r="F63" s="70">
        <v>0</v>
      </c>
      <c r="G63" s="69">
        <v>35</v>
      </c>
      <c r="H63" s="69">
        <v>0</v>
      </c>
    </row>
    <row r="64" spans="1:8" ht="16.5" customHeight="1">
      <c r="A64" s="76" t="s">
        <v>743</v>
      </c>
      <c r="B64" s="77" t="s">
        <v>909</v>
      </c>
      <c r="C64" s="76" t="s">
        <v>744</v>
      </c>
      <c r="D64" s="70"/>
      <c r="E64" s="70">
        <v>54</v>
      </c>
      <c r="F64" s="70">
        <v>0</v>
      </c>
      <c r="G64" s="69">
        <v>54</v>
      </c>
      <c r="H64" s="69">
        <v>0</v>
      </c>
    </row>
    <row r="65" spans="1:8" ht="16.5" customHeight="1">
      <c r="A65" s="76" t="s">
        <v>755</v>
      </c>
      <c r="B65" s="77" t="s">
        <v>909</v>
      </c>
      <c r="C65" s="76" t="s">
        <v>756</v>
      </c>
      <c r="D65" s="70"/>
      <c r="E65" s="70">
        <v>47</v>
      </c>
      <c r="F65" s="70">
        <v>0</v>
      </c>
      <c r="G65" s="69">
        <v>47</v>
      </c>
      <c r="H65" s="69">
        <v>0</v>
      </c>
    </row>
    <row r="66" spans="1:8" ht="16.5" customHeight="1">
      <c r="A66" s="76" t="s">
        <v>757</v>
      </c>
      <c r="B66" s="77" t="s">
        <v>909</v>
      </c>
      <c r="C66" s="76" t="s">
        <v>758</v>
      </c>
      <c r="D66" s="70"/>
      <c r="E66" s="70">
        <v>60</v>
      </c>
      <c r="F66" s="70">
        <v>0</v>
      </c>
      <c r="G66" s="69">
        <v>60</v>
      </c>
      <c r="H66" s="69">
        <v>0</v>
      </c>
    </row>
    <row r="67" spans="1:8" ht="16.5" customHeight="1">
      <c r="A67" s="76" t="s">
        <v>241</v>
      </c>
      <c r="B67" s="77" t="s">
        <v>909</v>
      </c>
      <c r="C67" s="76" t="s">
        <v>242</v>
      </c>
      <c r="D67" s="70"/>
      <c r="E67" s="70">
        <v>31</v>
      </c>
      <c r="F67" s="70">
        <v>0</v>
      </c>
      <c r="G67" s="69">
        <v>31</v>
      </c>
      <c r="H67" s="69">
        <v>0</v>
      </c>
    </row>
    <row r="68" spans="1:8" ht="16.5" customHeight="1">
      <c r="A68" s="76" t="s">
        <v>250</v>
      </c>
      <c r="B68" s="77" t="s">
        <v>909</v>
      </c>
      <c r="C68" s="76" t="s">
        <v>251</v>
      </c>
      <c r="D68" s="70"/>
      <c r="E68" s="70">
        <v>57</v>
      </c>
      <c r="F68" s="70">
        <v>0</v>
      </c>
      <c r="G68" s="69">
        <v>57</v>
      </c>
      <c r="H68" s="69">
        <v>0</v>
      </c>
    </row>
    <row r="69" spans="1:8" ht="16.5" customHeight="1">
      <c r="A69" s="76" t="s">
        <v>256</v>
      </c>
      <c r="B69" s="77" t="s">
        <v>909</v>
      </c>
      <c r="C69" s="76" t="s">
        <v>257</v>
      </c>
      <c r="D69" s="70"/>
      <c r="E69" s="70">
        <v>40</v>
      </c>
      <c r="F69" s="70">
        <v>0</v>
      </c>
      <c r="G69" s="69"/>
      <c r="H69" s="69">
        <v>40</v>
      </c>
    </row>
    <row r="70" spans="1:8" ht="16.5" customHeight="1">
      <c r="A70" s="76" t="s">
        <v>783</v>
      </c>
      <c r="B70" s="77" t="s">
        <v>909</v>
      </c>
      <c r="C70" s="76" t="s">
        <v>784</v>
      </c>
      <c r="D70" s="70"/>
      <c r="E70" s="70">
        <v>18</v>
      </c>
      <c r="F70" s="70">
        <v>0</v>
      </c>
      <c r="G70" s="69">
        <v>18</v>
      </c>
      <c r="H70" s="69">
        <v>0</v>
      </c>
    </row>
    <row r="71" spans="1:8" ht="16.5" customHeight="1">
      <c r="A71" s="76" t="s">
        <v>78</v>
      </c>
      <c r="B71" s="77" t="s">
        <v>909</v>
      </c>
      <c r="C71" s="76" t="s">
        <v>79</v>
      </c>
      <c r="D71" s="70"/>
      <c r="E71" s="70">
        <v>57</v>
      </c>
      <c r="F71" s="70">
        <v>0</v>
      </c>
      <c r="G71" s="69"/>
      <c r="H71" s="69">
        <v>57</v>
      </c>
    </row>
    <row r="72" spans="1:8" ht="16.5" customHeight="1">
      <c r="A72" s="76" t="s">
        <v>259</v>
      </c>
      <c r="B72" s="77" t="s">
        <v>909</v>
      </c>
      <c r="C72" s="76" t="s">
        <v>260</v>
      </c>
      <c r="D72" s="70"/>
      <c r="E72" s="70">
        <v>36</v>
      </c>
      <c r="F72" s="70">
        <v>0</v>
      </c>
      <c r="G72" s="69">
        <v>36</v>
      </c>
      <c r="H72" s="69">
        <v>0</v>
      </c>
    </row>
    <row r="73" spans="1:8" ht="16.5" customHeight="1">
      <c r="A73" s="76" t="s">
        <v>172</v>
      </c>
      <c r="B73" s="77" t="s">
        <v>909</v>
      </c>
      <c r="C73" s="76" t="s">
        <v>173</v>
      </c>
      <c r="D73" s="70"/>
      <c r="E73" s="70">
        <v>32</v>
      </c>
      <c r="F73" s="70">
        <v>0</v>
      </c>
      <c r="G73" s="69">
        <v>32</v>
      </c>
      <c r="H73" s="69">
        <v>0</v>
      </c>
    </row>
    <row r="74" spans="1:8" ht="16.5" customHeight="1">
      <c r="A74" s="76" t="s">
        <v>262</v>
      </c>
      <c r="B74" s="77" t="s">
        <v>909</v>
      </c>
      <c r="C74" s="76" t="s">
        <v>263</v>
      </c>
      <c r="D74" s="70"/>
      <c r="E74" s="70">
        <v>59</v>
      </c>
      <c r="F74" s="70">
        <v>0</v>
      </c>
      <c r="G74" s="69">
        <v>59</v>
      </c>
      <c r="H74" s="69">
        <v>0</v>
      </c>
    </row>
    <row r="75" spans="1:8" ht="16.5" customHeight="1">
      <c r="A75" s="76" t="s">
        <v>787</v>
      </c>
      <c r="B75" s="77" t="s">
        <v>909</v>
      </c>
      <c r="C75" s="76" t="s">
        <v>788</v>
      </c>
      <c r="D75" s="70"/>
      <c r="E75" s="70">
        <v>13</v>
      </c>
      <c r="F75" s="70">
        <v>0</v>
      </c>
      <c r="G75" s="69">
        <v>13</v>
      </c>
      <c r="H75" s="69">
        <v>0</v>
      </c>
    </row>
    <row r="76" spans="1:8" ht="16.5" customHeight="1">
      <c r="A76" s="76" t="s">
        <v>791</v>
      </c>
      <c r="B76" s="77" t="s">
        <v>909</v>
      </c>
      <c r="C76" s="76" t="s">
        <v>792</v>
      </c>
      <c r="D76" s="70"/>
      <c r="E76" s="70">
        <v>29</v>
      </c>
      <c r="F76" s="70">
        <v>0</v>
      </c>
      <c r="G76" s="69">
        <v>29</v>
      </c>
      <c r="H76" s="69">
        <v>0</v>
      </c>
    </row>
    <row r="77" spans="1:8" ht="16.5" customHeight="1">
      <c r="A77" s="76" t="s">
        <v>127</v>
      </c>
      <c r="B77" s="77" t="s">
        <v>909</v>
      </c>
      <c r="C77" s="76" t="s">
        <v>128</v>
      </c>
      <c r="D77" s="70"/>
      <c r="E77" s="70">
        <v>107</v>
      </c>
      <c r="F77" s="70">
        <v>0</v>
      </c>
      <c r="G77" s="69">
        <v>107</v>
      </c>
      <c r="H77" s="69">
        <v>0</v>
      </c>
    </row>
    <row r="78" spans="1:8" ht="16.5" customHeight="1">
      <c r="A78" s="76" t="s">
        <v>54</v>
      </c>
      <c r="B78" s="77" t="s">
        <v>909</v>
      </c>
      <c r="C78" s="76" t="s">
        <v>55</v>
      </c>
      <c r="D78" s="70"/>
      <c r="E78" s="70">
        <v>0</v>
      </c>
      <c r="F78" s="70">
        <v>36</v>
      </c>
      <c r="G78" s="69">
        <v>36</v>
      </c>
      <c r="H78" s="69">
        <v>0</v>
      </c>
    </row>
    <row r="79" spans="1:8" ht="16.5" customHeight="1">
      <c r="A79" s="76" t="s">
        <v>57</v>
      </c>
      <c r="B79" s="77" t="s">
        <v>909</v>
      </c>
      <c r="C79" s="76" t="s">
        <v>58</v>
      </c>
      <c r="D79" s="70"/>
      <c r="E79" s="70">
        <v>0</v>
      </c>
      <c r="F79" s="70">
        <v>48</v>
      </c>
      <c r="G79" s="69"/>
      <c r="H79" s="69">
        <v>48</v>
      </c>
    </row>
    <row r="80" spans="1:8" ht="16.5" customHeight="1">
      <c r="A80" s="76" t="s">
        <v>178</v>
      </c>
      <c r="B80" s="77" t="s">
        <v>909</v>
      </c>
      <c r="C80" s="76" t="s">
        <v>179</v>
      </c>
      <c r="D80" s="70"/>
      <c r="E80" s="70">
        <v>21</v>
      </c>
      <c r="F80" s="70">
        <v>0</v>
      </c>
      <c r="G80" s="69"/>
      <c r="H80" s="69">
        <v>21</v>
      </c>
    </row>
    <row r="81" spans="1:8" ht="16.5" customHeight="1">
      <c r="A81" s="76" t="s">
        <v>797</v>
      </c>
      <c r="B81" s="77" t="s">
        <v>909</v>
      </c>
      <c r="C81" s="76" t="s">
        <v>798</v>
      </c>
      <c r="D81" s="70"/>
      <c r="E81" s="70">
        <v>39</v>
      </c>
      <c r="F81" s="70">
        <v>0</v>
      </c>
      <c r="G81" s="69"/>
      <c r="H81" s="69">
        <v>0</v>
      </c>
    </row>
    <row r="82" spans="1:8" ht="16.5" customHeight="1">
      <c r="A82" s="76" t="s">
        <v>801</v>
      </c>
      <c r="B82" s="77" t="s">
        <v>909</v>
      </c>
      <c r="C82" s="76" t="s">
        <v>802</v>
      </c>
      <c r="D82" s="70"/>
      <c r="E82" s="70">
        <v>13</v>
      </c>
      <c r="F82" s="70">
        <v>0</v>
      </c>
      <c r="G82" s="69">
        <v>13</v>
      </c>
      <c r="H82" s="69">
        <v>0</v>
      </c>
    </row>
    <row r="83" spans="1:8" ht="16.5" customHeight="1">
      <c r="A83" s="76" t="s">
        <v>809</v>
      </c>
      <c r="B83" s="77" t="s">
        <v>909</v>
      </c>
      <c r="C83" s="76" t="s">
        <v>810</v>
      </c>
      <c r="D83" s="70"/>
      <c r="E83" s="70">
        <v>9</v>
      </c>
      <c r="F83" s="70">
        <v>0</v>
      </c>
      <c r="G83" s="69"/>
      <c r="H83" s="69">
        <v>9</v>
      </c>
    </row>
    <row r="84" spans="1:8" ht="16.5" customHeight="1">
      <c r="A84" s="76" t="s">
        <v>87</v>
      </c>
      <c r="B84" s="77" t="s">
        <v>909</v>
      </c>
      <c r="C84" s="76" t="s">
        <v>88</v>
      </c>
      <c r="D84" s="70"/>
      <c r="E84" s="70">
        <v>64</v>
      </c>
      <c r="F84" s="70">
        <v>0</v>
      </c>
      <c r="G84" s="69">
        <v>64</v>
      </c>
      <c r="H84" s="69">
        <v>0</v>
      </c>
    </row>
    <row r="85" spans="1:8" ht="16.5" customHeight="1">
      <c r="A85" s="76" t="s">
        <v>190</v>
      </c>
      <c r="B85" s="77" t="s">
        <v>909</v>
      </c>
      <c r="C85" s="76" t="s">
        <v>191</v>
      </c>
      <c r="D85" s="70"/>
      <c r="E85" s="70">
        <v>22</v>
      </c>
      <c r="F85" s="70">
        <v>0</v>
      </c>
      <c r="G85" s="69">
        <v>22</v>
      </c>
      <c r="H85" s="69">
        <v>0</v>
      </c>
    </row>
    <row r="86" spans="1:8" ht="16.5" customHeight="1">
      <c r="A86" s="76" t="s">
        <v>831</v>
      </c>
      <c r="B86" s="77" t="s">
        <v>909</v>
      </c>
      <c r="C86" s="76" t="s">
        <v>832</v>
      </c>
      <c r="D86" s="70"/>
      <c r="E86" s="70">
        <v>47</v>
      </c>
      <c r="F86" s="70">
        <v>0</v>
      </c>
      <c r="G86" s="69"/>
      <c r="H86" s="69">
        <v>47</v>
      </c>
    </row>
    <row r="87" spans="1:8" ht="16.5" customHeight="1">
      <c r="A87" s="76" t="s">
        <v>193</v>
      </c>
      <c r="B87" s="77" t="s">
        <v>909</v>
      </c>
      <c r="C87" s="76" t="s">
        <v>194</v>
      </c>
      <c r="D87" s="70"/>
      <c r="E87" s="70">
        <v>31</v>
      </c>
      <c r="F87" s="70">
        <v>0</v>
      </c>
      <c r="G87" s="69"/>
      <c r="H87" s="69">
        <v>31</v>
      </c>
    </row>
    <row r="88" spans="1:8" ht="16.5" customHeight="1">
      <c r="A88" s="76" t="s">
        <v>196</v>
      </c>
      <c r="B88" s="77" t="s">
        <v>909</v>
      </c>
      <c r="C88" s="76" t="s">
        <v>197</v>
      </c>
      <c r="D88" s="70"/>
      <c r="E88" s="70">
        <v>22</v>
      </c>
      <c r="F88" s="70">
        <v>0</v>
      </c>
      <c r="G88" s="69"/>
      <c r="H88" s="69">
        <v>22</v>
      </c>
    </row>
    <row r="89" spans="1:8" ht="16.5" customHeight="1">
      <c r="A89" s="76" t="s">
        <v>283</v>
      </c>
      <c r="B89" s="77" t="s">
        <v>923</v>
      </c>
      <c r="C89" s="76" t="s">
        <v>284</v>
      </c>
      <c r="D89" s="70"/>
      <c r="E89" s="70">
        <v>25</v>
      </c>
      <c r="F89" s="70">
        <v>0</v>
      </c>
      <c r="G89" s="69">
        <v>25</v>
      </c>
      <c r="H89" s="69">
        <v>0</v>
      </c>
    </row>
    <row r="90" spans="1:8" ht="16.5" customHeight="1">
      <c r="A90" s="76" t="s">
        <v>395</v>
      </c>
      <c r="B90" s="77" t="s">
        <v>923</v>
      </c>
      <c r="C90" s="76" t="s">
        <v>396</v>
      </c>
      <c r="D90" s="70"/>
      <c r="E90" s="70">
        <v>39</v>
      </c>
      <c r="F90" s="70">
        <v>0</v>
      </c>
      <c r="G90" s="69">
        <v>39</v>
      </c>
      <c r="H90" s="69">
        <v>0</v>
      </c>
    </row>
    <row r="91" spans="1:8" ht="16.5" customHeight="1">
      <c r="A91" s="76" t="s">
        <v>587</v>
      </c>
      <c r="B91" s="77" t="s">
        <v>923</v>
      </c>
      <c r="C91" s="76" t="s">
        <v>588</v>
      </c>
      <c r="D91" s="70"/>
      <c r="E91" s="70">
        <v>22</v>
      </c>
      <c r="F91" s="70">
        <v>0</v>
      </c>
      <c r="G91" s="69">
        <v>22</v>
      </c>
      <c r="H91" s="69">
        <v>0</v>
      </c>
    </row>
    <row r="92" spans="1:8" ht="16.5" customHeight="1">
      <c r="A92" s="76" t="s">
        <v>286</v>
      </c>
      <c r="B92" s="77" t="s">
        <v>923</v>
      </c>
      <c r="C92" s="76" t="s">
        <v>287</v>
      </c>
      <c r="D92" s="70"/>
      <c r="E92" s="70">
        <v>13</v>
      </c>
      <c r="F92" s="70">
        <v>0</v>
      </c>
      <c r="G92" s="69">
        <v>13</v>
      </c>
      <c r="H92" s="69">
        <v>0</v>
      </c>
    </row>
    <row r="93" spans="1:8" ht="16.5" customHeight="1">
      <c r="A93" s="76" t="s">
        <v>593</v>
      </c>
      <c r="B93" s="77" t="s">
        <v>923</v>
      </c>
      <c r="C93" s="76" t="s">
        <v>594</v>
      </c>
      <c r="D93" s="70"/>
      <c r="E93" s="70">
        <v>14</v>
      </c>
      <c r="F93" s="70">
        <v>0</v>
      </c>
      <c r="G93" s="69"/>
      <c r="H93" s="69">
        <v>14</v>
      </c>
    </row>
    <row r="94" spans="1:8" ht="16.5" customHeight="1">
      <c r="A94" s="76" t="s">
        <v>401</v>
      </c>
      <c r="B94" s="77" t="s">
        <v>923</v>
      </c>
      <c r="C94" s="76" t="s">
        <v>402</v>
      </c>
      <c r="D94" s="70"/>
      <c r="E94" s="70">
        <v>8</v>
      </c>
      <c r="F94" s="70">
        <v>0</v>
      </c>
      <c r="G94" s="69"/>
      <c r="H94" s="69">
        <v>8</v>
      </c>
    </row>
    <row r="95" spans="1:8" ht="16.5" customHeight="1">
      <c r="A95" s="76" t="s">
        <v>609</v>
      </c>
      <c r="B95" s="77" t="s">
        <v>923</v>
      </c>
      <c r="C95" s="76" t="s">
        <v>610</v>
      </c>
      <c r="D95" s="70"/>
      <c r="E95" s="70">
        <v>70</v>
      </c>
      <c r="F95" s="70">
        <v>0</v>
      </c>
      <c r="G95" s="69">
        <v>70</v>
      </c>
      <c r="H95" s="69">
        <v>0</v>
      </c>
    </row>
    <row r="96" spans="1:8" ht="16.5" customHeight="1">
      <c r="A96" s="76" t="s">
        <v>407</v>
      </c>
      <c r="B96" s="77" t="s">
        <v>923</v>
      </c>
      <c r="C96" s="76" t="s">
        <v>408</v>
      </c>
      <c r="D96" s="70"/>
      <c r="E96" s="70">
        <v>56</v>
      </c>
      <c r="F96" s="70">
        <v>0</v>
      </c>
      <c r="G96" s="69">
        <v>56</v>
      </c>
      <c r="H96" s="69">
        <v>0</v>
      </c>
    </row>
    <row r="97" spans="1:8" ht="16.5" customHeight="1">
      <c r="A97" s="76" t="s">
        <v>410</v>
      </c>
      <c r="B97" s="77" t="s">
        <v>923</v>
      </c>
      <c r="C97" s="76" t="s">
        <v>411</v>
      </c>
      <c r="D97" s="70"/>
      <c r="E97" s="70">
        <v>48</v>
      </c>
      <c r="F97" s="70">
        <v>0</v>
      </c>
      <c r="G97" s="69">
        <v>48</v>
      </c>
      <c r="H97" s="69">
        <v>0</v>
      </c>
    </row>
    <row r="98" spans="1:8" ht="16.5" customHeight="1">
      <c r="A98" s="76" t="s">
        <v>292</v>
      </c>
      <c r="B98" s="77" t="s">
        <v>923</v>
      </c>
      <c r="C98" s="76" t="s">
        <v>293</v>
      </c>
      <c r="D98" s="70"/>
      <c r="E98" s="70">
        <v>42</v>
      </c>
      <c r="F98" s="70">
        <v>0</v>
      </c>
      <c r="G98" s="69">
        <v>42</v>
      </c>
      <c r="H98" s="69">
        <v>0</v>
      </c>
    </row>
    <row r="99" spans="1:8" ht="16.5" customHeight="1">
      <c r="A99" s="76" t="s">
        <v>611</v>
      </c>
      <c r="B99" s="77" t="s">
        <v>923</v>
      </c>
      <c r="C99" s="76" t="s">
        <v>612</v>
      </c>
      <c r="D99" s="70"/>
      <c r="E99" s="70">
        <v>36</v>
      </c>
      <c r="F99" s="70">
        <v>0</v>
      </c>
      <c r="G99" s="69">
        <v>36</v>
      </c>
      <c r="H99" s="69">
        <v>0</v>
      </c>
    </row>
    <row r="100" spans="1:8" ht="16.5" customHeight="1">
      <c r="A100" s="76" t="s">
        <v>18</v>
      </c>
      <c r="B100" s="77" t="s">
        <v>923</v>
      </c>
      <c r="C100" s="76" t="s">
        <v>19</v>
      </c>
      <c r="D100" s="70"/>
      <c r="E100" s="70">
        <v>0</v>
      </c>
      <c r="F100" s="70">
        <v>50</v>
      </c>
      <c r="G100" s="69"/>
      <c r="H100" s="69">
        <v>50</v>
      </c>
    </row>
    <row r="101" spans="1:8" ht="16.5" customHeight="1">
      <c r="A101" s="76" t="s">
        <v>295</v>
      </c>
      <c r="B101" s="77" t="s">
        <v>923</v>
      </c>
      <c r="C101" s="76" t="s">
        <v>296</v>
      </c>
      <c r="D101" s="70"/>
      <c r="E101" s="70">
        <v>42</v>
      </c>
      <c r="F101" s="70">
        <v>0</v>
      </c>
      <c r="G101" s="69"/>
      <c r="H101" s="69">
        <v>42</v>
      </c>
    </row>
    <row r="102" spans="1:8" ht="16.5" customHeight="1">
      <c r="A102" s="76" t="s">
        <v>413</v>
      </c>
      <c r="B102" s="77" t="s">
        <v>923</v>
      </c>
      <c r="C102" s="76" t="s">
        <v>414</v>
      </c>
      <c r="D102" s="70"/>
      <c r="E102" s="70">
        <v>38</v>
      </c>
      <c r="F102" s="70">
        <v>0</v>
      </c>
      <c r="G102" s="69"/>
      <c r="H102" s="69">
        <v>38</v>
      </c>
    </row>
    <row r="103" spans="1:8" ht="16.5" customHeight="1">
      <c r="A103" s="76" t="s">
        <v>106</v>
      </c>
      <c r="B103" s="77" t="s">
        <v>923</v>
      </c>
      <c r="C103" s="76" t="s">
        <v>107</v>
      </c>
      <c r="D103" s="70"/>
      <c r="E103" s="70">
        <v>54</v>
      </c>
      <c r="F103" s="70">
        <v>0</v>
      </c>
      <c r="G103" s="69"/>
      <c r="H103" s="69">
        <v>54</v>
      </c>
    </row>
    <row r="104" spans="1:8" ht="16.5" customHeight="1">
      <c r="A104" s="76" t="s">
        <v>302</v>
      </c>
      <c r="B104" s="77" t="s">
        <v>923</v>
      </c>
      <c r="C104" s="76" t="s">
        <v>303</v>
      </c>
      <c r="D104" s="70"/>
      <c r="E104" s="70">
        <v>40</v>
      </c>
      <c r="F104" s="70">
        <v>0</v>
      </c>
      <c r="G104" s="69">
        <v>40</v>
      </c>
      <c r="H104" s="69">
        <v>0</v>
      </c>
    </row>
    <row r="105" spans="1:8" ht="16.5" customHeight="1">
      <c r="A105" s="76" t="s">
        <v>103</v>
      </c>
      <c r="B105" s="77" t="s">
        <v>923</v>
      </c>
      <c r="C105" s="76" t="s">
        <v>104</v>
      </c>
      <c r="D105" s="70"/>
      <c r="E105" s="70">
        <v>58</v>
      </c>
      <c r="F105" s="70">
        <v>0</v>
      </c>
      <c r="G105" s="69">
        <v>58</v>
      </c>
      <c r="H105" s="69">
        <v>0</v>
      </c>
    </row>
    <row r="106" spans="1:8" ht="16.5" customHeight="1">
      <c r="A106" s="76" t="s">
        <v>305</v>
      </c>
      <c r="B106" s="77" t="s">
        <v>923</v>
      </c>
      <c r="C106" s="76" t="s">
        <v>306</v>
      </c>
      <c r="D106" s="70"/>
      <c r="E106" s="70">
        <v>44</v>
      </c>
      <c r="F106" s="70">
        <v>0</v>
      </c>
      <c r="G106" s="69"/>
      <c r="H106" s="69">
        <v>44</v>
      </c>
    </row>
    <row r="107" spans="1:8" ht="16.5" customHeight="1">
      <c r="A107" s="76" t="s">
        <v>422</v>
      </c>
      <c r="B107" s="77" t="s">
        <v>923</v>
      </c>
      <c r="C107" s="76" t="s">
        <v>423</v>
      </c>
      <c r="D107" s="70"/>
      <c r="E107" s="70">
        <v>39</v>
      </c>
      <c r="F107" s="70">
        <v>0</v>
      </c>
      <c r="G107" s="69"/>
      <c r="H107" s="69">
        <v>39</v>
      </c>
    </row>
    <row r="108" spans="1:8" ht="16.5" customHeight="1">
      <c r="A108" s="76" t="s">
        <v>619</v>
      </c>
      <c r="B108" s="77" t="s">
        <v>923</v>
      </c>
      <c r="C108" s="76" t="s">
        <v>620</v>
      </c>
      <c r="D108" s="70"/>
      <c r="E108" s="70">
        <v>41</v>
      </c>
      <c r="F108" s="70">
        <v>0</v>
      </c>
      <c r="G108" s="69">
        <v>41</v>
      </c>
      <c r="H108" s="69">
        <v>0</v>
      </c>
    </row>
    <row r="109" spans="1:8" ht="16.5" customHeight="1">
      <c r="A109" s="76" t="s">
        <v>308</v>
      </c>
      <c r="B109" s="77" t="s">
        <v>923</v>
      </c>
      <c r="C109" s="76" t="s">
        <v>309</v>
      </c>
      <c r="D109" s="70"/>
      <c r="E109" s="70">
        <v>35</v>
      </c>
      <c r="F109" s="70">
        <v>0</v>
      </c>
      <c r="G109" s="69">
        <v>35</v>
      </c>
      <c r="H109" s="69">
        <v>0</v>
      </c>
    </row>
    <row r="110" spans="1:8" ht="16.5" customHeight="1">
      <c r="A110" s="76" t="s">
        <v>311</v>
      </c>
      <c r="B110" s="77" t="s">
        <v>923</v>
      </c>
      <c r="C110" s="76" t="s">
        <v>312</v>
      </c>
      <c r="D110" s="70"/>
      <c r="E110" s="70">
        <v>36</v>
      </c>
      <c r="F110" s="70">
        <v>0</v>
      </c>
      <c r="G110" s="69"/>
      <c r="H110" s="69">
        <v>36</v>
      </c>
    </row>
    <row r="111" spans="1:8" ht="16.5" customHeight="1">
      <c r="A111" s="76" t="s">
        <v>425</v>
      </c>
      <c r="B111" s="77" t="s">
        <v>923</v>
      </c>
      <c r="C111" s="76" t="s">
        <v>426</v>
      </c>
      <c r="D111" s="70"/>
      <c r="E111" s="70">
        <v>68</v>
      </c>
      <c r="F111" s="70">
        <v>0</v>
      </c>
      <c r="G111" s="69">
        <v>68</v>
      </c>
      <c r="H111" s="69">
        <v>0</v>
      </c>
    </row>
    <row r="112" spans="1:8" ht="16.5" customHeight="1">
      <c r="A112" s="76" t="s">
        <v>314</v>
      </c>
      <c r="B112" s="77" t="s">
        <v>923</v>
      </c>
      <c r="C112" s="76" t="s">
        <v>315</v>
      </c>
      <c r="D112" s="70"/>
      <c r="E112" s="70">
        <v>39</v>
      </c>
      <c r="F112" s="70">
        <v>0</v>
      </c>
      <c r="G112" s="69">
        <v>39</v>
      </c>
      <c r="H112" s="69">
        <v>0</v>
      </c>
    </row>
    <row r="113" spans="1:8" ht="16.5" customHeight="1">
      <c r="A113" s="76" t="s">
        <v>431</v>
      </c>
      <c r="B113" s="77" t="s">
        <v>923</v>
      </c>
      <c r="C113" s="76" t="s">
        <v>432</v>
      </c>
      <c r="D113" s="70"/>
      <c r="E113" s="70">
        <v>69</v>
      </c>
      <c r="F113" s="70">
        <v>0</v>
      </c>
      <c r="G113" s="69">
        <v>69</v>
      </c>
      <c r="H113" s="69">
        <v>0</v>
      </c>
    </row>
    <row r="114" spans="1:8" ht="16.5" customHeight="1">
      <c r="A114" s="76" t="s">
        <v>625</v>
      </c>
      <c r="B114" s="77" t="s">
        <v>923</v>
      </c>
      <c r="C114" s="76" t="s">
        <v>626</v>
      </c>
      <c r="D114" s="70"/>
      <c r="E114" s="70">
        <v>0</v>
      </c>
      <c r="F114" s="70">
        <v>58</v>
      </c>
      <c r="G114" s="69"/>
      <c r="H114" s="69">
        <v>58</v>
      </c>
    </row>
    <row r="115" spans="1:8" ht="16.5" customHeight="1">
      <c r="A115" s="76" t="s">
        <v>317</v>
      </c>
      <c r="B115" s="77" t="s">
        <v>923</v>
      </c>
      <c r="C115" s="76" t="s">
        <v>318</v>
      </c>
      <c r="D115" s="70"/>
      <c r="E115" s="70">
        <v>25</v>
      </c>
      <c r="F115" s="70">
        <v>0</v>
      </c>
      <c r="G115" s="69"/>
      <c r="H115" s="69">
        <v>25</v>
      </c>
    </row>
    <row r="116" spans="1:8" ht="16.5" customHeight="1">
      <c r="A116" s="76" t="s">
        <v>320</v>
      </c>
      <c r="B116" s="77" t="s">
        <v>923</v>
      </c>
      <c r="C116" s="76" t="s">
        <v>321</v>
      </c>
      <c r="D116" s="70"/>
      <c r="E116" s="70">
        <v>31</v>
      </c>
      <c r="F116" s="70">
        <v>0</v>
      </c>
      <c r="G116" s="69"/>
      <c r="H116" s="69">
        <v>31</v>
      </c>
    </row>
    <row r="117" spans="1:8" ht="16.5" customHeight="1">
      <c r="A117" s="76" t="s">
        <v>639</v>
      </c>
      <c r="B117" s="77" t="s">
        <v>923</v>
      </c>
      <c r="C117" s="76" t="s">
        <v>640</v>
      </c>
      <c r="D117" s="70"/>
      <c r="E117" s="70">
        <v>50</v>
      </c>
      <c r="F117" s="70">
        <v>0</v>
      </c>
      <c r="G117" s="69">
        <v>50</v>
      </c>
      <c r="H117" s="69">
        <v>0</v>
      </c>
    </row>
    <row r="118" spans="1:8" ht="16.5" customHeight="1">
      <c r="A118" s="76" t="s">
        <v>557</v>
      </c>
      <c r="B118" s="77" t="s">
        <v>923</v>
      </c>
      <c r="C118" s="76" t="s">
        <v>558</v>
      </c>
      <c r="D118" s="70"/>
      <c r="E118" s="70">
        <v>65</v>
      </c>
      <c r="F118" s="70">
        <v>0</v>
      </c>
      <c r="G118" s="69"/>
      <c r="H118" s="69">
        <v>65</v>
      </c>
    </row>
    <row r="119" spans="1:8" ht="16.5" customHeight="1">
      <c r="A119" s="76" t="s">
        <v>548</v>
      </c>
      <c r="B119" s="77" t="s">
        <v>923</v>
      </c>
      <c r="C119" s="76" t="s">
        <v>549</v>
      </c>
      <c r="D119" s="70"/>
      <c r="E119" s="70">
        <v>46</v>
      </c>
      <c r="F119" s="70">
        <v>0</v>
      </c>
      <c r="G119" s="69">
        <v>46</v>
      </c>
      <c r="H119" s="69">
        <v>0</v>
      </c>
    </row>
    <row r="120" spans="1:8" ht="16.5" customHeight="1">
      <c r="A120" s="76" t="s">
        <v>542</v>
      </c>
      <c r="B120" s="77" t="s">
        <v>923</v>
      </c>
      <c r="C120" s="76" t="s">
        <v>543</v>
      </c>
      <c r="D120" s="70"/>
      <c r="E120" s="70">
        <v>60</v>
      </c>
      <c r="F120" s="70">
        <v>0</v>
      </c>
      <c r="G120" s="69">
        <v>60</v>
      </c>
      <c r="H120" s="69">
        <v>0</v>
      </c>
    </row>
    <row r="121" spans="1:8" ht="16.5" customHeight="1">
      <c r="A121" s="76" t="s">
        <v>21</v>
      </c>
      <c r="B121" s="77" t="s">
        <v>923</v>
      </c>
      <c r="C121" s="76" t="s">
        <v>22</v>
      </c>
      <c r="D121" s="70"/>
      <c r="E121" s="70">
        <v>0</v>
      </c>
      <c r="F121" s="70">
        <v>56</v>
      </c>
      <c r="G121" s="69"/>
      <c r="H121" s="69">
        <v>56</v>
      </c>
    </row>
    <row r="122" spans="1:8" ht="16.5" customHeight="1">
      <c r="A122" s="76" t="s">
        <v>329</v>
      </c>
      <c r="B122" s="77" t="s">
        <v>923</v>
      </c>
      <c r="C122" s="76" t="s">
        <v>330</v>
      </c>
      <c r="D122" s="70"/>
      <c r="E122" s="70">
        <v>47</v>
      </c>
      <c r="F122" s="70">
        <v>0</v>
      </c>
      <c r="G122" s="69"/>
      <c r="H122" s="69">
        <v>47</v>
      </c>
    </row>
    <row r="123" spans="1:8" ht="16.5" customHeight="1">
      <c r="A123" s="76" t="s">
        <v>440</v>
      </c>
      <c r="B123" s="77" t="s">
        <v>923</v>
      </c>
      <c r="C123" s="76" t="s">
        <v>441</v>
      </c>
      <c r="D123" s="70"/>
      <c r="E123" s="70">
        <v>56</v>
      </c>
      <c r="F123" s="70">
        <v>0</v>
      </c>
      <c r="G123" s="69">
        <v>56</v>
      </c>
      <c r="H123" s="69">
        <v>0</v>
      </c>
    </row>
    <row r="124" spans="1:8" ht="16.5" customHeight="1">
      <c r="A124" s="76" t="s">
        <v>90</v>
      </c>
      <c r="B124" s="77" t="s">
        <v>923</v>
      </c>
      <c r="C124" s="76" t="s">
        <v>91</v>
      </c>
      <c r="D124" s="70"/>
      <c r="E124" s="70">
        <v>54</v>
      </c>
      <c r="F124" s="70">
        <v>0</v>
      </c>
      <c r="G124" s="69">
        <v>54</v>
      </c>
      <c r="H124" s="69">
        <v>0</v>
      </c>
    </row>
    <row r="125" spans="1:8" ht="16.5" customHeight="1">
      <c r="A125" s="76" t="s">
        <v>332</v>
      </c>
      <c r="B125" s="77" t="s">
        <v>923</v>
      </c>
      <c r="C125" s="76" t="s">
        <v>333</v>
      </c>
      <c r="D125" s="70"/>
      <c r="E125" s="70">
        <v>41</v>
      </c>
      <c r="F125" s="70">
        <v>0</v>
      </c>
      <c r="G125" s="69"/>
      <c r="H125" s="69">
        <v>41</v>
      </c>
    </row>
    <row r="126" spans="1:8" ht="16.5" customHeight="1">
      <c r="A126" s="76" t="s">
        <v>443</v>
      </c>
      <c r="B126" s="77" t="s">
        <v>923</v>
      </c>
      <c r="C126" s="76" t="s">
        <v>444</v>
      </c>
      <c r="D126" s="70"/>
      <c r="E126" s="70">
        <v>48</v>
      </c>
      <c r="F126" s="70">
        <v>0</v>
      </c>
      <c r="G126" s="69">
        <v>48</v>
      </c>
      <c r="H126" s="69">
        <v>0</v>
      </c>
    </row>
    <row r="127" spans="1:8" ht="16.5" customHeight="1">
      <c r="A127" s="76" t="s">
        <v>653</v>
      </c>
      <c r="B127" s="77" t="s">
        <v>923</v>
      </c>
      <c r="C127" s="76" t="s">
        <v>654</v>
      </c>
      <c r="D127" s="70"/>
      <c r="E127" s="70">
        <v>31</v>
      </c>
      <c r="F127" s="70">
        <v>0</v>
      </c>
      <c r="G127" s="69">
        <v>31</v>
      </c>
      <c r="H127" s="69">
        <v>0</v>
      </c>
    </row>
    <row r="128" spans="1:8" ht="16.5" customHeight="1">
      <c r="A128" s="76" t="s">
        <v>24</v>
      </c>
      <c r="B128" s="77" t="s">
        <v>923</v>
      </c>
      <c r="C128" s="76" t="s">
        <v>25</v>
      </c>
      <c r="D128" s="70"/>
      <c r="E128" s="70">
        <v>0</v>
      </c>
      <c r="F128" s="70">
        <v>50</v>
      </c>
      <c r="G128" s="69"/>
      <c r="H128" s="69">
        <v>50</v>
      </c>
    </row>
    <row r="129" spans="1:8" ht="16.5" customHeight="1">
      <c r="A129" s="76" t="s">
        <v>335</v>
      </c>
      <c r="B129" s="77" t="s">
        <v>923</v>
      </c>
      <c r="C129" s="76" t="s">
        <v>336</v>
      </c>
      <c r="D129" s="70"/>
      <c r="E129" s="70">
        <v>39</v>
      </c>
      <c r="F129" s="70">
        <v>0</v>
      </c>
      <c r="G129" s="69"/>
      <c r="H129" s="69">
        <v>39</v>
      </c>
    </row>
    <row r="130" spans="1:8" ht="16.5" customHeight="1">
      <c r="A130" s="76" t="s">
        <v>655</v>
      </c>
      <c r="B130" s="77" t="s">
        <v>923</v>
      </c>
      <c r="C130" s="76" t="s">
        <v>656</v>
      </c>
      <c r="D130" s="70"/>
      <c r="E130" s="70">
        <v>37</v>
      </c>
      <c r="F130" s="70">
        <v>0</v>
      </c>
      <c r="G130" s="69"/>
      <c r="H130" s="69">
        <v>37</v>
      </c>
    </row>
    <row r="131" spans="1:8" ht="16.5" customHeight="1">
      <c r="A131" s="76" t="s">
        <v>338</v>
      </c>
      <c r="B131" s="77" t="s">
        <v>923</v>
      </c>
      <c r="C131" s="76" t="s">
        <v>339</v>
      </c>
      <c r="D131" s="70"/>
      <c r="E131" s="70">
        <v>66</v>
      </c>
      <c r="F131" s="70">
        <v>0</v>
      </c>
      <c r="G131" s="69"/>
      <c r="H131" s="69">
        <v>66</v>
      </c>
    </row>
    <row r="132" spans="1:8" ht="16.5" customHeight="1">
      <c r="A132" s="76" t="s">
        <v>446</v>
      </c>
      <c r="B132" s="77" t="s">
        <v>923</v>
      </c>
      <c r="C132" s="76" t="s">
        <v>447</v>
      </c>
      <c r="D132" s="70"/>
      <c r="E132" s="70">
        <v>44</v>
      </c>
      <c r="F132" s="70">
        <v>0</v>
      </c>
      <c r="G132" s="69">
        <v>44</v>
      </c>
      <c r="H132" s="69">
        <v>0</v>
      </c>
    </row>
    <row r="133" spans="1:8" ht="16.5" customHeight="1">
      <c r="A133" s="76" t="s">
        <v>455</v>
      </c>
      <c r="B133" s="77" t="s">
        <v>923</v>
      </c>
      <c r="C133" s="76" t="s">
        <v>456</v>
      </c>
      <c r="D133" s="70"/>
      <c r="E133" s="70">
        <v>46</v>
      </c>
      <c r="F133" s="70">
        <v>0</v>
      </c>
      <c r="G133" s="69">
        <v>46</v>
      </c>
      <c r="H133" s="69">
        <v>0</v>
      </c>
    </row>
    <row r="134" spans="1:8" ht="16.5" customHeight="1">
      <c r="A134" s="76" t="s">
        <v>344</v>
      </c>
      <c r="B134" s="77" t="s">
        <v>923</v>
      </c>
      <c r="C134" s="76" t="s">
        <v>345</v>
      </c>
      <c r="D134" s="70"/>
      <c r="E134" s="70">
        <v>47</v>
      </c>
      <c r="F134" s="70">
        <v>0</v>
      </c>
      <c r="G134" s="69">
        <v>47</v>
      </c>
      <c r="H134" s="69">
        <v>0</v>
      </c>
    </row>
    <row r="135" spans="1:8" ht="16.5" customHeight="1">
      <c r="A135" s="76" t="s">
        <v>347</v>
      </c>
      <c r="B135" s="77" t="s">
        <v>923</v>
      </c>
      <c r="C135" s="76" t="s">
        <v>348</v>
      </c>
      <c r="D135" s="70"/>
      <c r="E135" s="70">
        <v>36</v>
      </c>
      <c r="F135" s="70">
        <v>0</v>
      </c>
      <c r="G135" s="69">
        <v>36</v>
      </c>
      <c r="H135" s="69">
        <v>0</v>
      </c>
    </row>
    <row r="136" spans="1:8" ht="16.5" customHeight="1">
      <c r="A136" s="76" t="s">
        <v>677</v>
      </c>
      <c r="B136" s="77" t="s">
        <v>923</v>
      </c>
      <c r="C136" s="76" t="s">
        <v>678</v>
      </c>
      <c r="D136" s="70"/>
      <c r="E136" s="70">
        <v>37</v>
      </c>
      <c r="F136" s="70">
        <v>0</v>
      </c>
      <c r="G136" s="69">
        <v>37</v>
      </c>
      <c r="H136" s="69">
        <v>0</v>
      </c>
    </row>
    <row r="137" spans="1:8" ht="16.5" customHeight="1">
      <c r="A137" s="76" t="s">
        <v>124</v>
      </c>
      <c r="B137" s="77" t="s">
        <v>923</v>
      </c>
      <c r="C137" s="76" t="s">
        <v>125</v>
      </c>
      <c r="D137" s="70"/>
      <c r="E137" s="70">
        <v>48</v>
      </c>
      <c r="F137" s="70">
        <v>0</v>
      </c>
      <c r="G137" s="69">
        <v>48</v>
      </c>
      <c r="H137" s="69">
        <v>0</v>
      </c>
    </row>
    <row r="138" spans="1:8" ht="16.5" customHeight="1">
      <c r="A138" s="76" t="s">
        <v>681</v>
      </c>
      <c r="B138" s="77" t="s">
        <v>923</v>
      </c>
      <c r="C138" s="76" t="s">
        <v>682</v>
      </c>
      <c r="D138" s="70"/>
      <c r="E138" s="70">
        <v>49</v>
      </c>
      <c r="F138" s="70">
        <v>0</v>
      </c>
      <c r="G138" s="69"/>
      <c r="H138" s="69">
        <v>49</v>
      </c>
    </row>
    <row r="139" spans="1:8" ht="16.5" customHeight="1">
      <c r="A139" s="76" t="s">
        <v>350</v>
      </c>
      <c r="B139" s="77" t="s">
        <v>923</v>
      </c>
      <c r="C139" s="76" t="s">
        <v>351</v>
      </c>
      <c r="D139" s="70"/>
      <c r="E139" s="70">
        <v>32</v>
      </c>
      <c r="F139" s="70">
        <v>0</v>
      </c>
      <c r="G139" s="69">
        <v>32</v>
      </c>
      <c r="H139" s="69">
        <v>0</v>
      </c>
    </row>
    <row r="140" spans="1:8" ht="16.5" customHeight="1">
      <c r="A140" s="76" t="s">
        <v>458</v>
      </c>
      <c r="B140" s="77" t="s">
        <v>923</v>
      </c>
      <c r="C140" s="76" t="s">
        <v>459</v>
      </c>
      <c r="D140" s="70"/>
      <c r="E140" s="70">
        <v>50</v>
      </c>
      <c r="F140" s="70">
        <v>0</v>
      </c>
      <c r="G140" s="69"/>
      <c r="H140" s="69">
        <v>50</v>
      </c>
    </row>
    <row r="141" spans="1:8" ht="16.5" customHeight="1">
      <c r="A141" s="76" t="s">
        <v>353</v>
      </c>
      <c r="B141" s="77" t="s">
        <v>923</v>
      </c>
      <c r="C141" s="76" t="s">
        <v>354</v>
      </c>
      <c r="D141" s="70"/>
      <c r="E141" s="70">
        <v>40</v>
      </c>
      <c r="F141" s="70">
        <v>0</v>
      </c>
      <c r="G141" s="69"/>
      <c r="H141" s="69">
        <v>40</v>
      </c>
    </row>
    <row r="142" spans="1:8" ht="16.5" customHeight="1">
      <c r="A142" s="76" t="s">
        <v>687</v>
      </c>
      <c r="B142" s="77" t="s">
        <v>923</v>
      </c>
      <c r="C142" s="76" t="s">
        <v>688</v>
      </c>
      <c r="D142" s="70"/>
      <c r="E142" s="70">
        <v>46</v>
      </c>
      <c r="F142" s="70">
        <v>0</v>
      </c>
      <c r="G142" s="69"/>
      <c r="H142" s="69">
        <v>0</v>
      </c>
    </row>
    <row r="143" spans="1:8" ht="16.5" customHeight="1">
      <c r="A143" s="76" t="s">
        <v>356</v>
      </c>
      <c r="B143" s="77" t="s">
        <v>923</v>
      </c>
      <c r="C143" s="76" t="s">
        <v>357</v>
      </c>
      <c r="D143" s="70"/>
      <c r="E143" s="70">
        <v>21</v>
      </c>
      <c r="F143" s="70">
        <v>0</v>
      </c>
      <c r="G143" s="69"/>
      <c r="H143" s="69">
        <v>21</v>
      </c>
    </row>
    <row r="144" spans="1:8" ht="16.5" customHeight="1">
      <c r="A144" s="76" t="s">
        <v>461</v>
      </c>
      <c r="B144" s="77" t="s">
        <v>923</v>
      </c>
      <c r="C144" s="76" t="s">
        <v>462</v>
      </c>
      <c r="D144" s="70"/>
      <c r="E144" s="70">
        <v>22</v>
      </c>
      <c r="F144" s="70">
        <v>0</v>
      </c>
      <c r="G144" s="69">
        <v>22</v>
      </c>
      <c r="H144" s="69">
        <v>0</v>
      </c>
    </row>
    <row r="145" spans="1:8" ht="16.5" customHeight="1">
      <c r="A145" s="76" t="s">
        <v>691</v>
      </c>
      <c r="B145" s="77" t="s">
        <v>923</v>
      </c>
      <c r="C145" s="76" t="s">
        <v>692</v>
      </c>
      <c r="D145" s="70"/>
      <c r="E145" s="70">
        <v>66</v>
      </c>
      <c r="F145" s="70">
        <v>0</v>
      </c>
      <c r="G145" s="69"/>
      <c r="H145" s="69">
        <v>66</v>
      </c>
    </row>
    <row r="146" spans="1:8" ht="16.5" customHeight="1">
      <c r="A146" s="76" t="s">
        <v>464</v>
      </c>
      <c r="B146" s="77" t="s">
        <v>923</v>
      </c>
      <c r="C146" s="76" t="s">
        <v>465</v>
      </c>
      <c r="D146" s="70"/>
      <c r="E146" s="70">
        <v>44</v>
      </c>
      <c r="F146" s="70">
        <v>0</v>
      </c>
      <c r="G146" s="69">
        <v>44</v>
      </c>
      <c r="H146" s="69">
        <v>0</v>
      </c>
    </row>
    <row r="147" spans="1:8" ht="16.5" customHeight="1">
      <c r="A147" s="76" t="s">
        <v>695</v>
      </c>
      <c r="B147" s="77" t="s">
        <v>923</v>
      </c>
      <c r="C147" s="76" t="s">
        <v>696</v>
      </c>
      <c r="D147" s="70"/>
      <c r="E147" s="70">
        <v>45</v>
      </c>
      <c r="F147" s="70">
        <v>0</v>
      </c>
      <c r="G147" s="69">
        <v>45</v>
      </c>
      <c r="H147" s="69">
        <v>0</v>
      </c>
    </row>
    <row r="148" spans="1:8" ht="16.5" customHeight="1">
      <c r="A148" s="76" t="s">
        <v>473</v>
      </c>
      <c r="B148" s="77" t="s">
        <v>923</v>
      </c>
      <c r="C148" s="76" t="s">
        <v>474</v>
      </c>
      <c r="D148" s="70"/>
      <c r="E148" s="70">
        <v>45</v>
      </c>
      <c r="F148" s="70">
        <v>0</v>
      </c>
      <c r="G148" s="69">
        <v>45</v>
      </c>
      <c r="H148" s="69">
        <v>0</v>
      </c>
    </row>
    <row r="149" spans="1:8" ht="16.5" customHeight="1">
      <c r="A149" s="76" t="s">
        <v>476</v>
      </c>
      <c r="B149" s="77" t="s">
        <v>923</v>
      </c>
      <c r="C149" s="76" t="s">
        <v>477</v>
      </c>
      <c r="D149" s="70"/>
      <c r="E149" s="70">
        <v>50</v>
      </c>
      <c r="F149" s="70">
        <v>0</v>
      </c>
      <c r="G149" s="69">
        <v>50</v>
      </c>
      <c r="H149" s="69">
        <v>0</v>
      </c>
    </row>
    <row r="150" spans="1:8" ht="16.5" customHeight="1">
      <c r="A150" s="76" t="s">
        <v>359</v>
      </c>
      <c r="B150" s="77" t="s">
        <v>923</v>
      </c>
      <c r="C150" s="76" t="s">
        <v>360</v>
      </c>
      <c r="D150" s="70"/>
      <c r="E150" s="70">
        <v>26</v>
      </c>
      <c r="F150" s="70">
        <v>0</v>
      </c>
      <c r="G150" s="69"/>
      <c r="H150" s="69">
        <v>26</v>
      </c>
    </row>
    <row r="151" spans="1:8" ht="16.5" customHeight="1">
      <c r="A151" s="76" t="s">
        <v>479</v>
      </c>
      <c r="B151" s="77" t="s">
        <v>923</v>
      </c>
      <c r="C151" s="76" t="s">
        <v>480</v>
      </c>
      <c r="D151" s="70"/>
      <c r="E151" s="70">
        <v>23</v>
      </c>
      <c r="F151" s="70">
        <v>0</v>
      </c>
      <c r="G151" s="69">
        <v>23</v>
      </c>
      <c r="H151" s="69">
        <v>0</v>
      </c>
    </row>
    <row r="152" spans="1:8" ht="16.5" customHeight="1">
      <c r="A152" s="76" t="s">
        <v>563</v>
      </c>
      <c r="B152" s="77" t="s">
        <v>923</v>
      </c>
      <c r="C152" s="76" t="s">
        <v>564</v>
      </c>
      <c r="D152" s="70"/>
      <c r="E152" s="70">
        <v>56</v>
      </c>
      <c r="F152" s="70">
        <v>0</v>
      </c>
      <c r="G152" s="69">
        <v>56</v>
      </c>
      <c r="H152" s="69">
        <v>0</v>
      </c>
    </row>
    <row r="153" spans="1:8" ht="16.5" customHeight="1">
      <c r="A153" s="76" t="s">
        <v>703</v>
      </c>
      <c r="B153" s="77" t="s">
        <v>923</v>
      </c>
      <c r="C153" s="76" t="s">
        <v>704</v>
      </c>
      <c r="D153" s="70"/>
      <c r="E153" s="70">
        <v>58</v>
      </c>
      <c r="F153" s="70">
        <v>0</v>
      </c>
      <c r="G153" s="69">
        <v>58</v>
      </c>
      <c r="H153" s="69">
        <v>0</v>
      </c>
    </row>
    <row r="154" spans="1:8" ht="16.5" customHeight="1">
      <c r="A154" s="76" t="s">
        <v>482</v>
      </c>
      <c r="B154" s="77" t="s">
        <v>923</v>
      </c>
      <c r="C154" s="76" t="s">
        <v>483</v>
      </c>
      <c r="D154" s="70"/>
      <c r="E154" s="70">
        <v>28</v>
      </c>
      <c r="F154" s="70">
        <v>0</v>
      </c>
      <c r="G154" s="69"/>
      <c r="H154" s="69">
        <v>28</v>
      </c>
    </row>
    <row r="155" spans="1:8" ht="16.5" customHeight="1">
      <c r="A155" s="76" t="s">
        <v>491</v>
      </c>
      <c r="B155" s="77" t="s">
        <v>923</v>
      </c>
      <c r="C155" s="76" t="s">
        <v>492</v>
      </c>
      <c r="D155" s="70"/>
      <c r="E155" s="70">
        <v>23</v>
      </c>
      <c r="F155" s="70">
        <v>0</v>
      </c>
      <c r="G155" s="69"/>
      <c r="H155" s="69">
        <v>23</v>
      </c>
    </row>
    <row r="156" spans="1:8" ht="16.5" customHeight="1">
      <c r="A156" s="76" t="s">
        <v>362</v>
      </c>
      <c r="B156" s="77" t="s">
        <v>923</v>
      </c>
      <c r="C156" s="76" t="s">
        <v>363</v>
      </c>
      <c r="D156" s="70"/>
      <c r="E156" s="70">
        <v>48</v>
      </c>
      <c r="F156" s="70">
        <v>0</v>
      </c>
      <c r="G156" s="69">
        <v>48</v>
      </c>
      <c r="H156" s="69">
        <v>0</v>
      </c>
    </row>
    <row r="157" spans="1:8" ht="16.5" customHeight="1">
      <c r="A157" s="76" t="s">
        <v>494</v>
      </c>
      <c r="B157" s="77" t="s">
        <v>923</v>
      </c>
      <c r="C157" s="76" t="s">
        <v>495</v>
      </c>
      <c r="D157" s="70"/>
      <c r="E157" s="70">
        <v>73</v>
      </c>
      <c r="F157" s="70">
        <v>0</v>
      </c>
      <c r="G157" s="69">
        <v>73</v>
      </c>
      <c r="H157" s="69">
        <v>0</v>
      </c>
    </row>
    <row r="158" spans="1:8" ht="16.5" customHeight="1">
      <c r="A158" s="76" t="s">
        <v>30</v>
      </c>
      <c r="B158" s="77" t="s">
        <v>923</v>
      </c>
      <c r="C158" s="76" t="s">
        <v>31</v>
      </c>
      <c r="D158" s="70"/>
      <c r="E158" s="70">
        <v>0</v>
      </c>
      <c r="F158" s="70">
        <v>64</v>
      </c>
      <c r="G158" s="69">
        <v>64</v>
      </c>
      <c r="H158" s="69">
        <v>0</v>
      </c>
    </row>
    <row r="159" spans="1:8" ht="16.5" customHeight="1">
      <c r="A159" s="76" t="s">
        <v>497</v>
      </c>
      <c r="B159" s="77" t="s">
        <v>923</v>
      </c>
      <c r="C159" s="76" t="s">
        <v>498</v>
      </c>
      <c r="D159" s="70"/>
      <c r="E159" s="70">
        <v>43</v>
      </c>
      <c r="F159" s="70">
        <v>0</v>
      </c>
      <c r="G159" s="69">
        <v>43</v>
      </c>
      <c r="H159" s="69">
        <v>0</v>
      </c>
    </row>
    <row r="160" spans="1:8" ht="16.5" customHeight="1">
      <c r="A160" s="76" t="s">
        <v>749</v>
      </c>
      <c r="B160" s="77" t="s">
        <v>923</v>
      </c>
      <c r="C160" s="76" t="s">
        <v>750</v>
      </c>
      <c r="D160" s="70"/>
      <c r="E160" s="70">
        <v>27</v>
      </c>
      <c r="F160" s="70">
        <v>0</v>
      </c>
      <c r="G160" s="69">
        <v>27</v>
      </c>
      <c r="H160" s="69">
        <v>0</v>
      </c>
    </row>
    <row r="161" spans="1:8" ht="16.5" customHeight="1">
      <c r="A161" s="76" t="s">
        <v>751</v>
      </c>
      <c r="B161" s="77" t="s">
        <v>923</v>
      </c>
      <c r="C161" s="76" t="s">
        <v>752</v>
      </c>
      <c r="D161" s="70"/>
      <c r="E161" s="70">
        <v>23</v>
      </c>
      <c r="F161" s="70">
        <v>0</v>
      </c>
      <c r="G161" s="69"/>
      <c r="H161" s="69">
        <v>23</v>
      </c>
    </row>
    <row r="162" spans="1:8" ht="16.5" customHeight="1">
      <c r="A162" s="76" t="s">
        <v>500</v>
      </c>
      <c r="B162" s="77" t="s">
        <v>923</v>
      </c>
      <c r="C162" s="76" t="s">
        <v>501</v>
      </c>
      <c r="D162" s="70"/>
      <c r="E162" s="70">
        <v>46</v>
      </c>
      <c r="F162" s="70">
        <v>0</v>
      </c>
      <c r="G162" s="69"/>
      <c r="H162" s="69">
        <v>46</v>
      </c>
    </row>
    <row r="163" spans="1:8" ht="16.5" customHeight="1">
      <c r="A163" s="76" t="s">
        <v>767</v>
      </c>
      <c r="B163" s="77" t="s">
        <v>923</v>
      </c>
      <c r="C163" s="76" t="s">
        <v>768</v>
      </c>
      <c r="D163" s="70"/>
      <c r="E163" s="70">
        <v>19</v>
      </c>
      <c r="F163" s="70">
        <v>0</v>
      </c>
      <c r="G163" s="69"/>
      <c r="H163" s="69">
        <v>19</v>
      </c>
    </row>
    <row r="164" spans="1:8" ht="16.5" customHeight="1">
      <c r="A164" s="76" t="s">
        <v>769</v>
      </c>
      <c r="B164" s="77" t="s">
        <v>923</v>
      </c>
      <c r="C164" s="76" t="s">
        <v>770</v>
      </c>
      <c r="D164" s="70"/>
      <c r="E164" s="70">
        <v>45</v>
      </c>
      <c r="F164" s="70">
        <v>0</v>
      </c>
      <c r="G164" s="69"/>
      <c r="H164" s="69">
        <v>45</v>
      </c>
    </row>
    <row r="165" spans="1:8" ht="16.5" customHeight="1">
      <c r="A165" s="76" t="s">
        <v>115</v>
      </c>
      <c r="B165" s="77" t="s">
        <v>923</v>
      </c>
      <c r="C165" s="76" t="s">
        <v>116</v>
      </c>
      <c r="D165" s="70"/>
      <c r="E165" s="70">
        <v>0</v>
      </c>
      <c r="F165" s="70">
        <v>47</v>
      </c>
      <c r="G165" s="69">
        <v>47</v>
      </c>
      <c r="H165" s="69">
        <v>0</v>
      </c>
    </row>
    <row r="166" spans="1:8" ht="16.5" customHeight="1">
      <c r="A166" s="76" t="s">
        <v>380</v>
      </c>
      <c r="B166" s="77" t="s">
        <v>923</v>
      </c>
      <c r="C166" s="76" t="s">
        <v>381</v>
      </c>
      <c r="D166" s="70"/>
      <c r="E166" s="70">
        <v>57</v>
      </c>
      <c r="F166" s="70">
        <v>0</v>
      </c>
      <c r="G166" s="69"/>
      <c r="H166" s="69">
        <v>57</v>
      </c>
    </row>
    <row r="167" spans="1:8" ht="16.5" customHeight="1">
      <c r="A167" s="76" t="s">
        <v>509</v>
      </c>
      <c r="B167" s="77" t="s">
        <v>923</v>
      </c>
      <c r="C167" s="76" t="s">
        <v>510</v>
      </c>
      <c r="D167" s="70"/>
      <c r="E167" s="70">
        <v>54</v>
      </c>
      <c r="F167" s="70">
        <v>0</v>
      </c>
      <c r="G167" s="69"/>
      <c r="H167" s="69">
        <v>54</v>
      </c>
    </row>
    <row r="168" spans="1:8" ht="16.5" customHeight="1">
      <c r="A168" s="76" t="s">
        <v>566</v>
      </c>
      <c r="B168" s="77" t="s">
        <v>923</v>
      </c>
      <c r="C168" s="76" t="s">
        <v>567</v>
      </c>
      <c r="D168" s="70"/>
      <c r="E168" s="70">
        <v>87</v>
      </c>
      <c r="F168" s="70">
        <v>0</v>
      </c>
      <c r="G168" s="69"/>
      <c r="H168" s="69">
        <v>87</v>
      </c>
    </row>
    <row r="169" spans="1:8" ht="16.5" customHeight="1">
      <c r="A169" s="76" t="s">
        <v>118</v>
      </c>
      <c r="B169" s="77" t="s">
        <v>923</v>
      </c>
      <c r="C169" s="76" t="s">
        <v>119</v>
      </c>
      <c r="D169" s="70"/>
      <c r="E169" s="70">
        <v>0</v>
      </c>
      <c r="F169" s="70">
        <v>58</v>
      </c>
      <c r="G169" s="69"/>
      <c r="H169" s="69">
        <v>58</v>
      </c>
    </row>
    <row r="170" spans="1:8" ht="16.5" customHeight="1">
      <c r="A170" s="76" t="s">
        <v>789</v>
      </c>
      <c r="B170" s="77" t="s">
        <v>923</v>
      </c>
      <c r="C170" s="76" t="s">
        <v>790</v>
      </c>
      <c r="D170" s="70"/>
      <c r="E170" s="70">
        <v>27</v>
      </c>
      <c r="F170" s="70">
        <v>0</v>
      </c>
      <c r="G170" s="69">
        <v>27</v>
      </c>
      <c r="H170" s="69">
        <v>0</v>
      </c>
    </row>
    <row r="171" spans="1:8" ht="16.5" customHeight="1">
      <c r="A171" s="76" t="s">
        <v>805</v>
      </c>
      <c r="B171" s="77" t="s">
        <v>923</v>
      </c>
      <c r="C171" s="76" t="s">
        <v>806</v>
      </c>
      <c r="D171" s="70"/>
      <c r="E171" s="70">
        <v>0</v>
      </c>
      <c r="F171" s="70">
        <v>49</v>
      </c>
      <c r="G171" s="69"/>
      <c r="H171" s="69">
        <v>49</v>
      </c>
    </row>
    <row r="172" spans="1:8" ht="16.5" customHeight="1">
      <c r="A172" s="76" t="s">
        <v>60</v>
      </c>
      <c r="B172" s="77" t="s">
        <v>923</v>
      </c>
      <c r="C172" s="76" t="s">
        <v>61</v>
      </c>
      <c r="D172" s="70"/>
      <c r="E172" s="70">
        <v>0</v>
      </c>
      <c r="F172" s="70">
        <v>46</v>
      </c>
      <c r="G172" s="69">
        <v>46</v>
      </c>
      <c r="H172" s="69">
        <v>0</v>
      </c>
    </row>
    <row r="173" spans="1:8" ht="16.5" customHeight="1">
      <c r="A173" s="76" t="s">
        <v>63</v>
      </c>
      <c r="B173" s="77" t="s">
        <v>923</v>
      </c>
      <c r="C173" s="76" t="s">
        <v>64</v>
      </c>
      <c r="D173" s="70"/>
      <c r="E173" s="70">
        <v>0</v>
      </c>
      <c r="F173" s="70">
        <v>50</v>
      </c>
      <c r="G173" s="69">
        <v>50</v>
      </c>
      <c r="H173" s="69">
        <v>0</v>
      </c>
    </row>
    <row r="174" spans="1:8" ht="16.5" customHeight="1">
      <c r="A174" s="76" t="s">
        <v>66</v>
      </c>
      <c r="B174" s="77" t="s">
        <v>923</v>
      </c>
      <c r="C174" s="76" t="s">
        <v>67</v>
      </c>
      <c r="D174" s="70"/>
      <c r="E174" s="70">
        <v>0</v>
      </c>
      <c r="F174" s="70">
        <v>47</v>
      </c>
      <c r="G174" s="69"/>
      <c r="H174" s="69">
        <v>47</v>
      </c>
    </row>
    <row r="175" spans="1:8" ht="16.5" customHeight="1">
      <c r="A175" s="76" t="s">
        <v>823</v>
      </c>
      <c r="B175" s="77" t="s">
        <v>923</v>
      </c>
      <c r="C175" s="76" t="s">
        <v>824</v>
      </c>
      <c r="D175" s="70"/>
      <c r="E175" s="70">
        <v>0</v>
      </c>
      <c r="F175" s="70">
        <v>60</v>
      </c>
      <c r="G175" s="69">
        <v>60</v>
      </c>
      <c r="H175" s="69">
        <v>0</v>
      </c>
    </row>
    <row r="176" spans="1:8" ht="16.5" customHeight="1">
      <c r="A176" s="76" t="s">
        <v>45</v>
      </c>
      <c r="B176" s="77" t="s">
        <v>923</v>
      </c>
      <c r="C176" s="76" t="s">
        <v>46</v>
      </c>
      <c r="D176" s="70"/>
      <c r="E176" s="70">
        <v>0</v>
      </c>
      <c r="F176" s="70">
        <v>68</v>
      </c>
      <c r="G176" s="69">
        <v>68</v>
      </c>
      <c r="H176" s="69">
        <v>0</v>
      </c>
    </row>
    <row r="177" spans="1:8" ht="16.5" customHeight="1">
      <c r="A177" s="76" t="s">
        <v>527</v>
      </c>
      <c r="B177" s="77" t="s">
        <v>923</v>
      </c>
      <c r="C177" s="76" t="s">
        <v>528</v>
      </c>
      <c r="D177" s="70"/>
      <c r="E177" s="70">
        <v>62</v>
      </c>
      <c r="F177" s="70">
        <v>0</v>
      </c>
      <c r="G177" s="69"/>
      <c r="H177" s="69">
        <v>62</v>
      </c>
    </row>
    <row r="178" spans="1:8" ht="16.5" customHeight="1">
      <c r="A178" s="76" t="s">
        <v>591</v>
      </c>
      <c r="B178" s="77" t="s">
        <v>940</v>
      </c>
      <c r="C178" s="76" t="s">
        <v>592</v>
      </c>
      <c r="D178" s="70"/>
      <c r="E178" s="70">
        <v>35</v>
      </c>
      <c r="F178" s="70">
        <v>0</v>
      </c>
      <c r="G178" s="69">
        <v>35</v>
      </c>
      <c r="H178" s="69">
        <v>0</v>
      </c>
    </row>
    <row r="179" spans="1:8" ht="16.5" customHeight="1">
      <c r="A179" s="76" t="s">
        <v>398</v>
      </c>
      <c r="B179" s="77" t="s">
        <v>940</v>
      </c>
      <c r="C179" s="76" t="s">
        <v>399</v>
      </c>
      <c r="D179" s="70"/>
      <c r="E179" s="70">
        <v>50</v>
      </c>
      <c r="F179" s="70">
        <v>0</v>
      </c>
      <c r="G179" s="69"/>
      <c r="H179" s="69">
        <v>50</v>
      </c>
    </row>
    <row r="180" spans="1:8" ht="16.5" customHeight="1">
      <c r="A180" s="76" t="s">
        <v>597</v>
      </c>
      <c r="B180" s="77" t="s">
        <v>940</v>
      </c>
      <c r="C180" s="76" t="s">
        <v>598</v>
      </c>
      <c r="D180" s="70"/>
      <c r="E180" s="70">
        <v>10</v>
      </c>
      <c r="F180" s="70">
        <v>0</v>
      </c>
      <c r="G180" s="69">
        <v>10</v>
      </c>
      <c r="H180" s="69">
        <v>0</v>
      </c>
    </row>
    <row r="181" spans="1:8" ht="16.5" customHeight="1">
      <c r="A181" s="76" t="s">
        <v>10</v>
      </c>
      <c r="B181" s="77" t="s">
        <v>940</v>
      </c>
      <c r="C181" s="76" t="s">
        <v>11</v>
      </c>
      <c r="D181" s="70"/>
      <c r="E181" s="70">
        <v>0</v>
      </c>
      <c r="F181" s="70">
        <v>58</v>
      </c>
      <c r="G181" s="69">
        <v>58</v>
      </c>
      <c r="H181" s="69">
        <v>0</v>
      </c>
    </row>
    <row r="182" spans="1:8" ht="16.5" customHeight="1">
      <c r="A182" s="76" t="s">
        <v>133</v>
      </c>
      <c r="B182" s="77" t="s">
        <v>940</v>
      </c>
      <c r="C182" s="76" t="s">
        <v>134</v>
      </c>
      <c r="D182" s="70"/>
      <c r="E182" s="70">
        <v>57</v>
      </c>
      <c r="F182" s="70">
        <v>0</v>
      </c>
      <c r="G182" s="69">
        <v>57</v>
      </c>
      <c r="H182" s="69">
        <v>0</v>
      </c>
    </row>
    <row r="183" spans="1:8" ht="16.5" customHeight="1">
      <c r="A183" s="76" t="s">
        <v>289</v>
      </c>
      <c r="B183" s="77" t="s">
        <v>940</v>
      </c>
      <c r="C183" s="76" t="s">
        <v>290</v>
      </c>
      <c r="D183" s="70"/>
      <c r="E183" s="70">
        <v>36</v>
      </c>
      <c r="F183" s="70">
        <v>0</v>
      </c>
      <c r="G183" s="69">
        <v>36</v>
      </c>
      <c r="H183" s="69">
        <v>0</v>
      </c>
    </row>
    <row r="184" spans="1:8" ht="16.5" customHeight="1">
      <c r="A184" s="76" t="s">
        <v>404</v>
      </c>
      <c r="B184" s="77" t="s">
        <v>940</v>
      </c>
      <c r="C184" s="76" t="s">
        <v>405</v>
      </c>
      <c r="D184" s="70"/>
      <c r="E184" s="70">
        <v>37</v>
      </c>
      <c r="F184" s="70">
        <v>0</v>
      </c>
      <c r="G184" s="69">
        <v>37</v>
      </c>
      <c r="H184" s="69">
        <v>0</v>
      </c>
    </row>
    <row r="185" spans="1:8" ht="16.5" customHeight="1">
      <c r="A185" s="76" t="s">
        <v>599</v>
      </c>
      <c r="B185" s="77" t="s">
        <v>940</v>
      </c>
      <c r="C185" s="76" t="s">
        <v>600</v>
      </c>
      <c r="D185" s="70"/>
      <c r="E185" s="70">
        <v>10</v>
      </c>
      <c r="F185" s="70">
        <v>0</v>
      </c>
      <c r="G185" s="69">
        <v>10</v>
      </c>
      <c r="H185" s="69">
        <v>0</v>
      </c>
    </row>
    <row r="186" spans="1:8" ht="16.5" customHeight="1">
      <c r="A186" s="76" t="s">
        <v>613</v>
      </c>
      <c r="B186" s="77" t="s">
        <v>940</v>
      </c>
      <c r="C186" s="76" t="s">
        <v>614</v>
      </c>
      <c r="D186" s="70"/>
      <c r="E186" s="70">
        <v>43</v>
      </c>
      <c r="F186" s="70">
        <v>0</v>
      </c>
      <c r="G186" s="69">
        <v>43</v>
      </c>
      <c r="H186" s="69">
        <v>0</v>
      </c>
    </row>
    <row r="187" spans="1:8" ht="16.5" customHeight="1">
      <c r="A187" s="76" t="s">
        <v>15</v>
      </c>
      <c r="B187" s="77" t="s">
        <v>940</v>
      </c>
      <c r="C187" s="76" t="s">
        <v>16</v>
      </c>
      <c r="D187" s="70"/>
      <c r="E187" s="70">
        <v>0</v>
      </c>
      <c r="F187" s="70">
        <v>91</v>
      </c>
      <c r="G187" s="69"/>
      <c r="H187" s="69">
        <v>91</v>
      </c>
    </row>
    <row r="188" spans="1:8" ht="16.5" customHeight="1">
      <c r="A188" s="76" t="s">
        <v>298</v>
      </c>
      <c r="B188" s="77" t="s">
        <v>940</v>
      </c>
      <c r="C188" s="76" t="s">
        <v>299</v>
      </c>
      <c r="D188" s="70"/>
      <c r="E188" s="70">
        <v>41</v>
      </c>
      <c r="F188" s="70">
        <v>0</v>
      </c>
      <c r="G188" s="69">
        <v>41</v>
      </c>
      <c r="H188" s="69">
        <v>0</v>
      </c>
    </row>
    <row r="189" spans="1:8" ht="16.5" customHeight="1">
      <c r="A189" s="76" t="s">
        <v>416</v>
      </c>
      <c r="B189" s="77" t="s">
        <v>940</v>
      </c>
      <c r="C189" s="76" t="s">
        <v>417</v>
      </c>
      <c r="D189" s="70"/>
      <c r="E189" s="70">
        <v>37</v>
      </c>
      <c r="F189" s="70">
        <v>0</v>
      </c>
      <c r="G189" s="69"/>
      <c r="H189" s="69">
        <v>37</v>
      </c>
    </row>
    <row r="190" spans="1:8" ht="16.5" customHeight="1">
      <c r="A190" s="76" t="s">
        <v>419</v>
      </c>
      <c r="B190" s="77" t="s">
        <v>940</v>
      </c>
      <c r="C190" s="76" t="s">
        <v>420</v>
      </c>
      <c r="D190" s="70"/>
      <c r="E190" s="70">
        <v>29</v>
      </c>
      <c r="F190" s="70">
        <v>0</v>
      </c>
      <c r="G190" s="69">
        <v>29</v>
      </c>
      <c r="H190" s="69">
        <v>0</v>
      </c>
    </row>
    <row r="191" spans="1:8" ht="16.5" customHeight="1">
      <c r="A191" s="76" t="s">
        <v>93</v>
      </c>
      <c r="B191" s="77" t="s">
        <v>940</v>
      </c>
      <c r="C191" s="76" t="s">
        <v>94</v>
      </c>
      <c r="D191" s="70"/>
      <c r="E191" s="70">
        <v>0</v>
      </c>
      <c r="F191" s="70">
        <v>51</v>
      </c>
      <c r="G191" s="69">
        <v>51</v>
      </c>
      <c r="H191" s="69">
        <v>0</v>
      </c>
    </row>
    <row r="192" spans="1:8" ht="16.5" customHeight="1">
      <c r="A192" s="76" t="s">
        <v>621</v>
      </c>
      <c r="B192" s="77" t="s">
        <v>940</v>
      </c>
      <c r="C192" s="76" t="s">
        <v>622</v>
      </c>
      <c r="D192" s="70"/>
      <c r="E192" s="70">
        <v>54</v>
      </c>
      <c r="F192" s="70">
        <v>0</v>
      </c>
      <c r="G192" s="69">
        <v>54</v>
      </c>
      <c r="H192" s="69">
        <v>0</v>
      </c>
    </row>
    <row r="193" spans="1:8" ht="16.5" customHeight="1">
      <c r="A193" s="76" t="s">
        <v>428</v>
      </c>
      <c r="B193" s="77" t="s">
        <v>940</v>
      </c>
      <c r="C193" s="76" t="s">
        <v>429</v>
      </c>
      <c r="D193" s="70"/>
      <c r="E193" s="70">
        <v>59</v>
      </c>
      <c r="F193" s="70">
        <v>0</v>
      </c>
      <c r="G193" s="69"/>
      <c r="H193" s="69">
        <v>59</v>
      </c>
    </row>
    <row r="194" spans="1:8" ht="16.5" customHeight="1">
      <c r="A194" s="76" t="s">
        <v>434</v>
      </c>
      <c r="B194" s="77" t="s">
        <v>940</v>
      </c>
      <c r="C194" s="76" t="s">
        <v>435</v>
      </c>
      <c r="D194" s="70"/>
      <c r="E194" s="70">
        <v>31</v>
      </c>
      <c r="F194" s="70">
        <v>0</v>
      </c>
      <c r="G194" s="69">
        <v>31</v>
      </c>
      <c r="H194" s="69">
        <v>0</v>
      </c>
    </row>
    <row r="195" spans="1:8" ht="16.5" customHeight="1">
      <c r="A195" s="76" t="s">
        <v>551</v>
      </c>
      <c r="B195" s="77" t="s">
        <v>940</v>
      </c>
      <c r="C195" s="76" t="s">
        <v>552</v>
      </c>
      <c r="D195" s="70"/>
      <c r="E195" s="70">
        <v>34</v>
      </c>
      <c r="F195" s="70">
        <v>0</v>
      </c>
      <c r="G195" s="69">
        <v>34</v>
      </c>
      <c r="H195" s="69">
        <v>0</v>
      </c>
    </row>
    <row r="196" spans="1:8" ht="16.5" customHeight="1">
      <c r="A196" s="76" t="s">
        <v>641</v>
      </c>
      <c r="B196" s="77" t="s">
        <v>940</v>
      </c>
      <c r="C196" s="76" t="s">
        <v>642</v>
      </c>
      <c r="D196" s="70"/>
      <c r="E196" s="70">
        <v>94</v>
      </c>
      <c r="F196" s="70">
        <v>0</v>
      </c>
      <c r="G196" s="69"/>
      <c r="H196" s="69">
        <v>94</v>
      </c>
    </row>
    <row r="197" spans="1:8" ht="16.5" customHeight="1">
      <c r="A197" s="76" t="s">
        <v>130</v>
      </c>
      <c r="B197" s="77" t="s">
        <v>940</v>
      </c>
      <c r="C197" s="76" t="s">
        <v>131</v>
      </c>
      <c r="D197" s="70"/>
      <c r="E197" s="70">
        <v>0</v>
      </c>
      <c r="F197" s="70">
        <v>58</v>
      </c>
      <c r="G197" s="69">
        <v>58</v>
      </c>
      <c r="H197" s="69">
        <v>0</v>
      </c>
    </row>
    <row r="198" spans="1:8" ht="16.5" customHeight="1">
      <c r="A198" s="76" t="s">
        <v>323</v>
      </c>
      <c r="B198" s="77" t="s">
        <v>940</v>
      </c>
      <c r="C198" s="76" t="s">
        <v>324</v>
      </c>
      <c r="D198" s="70"/>
      <c r="E198" s="70">
        <v>40</v>
      </c>
      <c r="F198" s="70">
        <v>0</v>
      </c>
      <c r="G198" s="69">
        <v>40</v>
      </c>
      <c r="H198" s="69">
        <v>0</v>
      </c>
    </row>
    <row r="199" spans="1:8" ht="16.5" customHeight="1">
      <c r="A199" s="76" t="s">
        <v>649</v>
      </c>
      <c r="B199" s="77" t="s">
        <v>940</v>
      </c>
      <c r="C199" s="76" t="s">
        <v>650</v>
      </c>
      <c r="D199" s="70"/>
      <c r="E199" s="70">
        <v>51</v>
      </c>
      <c r="F199" s="70">
        <v>0</v>
      </c>
      <c r="G199" s="69">
        <v>51</v>
      </c>
      <c r="H199" s="69">
        <v>0</v>
      </c>
    </row>
    <row r="200" spans="1:8" ht="16.5" customHeight="1">
      <c r="A200" s="76" t="s">
        <v>326</v>
      </c>
      <c r="B200" s="77" t="s">
        <v>940</v>
      </c>
      <c r="C200" s="76" t="s">
        <v>327</v>
      </c>
      <c r="D200" s="70"/>
      <c r="E200" s="70">
        <v>46</v>
      </c>
      <c r="F200" s="70">
        <v>0</v>
      </c>
      <c r="G200" s="69">
        <v>46</v>
      </c>
      <c r="H200" s="69">
        <v>0</v>
      </c>
    </row>
    <row r="201" spans="1:8" ht="16.5" customHeight="1">
      <c r="A201" s="76" t="s">
        <v>437</v>
      </c>
      <c r="B201" s="77" t="s">
        <v>940</v>
      </c>
      <c r="C201" s="76" t="s">
        <v>438</v>
      </c>
      <c r="D201" s="70"/>
      <c r="E201" s="70">
        <v>65</v>
      </c>
      <c r="F201" s="70">
        <v>0</v>
      </c>
      <c r="G201" s="69"/>
      <c r="H201" s="69">
        <v>65</v>
      </c>
    </row>
    <row r="202" spans="1:8" ht="16.5" customHeight="1">
      <c r="A202" s="76" t="s">
        <v>575</v>
      </c>
      <c r="B202" s="77" t="s">
        <v>940</v>
      </c>
      <c r="C202" s="76" t="s">
        <v>576</v>
      </c>
      <c r="D202" s="70"/>
      <c r="E202" s="70">
        <v>12</v>
      </c>
      <c r="F202" s="70">
        <v>0</v>
      </c>
      <c r="G202" s="69">
        <v>12</v>
      </c>
      <c r="H202" s="69">
        <v>0</v>
      </c>
    </row>
    <row r="203" spans="1:8" ht="16.5" customHeight="1">
      <c r="A203" s="76" t="s">
        <v>651</v>
      </c>
      <c r="B203" s="77" t="s">
        <v>940</v>
      </c>
      <c r="C203" s="76" t="s">
        <v>652</v>
      </c>
      <c r="D203" s="70"/>
      <c r="E203" s="70">
        <v>29</v>
      </c>
      <c r="F203" s="70">
        <v>0</v>
      </c>
      <c r="G203" s="69">
        <v>29</v>
      </c>
      <c r="H203" s="69">
        <v>0</v>
      </c>
    </row>
    <row r="204" spans="1:8" ht="16.5" customHeight="1">
      <c r="A204" s="76" t="s">
        <v>341</v>
      </c>
      <c r="B204" s="77" t="s">
        <v>940</v>
      </c>
      <c r="C204" s="76" t="s">
        <v>342</v>
      </c>
      <c r="D204" s="70"/>
      <c r="E204" s="70">
        <v>38</v>
      </c>
      <c r="F204" s="70">
        <v>0</v>
      </c>
      <c r="G204" s="69"/>
      <c r="H204" s="69">
        <v>38</v>
      </c>
    </row>
    <row r="205" spans="1:8" ht="16.5" customHeight="1">
      <c r="A205" s="76" t="s">
        <v>109</v>
      </c>
      <c r="B205" s="77" t="s">
        <v>940</v>
      </c>
      <c r="C205" s="76" t="s">
        <v>110</v>
      </c>
      <c r="D205" s="70"/>
      <c r="E205" s="70">
        <v>0</v>
      </c>
      <c r="F205" s="70">
        <v>45</v>
      </c>
      <c r="G205" s="69"/>
      <c r="H205" s="69">
        <v>45</v>
      </c>
    </row>
    <row r="206" spans="1:8" ht="16.5" customHeight="1">
      <c r="A206" s="76" t="s">
        <v>449</v>
      </c>
      <c r="B206" s="77" t="s">
        <v>940</v>
      </c>
      <c r="C206" s="76" t="s">
        <v>450</v>
      </c>
      <c r="D206" s="70"/>
      <c r="E206" s="70">
        <v>68</v>
      </c>
      <c r="F206" s="70">
        <v>0</v>
      </c>
      <c r="G206" s="69">
        <v>68</v>
      </c>
      <c r="H206" s="69">
        <v>0</v>
      </c>
    </row>
    <row r="207" spans="1:8" ht="16.5" customHeight="1">
      <c r="A207" s="76" t="s">
        <v>452</v>
      </c>
      <c r="B207" s="77" t="s">
        <v>940</v>
      </c>
      <c r="C207" s="76" t="s">
        <v>453</v>
      </c>
      <c r="D207" s="70"/>
      <c r="E207" s="70">
        <v>52</v>
      </c>
      <c r="F207" s="70">
        <v>0</v>
      </c>
      <c r="G207" s="69">
        <v>52</v>
      </c>
      <c r="H207" s="69">
        <v>0</v>
      </c>
    </row>
    <row r="208" spans="1:8" ht="16.5" customHeight="1">
      <c r="A208" s="76" t="s">
        <v>572</v>
      </c>
      <c r="B208" s="77" t="s">
        <v>940</v>
      </c>
      <c r="C208" s="76" t="s">
        <v>573</v>
      </c>
      <c r="D208" s="70"/>
      <c r="E208" s="70">
        <v>46</v>
      </c>
      <c r="F208" s="70">
        <v>0</v>
      </c>
      <c r="G208" s="69">
        <v>46</v>
      </c>
      <c r="H208" s="69">
        <v>0</v>
      </c>
    </row>
    <row r="209" spans="1:8" ht="16.5" customHeight="1">
      <c r="A209" s="76" t="s">
        <v>533</v>
      </c>
      <c r="B209" s="77" t="s">
        <v>940</v>
      </c>
      <c r="C209" s="76" t="s">
        <v>534</v>
      </c>
      <c r="D209" s="70"/>
      <c r="E209" s="70">
        <v>45</v>
      </c>
      <c r="F209" s="70">
        <v>0</v>
      </c>
      <c r="G209" s="69">
        <v>45</v>
      </c>
      <c r="H209" s="69">
        <v>0</v>
      </c>
    </row>
    <row r="210" spans="1:8" ht="16.5" customHeight="1">
      <c r="A210" s="76" t="s">
        <v>536</v>
      </c>
      <c r="B210" s="77" t="s">
        <v>940</v>
      </c>
      <c r="C210" s="76" t="s">
        <v>537</v>
      </c>
      <c r="D210" s="70"/>
      <c r="E210" s="70">
        <v>56</v>
      </c>
      <c r="F210" s="70">
        <v>0</v>
      </c>
      <c r="G210" s="69">
        <v>56</v>
      </c>
      <c r="H210" s="69">
        <v>0</v>
      </c>
    </row>
    <row r="211" spans="1:8" ht="16.5" customHeight="1">
      <c r="A211" s="76" t="s">
        <v>467</v>
      </c>
      <c r="B211" s="77" t="s">
        <v>940</v>
      </c>
      <c r="C211" s="76" t="s">
        <v>468</v>
      </c>
      <c r="D211" s="70"/>
      <c r="E211" s="70">
        <v>55</v>
      </c>
      <c r="F211" s="70">
        <v>0</v>
      </c>
      <c r="G211" s="69">
        <v>55</v>
      </c>
      <c r="H211" s="69">
        <v>0</v>
      </c>
    </row>
    <row r="212" spans="1:8" ht="16.5" customHeight="1">
      <c r="A212" s="76" t="s">
        <v>545</v>
      </c>
      <c r="B212" s="77" t="s">
        <v>940</v>
      </c>
      <c r="C212" s="76" t="s">
        <v>546</v>
      </c>
      <c r="D212" s="70"/>
      <c r="E212" s="70">
        <v>42</v>
      </c>
      <c r="F212" s="70">
        <v>0</v>
      </c>
      <c r="G212" s="69">
        <v>42</v>
      </c>
      <c r="H212" s="69">
        <v>0</v>
      </c>
    </row>
    <row r="213" spans="1:8" ht="16.5" customHeight="1">
      <c r="A213" s="76" t="s">
        <v>470</v>
      </c>
      <c r="B213" s="77" t="s">
        <v>940</v>
      </c>
      <c r="C213" s="76" t="s">
        <v>471</v>
      </c>
      <c r="D213" s="70"/>
      <c r="E213" s="70">
        <v>39</v>
      </c>
      <c r="F213" s="70">
        <v>0</v>
      </c>
      <c r="G213" s="69"/>
      <c r="H213" s="69">
        <v>39</v>
      </c>
    </row>
    <row r="214" spans="1:8" ht="16.5" customHeight="1">
      <c r="A214" s="76" t="s">
        <v>554</v>
      </c>
      <c r="B214" s="77" t="s">
        <v>940</v>
      </c>
      <c r="C214" s="76" t="s">
        <v>555</v>
      </c>
      <c r="D214" s="70"/>
      <c r="E214" s="70">
        <v>30</v>
      </c>
      <c r="F214" s="70">
        <v>0</v>
      </c>
      <c r="G214" s="69">
        <v>30</v>
      </c>
      <c r="H214" s="69">
        <v>0</v>
      </c>
    </row>
    <row r="215" spans="1:8" ht="16.5" customHeight="1">
      <c r="A215" s="76" t="s">
        <v>693</v>
      </c>
      <c r="B215" s="77" t="s">
        <v>940</v>
      </c>
      <c r="C215" s="76" t="s">
        <v>694</v>
      </c>
      <c r="D215" s="70"/>
      <c r="E215" s="70">
        <v>51</v>
      </c>
      <c r="F215" s="70">
        <v>0</v>
      </c>
      <c r="G215" s="69"/>
      <c r="H215" s="69">
        <v>51</v>
      </c>
    </row>
    <row r="216" spans="1:8" ht="16.5" customHeight="1">
      <c r="A216" s="76" t="s">
        <v>709</v>
      </c>
      <c r="B216" s="77" t="s">
        <v>940</v>
      </c>
      <c r="C216" s="76" t="s">
        <v>710</v>
      </c>
      <c r="D216" s="70"/>
      <c r="E216" s="70">
        <v>0</v>
      </c>
      <c r="F216" s="70">
        <v>28</v>
      </c>
      <c r="G216" s="69"/>
      <c r="H216" s="69">
        <v>28</v>
      </c>
    </row>
    <row r="217" spans="1:8" ht="16.5" customHeight="1">
      <c r="A217" s="76" t="s">
        <v>711</v>
      </c>
      <c r="B217" s="77" t="s">
        <v>940</v>
      </c>
      <c r="C217" s="76" t="s">
        <v>712</v>
      </c>
      <c r="D217" s="70"/>
      <c r="E217" s="70">
        <v>41</v>
      </c>
      <c r="F217" s="70">
        <v>0</v>
      </c>
      <c r="G217" s="69">
        <v>41</v>
      </c>
      <c r="H217" s="69">
        <v>0</v>
      </c>
    </row>
    <row r="218" spans="1:8" ht="16.5" customHeight="1">
      <c r="A218" s="76" t="s">
        <v>485</v>
      </c>
      <c r="B218" s="77" t="s">
        <v>940</v>
      </c>
      <c r="C218" s="76" t="s">
        <v>486</v>
      </c>
      <c r="D218" s="70"/>
      <c r="E218" s="70">
        <v>51</v>
      </c>
      <c r="F218" s="70">
        <v>0</v>
      </c>
      <c r="G218" s="69">
        <v>51</v>
      </c>
      <c r="H218" s="69">
        <v>0</v>
      </c>
    </row>
    <row r="219" spans="1:8" ht="16.5" customHeight="1">
      <c r="A219" s="76" t="s">
        <v>488</v>
      </c>
      <c r="B219" s="77" t="s">
        <v>940</v>
      </c>
      <c r="C219" s="76" t="s">
        <v>489</v>
      </c>
      <c r="D219" s="70"/>
      <c r="E219" s="70">
        <v>25</v>
      </c>
      <c r="F219" s="70">
        <v>0</v>
      </c>
      <c r="G219" s="69">
        <v>25</v>
      </c>
      <c r="H219" s="69">
        <v>0</v>
      </c>
    </row>
    <row r="220" spans="1:8" ht="16.5" customHeight="1">
      <c r="A220" s="76" t="s">
        <v>717</v>
      </c>
      <c r="B220" s="77" t="s">
        <v>940</v>
      </c>
      <c r="C220" s="76" t="s">
        <v>718</v>
      </c>
      <c r="D220" s="70"/>
      <c r="E220" s="70">
        <v>18</v>
      </c>
      <c r="F220" s="70">
        <v>0</v>
      </c>
      <c r="G220" s="69">
        <v>18</v>
      </c>
      <c r="H220" s="69">
        <v>0</v>
      </c>
    </row>
    <row r="221" spans="1:8" ht="16.5" customHeight="1">
      <c r="A221" s="76" t="s">
        <v>365</v>
      </c>
      <c r="B221" s="77" t="s">
        <v>940</v>
      </c>
      <c r="C221" s="76" t="s">
        <v>366</v>
      </c>
      <c r="D221" s="70"/>
      <c r="E221" s="70">
        <v>35</v>
      </c>
      <c r="F221" s="70">
        <v>0</v>
      </c>
      <c r="G221" s="69"/>
      <c r="H221" s="69">
        <v>35</v>
      </c>
    </row>
    <row r="222" spans="1:8" ht="16.5" customHeight="1">
      <c r="A222" s="76" t="s">
        <v>725</v>
      </c>
      <c r="B222" s="77" t="s">
        <v>940</v>
      </c>
      <c r="C222" s="76" t="s">
        <v>726</v>
      </c>
      <c r="D222" s="70"/>
      <c r="E222" s="70">
        <v>40</v>
      </c>
      <c r="F222" s="70">
        <v>0</v>
      </c>
      <c r="G222" s="69"/>
      <c r="H222" s="69">
        <v>40</v>
      </c>
    </row>
    <row r="223" spans="1:8" ht="16.5" customHeight="1">
      <c r="A223" s="76" t="s">
        <v>51</v>
      </c>
      <c r="B223" s="77" t="s">
        <v>940</v>
      </c>
      <c r="C223" s="76" t="s">
        <v>52</v>
      </c>
      <c r="D223" s="70"/>
      <c r="E223" s="70">
        <v>0</v>
      </c>
      <c r="F223" s="70">
        <v>63</v>
      </c>
      <c r="G223" s="69">
        <v>63</v>
      </c>
      <c r="H223" s="69">
        <v>0</v>
      </c>
    </row>
    <row r="224" spans="1:8" ht="16.5" customHeight="1">
      <c r="A224" s="76" t="s">
        <v>368</v>
      </c>
      <c r="B224" s="77" t="s">
        <v>940</v>
      </c>
      <c r="C224" s="76" t="s">
        <v>369</v>
      </c>
      <c r="D224" s="70"/>
      <c r="E224" s="70">
        <v>49</v>
      </c>
      <c r="F224" s="70">
        <v>0</v>
      </c>
      <c r="G224" s="69">
        <v>49</v>
      </c>
      <c r="H224" s="69">
        <v>0</v>
      </c>
    </row>
    <row r="225" spans="1:8" ht="16.5" customHeight="1">
      <c r="A225" s="76" t="s">
        <v>737</v>
      </c>
      <c r="B225" s="77" t="s">
        <v>940</v>
      </c>
      <c r="C225" s="76" t="s">
        <v>738</v>
      </c>
      <c r="D225" s="70"/>
      <c r="E225" s="70">
        <v>0</v>
      </c>
      <c r="F225" s="70">
        <v>54</v>
      </c>
      <c r="G225" s="69">
        <v>54</v>
      </c>
      <c r="H225" s="69">
        <v>0</v>
      </c>
    </row>
    <row r="226" spans="1:8" ht="16.5" customHeight="1">
      <c r="A226" s="76" t="s">
        <v>739</v>
      </c>
      <c r="B226" s="77" t="s">
        <v>940</v>
      </c>
      <c r="C226" s="76" t="s">
        <v>740</v>
      </c>
      <c r="D226" s="70"/>
      <c r="E226" s="70">
        <v>57</v>
      </c>
      <c r="F226" s="70">
        <v>0</v>
      </c>
      <c r="G226" s="69">
        <v>57</v>
      </c>
      <c r="H226" s="69">
        <v>0</v>
      </c>
    </row>
    <row r="227" spans="1:8" ht="16.5" customHeight="1">
      <c r="A227" s="76" t="s">
        <v>747</v>
      </c>
      <c r="B227" s="77" t="s">
        <v>940</v>
      </c>
      <c r="C227" s="76" t="s">
        <v>748</v>
      </c>
      <c r="D227" s="70"/>
      <c r="E227" s="70">
        <v>48</v>
      </c>
      <c r="F227" s="70">
        <v>0</v>
      </c>
      <c r="G227" s="69">
        <v>48</v>
      </c>
      <c r="H227" s="69">
        <v>0</v>
      </c>
    </row>
    <row r="228" spans="1:8" ht="16.5" customHeight="1">
      <c r="A228" s="76" t="s">
        <v>539</v>
      </c>
      <c r="B228" s="77" t="s">
        <v>940</v>
      </c>
      <c r="C228" s="76" t="s">
        <v>540</v>
      </c>
      <c r="D228" s="70"/>
      <c r="E228" s="70">
        <v>33</v>
      </c>
      <c r="F228" s="70">
        <v>0</v>
      </c>
      <c r="G228" s="69">
        <v>33</v>
      </c>
      <c r="H228" s="69">
        <v>0</v>
      </c>
    </row>
    <row r="229" spans="1:8" ht="16.5" customHeight="1">
      <c r="A229" s="76" t="s">
        <v>569</v>
      </c>
      <c r="B229" s="77" t="s">
        <v>940</v>
      </c>
      <c r="C229" s="76" t="s">
        <v>570</v>
      </c>
      <c r="D229" s="70"/>
      <c r="E229" s="70">
        <v>30</v>
      </c>
      <c r="F229" s="70">
        <v>0</v>
      </c>
      <c r="G229" s="69"/>
      <c r="H229" s="69">
        <v>30</v>
      </c>
    </row>
    <row r="230" spans="1:8" ht="16.5" customHeight="1">
      <c r="A230" s="76" t="s">
        <v>759</v>
      </c>
      <c r="B230" s="77" t="s">
        <v>940</v>
      </c>
      <c r="C230" s="76" t="s">
        <v>760</v>
      </c>
      <c r="D230" s="70"/>
      <c r="E230" s="70">
        <v>23</v>
      </c>
      <c r="F230" s="70">
        <v>0</v>
      </c>
      <c r="G230" s="69">
        <v>23</v>
      </c>
      <c r="H230" s="69">
        <v>0</v>
      </c>
    </row>
    <row r="231" spans="1:8" ht="16.5" customHeight="1">
      <c r="A231" s="76" t="s">
        <v>761</v>
      </c>
      <c r="B231" s="77" t="s">
        <v>940</v>
      </c>
      <c r="C231" s="76" t="s">
        <v>762</v>
      </c>
      <c r="D231" s="70"/>
      <c r="E231" s="70">
        <v>20</v>
      </c>
      <c r="F231" s="70">
        <v>0</v>
      </c>
      <c r="G231" s="69"/>
      <c r="H231" s="69">
        <v>20</v>
      </c>
    </row>
    <row r="232" spans="1:8" ht="16.5" customHeight="1">
      <c r="A232" s="76" t="s">
        <v>371</v>
      </c>
      <c r="B232" s="77" t="s">
        <v>940</v>
      </c>
      <c r="C232" s="76" t="s">
        <v>372</v>
      </c>
      <c r="D232" s="70"/>
      <c r="E232" s="70">
        <v>40</v>
      </c>
      <c r="F232" s="70">
        <v>0</v>
      </c>
      <c r="G232" s="69">
        <v>40</v>
      </c>
      <c r="H232" s="69">
        <v>0</v>
      </c>
    </row>
    <row r="233" spans="1:8" ht="16.5" customHeight="1">
      <c r="A233" s="76" t="s">
        <v>763</v>
      </c>
      <c r="B233" s="77" t="s">
        <v>940</v>
      </c>
      <c r="C233" s="76" t="s">
        <v>764</v>
      </c>
      <c r="D233" s="70"/>
      <c r="E233" s="70">
        <v>26</v>
      </c>
      <c r="F233" s="70">
        <v>0</v>
      </c>
      <c r="G233" s="69"/>
      <c r="H233" s="69">
        <v>26</v>
      </c>
    </row>
    <row r="234" spans="1:8" ht="16.5" customHeight="1">
      <c r="A234" s="76" t="s">
        <v>96</v>
      </c>
      <c r="B234" s="77" t="s">
        <v>940</v>
      </c>
      <c r="C234" s="76" t="s">
        <v>97</v>
      </c>
      <c r="D234" s="70"/>
      <c r="E234" s="70">
        <v>0</v>
      </c>
      <c r="F234" s="70">
        <v>53</v>
      </c>
      <c r="G234" s="69">
        <v>53</v>
      </c>
      <c r="H234" s="69">
        <v>0</v>
      </c>
    </row>
    <row r="235" spans="1:8" ht="16.5" customHeight="1">
      <c r="A235" s="76" t="s">
        <v>374</v>
      </c>
      <c r="B235" s="77" t="s">
        <v>940</v>
      </c>
      <c r="C235" s="76" t="s">
        <v>375</v>
      </c>
      <c r="D235" s="70"/>
      <c r="E235" s="70">
        <v>43</v>
      </c>
      <c r="F235" s="70">
        <v>0</v>
      </c>
      <c r="G235" s="69">
        <v>43</v>
      </c>
      <c r="H235" s="69">
        <v>0</v>
      </c>
    </row>
    <row r="236" spans="1:8" ht="16.5" customHeight="1">
      <c r="A236" s="76" t="s">
        <v>503</v>
      </c>
      <c r="B236" s="77" t="s">
        <v>940</v>
      </c>
      <c r="C236" s="76" t="s">
        <v>504</v>
      </c>
      <c r="D236" s="70"/>
      <c r="E236" s="70">
        <v>52</v>
      </c>
      <c r="F236" s="70">
        <v>0</v>
      </c>
      <c r="G236" s="69">
        <v>52</v>
      </c>
      <c r="H236" s="69">
        <v>0</v>
      </c>
    </row>
    <row r="237" spans="1:8" ht="16.5" customHeight="1">
      <c r="A237" s="76" t="s">
        <v>765</v>
      </c>
      <c r="B237" s="77" t="s">
        <v>940</v>
      </c>
      <c r="C237" s="76" t="s">
        <v>766</v>
      </c>
      <c r="D237" s="70"/>
      <c r="E237" s="70">
        <v>0</v>
      </c>
      <c r="F237" s="70">
        <v>69</v>
      </c>
      <c r="G237" s="69">
        <v>69</v>
      </c>
      <c r="H237" s="69">
        <v>0</v>
      </c>
    </row>
    <row r="238" spans="1:8" ht="16.5" customHeight="1">
      <c r="A238" s="76" t="s">
        <v>560</v>
      </c>
      <c r="B238" s="77" t="s">
        <v>940</v>
      </c>
      <c r="C238" s="76" t="s">
        <v>561</v>
      </c>
      <c r="D238" s="70"/>
      <c r="E238" s="70">
        <v>49</v>
      </c>
      <c r="F238" s="70">
        <v>0</v>
      </c>
      <c r="G238" s="69"/>
      <c r="H238" s="69">
        <v>49</v>
      </c>
    </row>
    <row r="239" spans="1:8" ht="16.5" customHeight="1">
      <c r="A239" s="76" t="s">
        <v>100</v>
      </c>
      <c r="B239" s="77" t="s">
        <v>940</v>
      </c>
      <c r="C239" s="76" t="s">
        <v>101</v>
      </c>
      <c r="D239" s="70"/>
      <c r="E239" s="70">
        <v>0</v>
      </c>
      <c r="F239" s="70">
        <v>60</v>
      </c>
      <c r="G239" s="69">
        <v>60</v>
      </c>
      <c r="H239" s="69">
        <v>0</v>
      </c>
    </row>
    <row r="240" spans="1:8" ht="16.5" customHeight="1">
      <c r="A240" s="76" t="s">
        <v>777</v>
      </c>
      <c r="B240" s="77" t="s">
        <v>940</v>
      </c>
      <c r="C240" s="76" t="s">
        <v>778</v>
      </c>
      <c r="D240" s="70"/>
      <c r="E240" s="70">
        <v>52</v>
      </c>
      <c r="F240" s="70">
        <v>0</v>
      </c>
      <c r="G240" s="69"/>
      <c r="H240" s="69">
        <v>52</v>
      </c>
    </row>
    <row r="241" spans="1:8" ht="16.5" customHeight="1">
      <c r="A241" s="76" t="s">
        <v>506</v>
      </c>
      <c r="B241" s="77" t="s">
        <v>940</v>
      </c>
      <c r="C241" s="76" t="s">
        <v>507</v>
      </c>
      <c r="D241" s="70"/>
      <c r="E241" s="70">
        <v>52</v>
      </c>
      <c r="F241" s="70">
        <v>0</v>
      </c>
      <c r="G241" s="69">
        <v>52</v>
      </c>
      <c r="H241" s="69">
        <v>0</v>
      </c>
    </row>
    <row r="242" spans="1:8" ht="16.5" customHeight="1">
      <c r="A242" s="76" t="s">
        <v>33</v>
      </c>
      <c r="B242" s="77" t="s">
        <v>940</v>
      </c>
      <c r="C242" s="76" t="s">
        <v>34</v>
      </c>
      <c r="D242" s="70"/>
      <c r="E242" s="70">
        <v>0</v>
      </c>
      <c r="F242" s="70">
        <v>14</v>
      </c>
      <c r="G242" s="69">
        <v>14</v>
      </c>
      <c r="H242" s="69">
        <v>0</v>
      </c>
    </row>
    <row r="243" spans="1:8" ht="16.5" customHeight="1">
      <c r="A243" s="76" t="s">
        <v>377</v>
      </c>
      <c r="B243" s="77" t="s">
        <v>940</v>
      </c>
      <c r="C243" s="76" t="s">
        <v>378</v>
      </c>
      <c r="D243" s="70"/>
      <c r="E243" s="70">
        <v>4</v>
      </c>
      <c r="F243" s="70">
        <v>0</v>
      </c>
      <c r="G243" s="69">
        <v>4</v>
      </c>
      <c r="H243" s="69">
        <v>0</v>
      </c>
    </row>
    <row r="244" spans="1:8" ht="16.5" customHeight="1">
      <c r="A244" s="76" t="s">
        <v>383</v>
      </c>
      <c r="B244" s="77" t="s">
        <v>940</v>
      </c>
      <c r="C244" s="76" t="s">
        <v>384</v>
      </c>
      <c r="D244" s="70"/>
      <c r="E244" s="70">
        <v>34</v>
      </c>
      <c r="F244" s="70">
        <v>0</v>
      </c>
      <c r="G244" s="69">
        <v>34</v>
      </c>
      <c r="H244" s="69">
        <v>0</v>
      </c>
    </row>
    <row r="245" spans="1:8" ht="16.5" customHeight="1">
      <c r="A245" s="76" t="s">
        <v>512</v>
      </c>
      <c r="B245" s="77" t="s">
        <v>940</v>
      </c>
      <c r="C245" s="76" t="s">
        <v>513</v>
      </c>
      <c r="D245" s="70"/>
      <c r="E245" s="70">
        <v>53</v>
      </c>
      <c r="F245" s="70">
        <v>0</v>
      </c>
      <c r="G245" s="69">
        <v>53</v>
      </c>
      <c r="H245" s="69">
        <v>0</v>
      </c>
    </row>
    <row r="246" spans="1:8" ht="16.5" customHeight="1">
      <c r="A246" s="76" t="s">
        <v>515</v>
      </c>
      <c r="B246" s="77" t="s">
        <v>940</v>
      </c>
      <c r="C246" s="76" t="s">
        <v>516</v>
      </c>
      <c r="D246" s="70"/>
      <c r="E246" s="70">
        <v>21</v>
      </c>
      <c r="F246" s="70">
        <v>0</v>
      </c>
      <c r="G246" s="69">
        <v>21</v>
      </c>
      <c r="H246" s="69">
        <v>0</v>
      </c>
    </row>
    <row r="247" spans="1:8" ht="16.5" customHeight="1">
      <c r="A247" s="76" t="s">
        <v>793</v>
      </c>
      <c r="B247" s="77" t="s">
        <v>940</v>
      </c>
      <c r="C247" s="76" t="s">
        <v>794</v>
      </c>
      <c r="D247" s="70"/>
      <c r="E247" s="70">
        <v>35</v>
      </c>
      <c r="F247" s="70">
        <v>0</v>
      </c>
      <c r="G247" s="69"/>
      <c r="H247" s="69">
        <v>35</v>
      </c>
    </row>
    <row r="248" spans="1:8" ht="16.5" customHeight="1">
      <c r="A248" s="76" t="s">
        <v>795</v>
      </c>
      <c r="B248" s="77" t="s">
        <v>940</v>
      </c>
      <c r="C248" s="76" t="s">
        <v>796</v>
      </c>
      <c r="D248" s="70"/>
      <c r="E248" s="70">
        <v>12</v>
      </c>
      <c r="F248" s="70">
        <v>0</v>
      </c>
      <c r="G248" s="69"/>
      <c r="H248" s="69">
        <v>12</v>
      </c>
    </row>
    <row r="249" spans="1:8" ht="16.5" customHeight="1">
      <c r="A249" s="76" t="s">
        <v>386</v>
      </c>
      <c r="B249" s="77" t="s">
        <v>940</v>
      </c>
      <c r="C249" s="76" t="s">
        <v>387</v>
      </c>
      <c r="D249" s="70"/>
      <c r="E249" s="70">
        <v>23</v>
      </c>
      <c r="F249" s="70">
        <v>0</v>
      </c>
      <c r="G249" s="69"/>
      <c r="H249" s="69">
        <v>23</v>
      </c>
    </row>
    <row r="250" spans="1:8" ht="16.5" customHeight="1">
      <c r="A250" s="76" t="s">
        <v>518</v>
      </c>
      <c r="B250" s="77" t="s">
        <v>940</v>
      </c>
      <c r="C250" s="76" t="s">
        <v>519</v>
      </c>
      <c r="D250" s="70"/>
      <c r="E250" s="70">
        <v>55</v>
      </c>
      <c r="F250" s="70">
        <v>0</v>
      </c>
      <c r="G250" s="69"/>
      <c r="H250" s="69">
        <v>55</v>
      </c>
    </row>
    <row r="251" spans="1:8" ht="16.5" customHeight="1">
      <c r="A251" s="76" t="s">
        <v>42</v>
      </c>
      <c r="B251" s="77" t="s">
        <v>940</v>
      </c>
      <c r="C251" s="76" t="s">
        <v>43</v>
      </c>
      <c r="D251" s="70"/>
      <c r="E251" s="70">
        <v>0</v>
      </c>
      <c r="F251" s="70">
        <v>51</v>
      </c>
      <c r="G251" s="69">
        <v>51</v>
      </c>
      <c r="H251" s="69">
        <v>0</v>
      </c>
    </row>
    <row r="252" spans="1:8" ht="16.5" customHeight="1">
      <c r="A252" s="76" t="s">
        <v>84</v>
      </c>
      <c r="B252" s="77" t="s">
        <v>940</v>
      </c>
      <c r="C252" s="76" t="s">
        <v>85</v>
      </c>
      <c r="D252" s="70"/>
      <c r="E252" s="70">
        <v>0</v>
      </c>
      <c r="F252" s="70">
        <v>69</v>
      </c>
      <c r="G252" s="69"/>
      <c r="H252" s="69">
        <v>69</v>
      </c>
    </row>
    <row r="253" spans="1:8" ht="16.5" customHeight="1">
      <c r="A253" s="76" t="s">
        <v>69</v>
      </c>
      <c r="B253" s="77" t="s">
        <v>940</v>
      </c>
      <c r="C253" s="76" t="s">
        <v>70</v>
      </c>
      <c r="D253" s="70"/>
      <c r="E253" s="70">
        <v>0</v>
      </c>
      <c r="F253" s="70">
        <v>50</v>
      </c>
      <c r="G253" s="69">
        <v>50</v>
      </c>
      <c r="H253" s="69">
        <v>0</v>
      </c>
    </row>
    <row r="254" spans="1:8" ht="16.5" customHeight="1">
      <c r="A254" s="76" t="s">
        <v>389</v>
      </c>
      <c r="B254" s="77" t="s">
        <v>940</v>
      </c>
      <c r="C254" s="76" t="s">
        <v>390</v>
      </c>
      <c r="D254" s="70"/>
      <c r="E254" s="70">
        <v>53</v>
      </c>
      <c r="F254" s="70">
        <v>0</v>
      </c>
      <c r="G254" s="69"/>
      <c r="H254" s="69">
        <v>53</v>
      </c>
    </row>
    <row r="255" spans="1:8" ht="16.5" customHeight="1">
      <c r="A255" s="76" t="s">
        <v>521</v>
      </c>
      <c r="B255" s="77" t="s">
        <v>940</v>
      </c>
      <c r="C255" s="76" t="s">
        <v>522</v>
      </c>
      <c r="D255" s="70"/>
      <c r="E255" s="70">
        <v>16</v>
      </c>
      <c r="F255" s="70">
        <v>0</v>
      </c>
      <c r="G255" s="69"/>
      <c r="H255" s="69">
        <v>16</v>
      </c>
    </row>
    <row r="256" spans="1:8" ht="16.5" customHeight="1">
      <c r="A256" s="76" t="s">
        <v>72</v>
      </c>
      <c r="B256" s="77" t="s">
        <v>940</v>
      </c>
      <c r="C256" s="76" t="s">
        <v>73</v>
      </c>
      <c r="D256" s="70"/>
      <c r="E256" s="70">
        <v>0</v>
      </c>
      <c r="F256" s="70">
        <v>46</v>
      </c>
      <c r="G256" s="69">
        <v>46</v>
      </c>
      <c r="H256" s="69">
        <v>0</v>
      </c>
    </row>
    <row r="257" spans="1:8" ht="16.5" customHeight="1">
      <c r="A257" s="76" t="s">
        <v>392</v>
      </c>
      <c r="B257" s="77" t="s">
        <v>940</v>
      </c>
      <c r="C257" s="76" t="s">
        <v>393</v>
      </c>
      <c r="D257" s="70"/>
      <c r="E257" s="70">
        <v>38</v>
      </c>
      <c r="F257" s="70">
        <v>0</v>
      </c>
      <c r="G257" s="69">
        <v>38</v>
      </c>
      <c r="H257" s="69">
        <v>0</v>
      </c>
    </row>
    <row r="258" spans="1:8" ht="16.5" customHeight="1">
      <c r="A258" s="76" t="s">
        <v>817</v>
      </c>
      <c r="B258" s="77" t="s">
        <v>940</v>
      </c>
      <c r="C258" s="76" t="s">
        <v>818</v>
      </c>
      <c r="D258" s="70"/>
      <c r="E258" s="70">
        <v>53</v>
      </c>
      <c r="F258" s="70">
        <v>0</v>
      </c>
      <c r="G258" s="69">
        <v>53</v>
      </c>
      <c r="H258" s="69">
        <v>0</v>
      </c>
    </row>
    <row r="259" spans="1:8" ht="16.5" customHeight="1">
      <c r="A259" s="76" t="s">
        <v>524</v>
      </c>
      <c r="B259" s="77" t="s">
        <v>940</v>
      </c>
      <c r="C259" s="76" t="s">
        <v>525</v>
      </c>
      <c r="D259" s="70"/>
      <c r="E259" s="70">
        <v>11</v>
      </c>
      <c r="F259" s="70">
        <v>0</v>
      </c>
      <c r="G259" s="69"/>
      <c r="H259" s="69">
        <v>11</v>
      </c>
    </row>
    <row r="260" spans="1:8" ht="16.5" customHeight="1">
      <c r="A260" s="76" t="s">
        <v>530</v>
      </c>
      <c r="B260" s="77" t="s">
        <v>940</v>
      </c>
      <c r="C260" s="76" t="s">
        <v>531</v>
      </c>
      <c r="D260" s="70"/>
      <c r="E260" s="70">
        <v>54</v>
      </c>
      <c r="F260" s="70">
        <v>0</v>
      </c>
      <c r="G260" s="69">
        <v>54</v>
      </c>
      <c r="H260" s="69">
        <v>0</v>
      </c>
    </row>
    <row r="261" spans="1:8" ht="16.5" customHeight="1">
      <c r="A261" s="76" t="s">
        <v>595</v>
      </c>
      <c r="B261" s="77" t="s">
        <v>950</v>
      </c>
      <c r="C261" s="76" t="s">
        <v>596</v>
      </c>
      <c r="D261" s="70"/>
      <c r="E261" s="70">
        <v>0</v>
      </c>
      <c r="F261" s="70">
        <v>47</v>
      </c>
      <c r="G261" s="69"/>
      <c r="H261" s="69">
        <v>47</v>
      </c>
    </row>
    <row r="262" spans="1:8" ht="16.5" customHeight="1">
      <c r="A262" s="76" t="s">
        <v>615</v>
      </c>
      <c r="B262" s="77" t="s">
        <v>950</v>
      </c>
      <c r="C262" s="76" t="s">
        <v>616</v>
      </c>
      <c r="D262" s="70"/>
      <c r="E262" s="70">
        <v>0</v>
      </c>
      <c r="F262" s="70">
        <v>66</v>
      </c>
      <c r="G262" s="69">
        <v>66</v>
      </c>
      <c r="H262" s="69">
        <v>0</v>
      </c>
    </row>
    <row r="263" spans="1:8" ht="16.5" customHeight="1">
      <c r="A263" s="76" t="s">
        <v>121</v>
      </c>
      <c r="B263" s="77" t="s">
        <v>950</v>
      </c>
      <c r="C263" s="76" t="s">
        <v>122</v>
      </c>
      <c r="D263" s="70"/>
      <c r="E263" s="70">
        <v>0</v>
      </c>
      <c r="F263" s="70">
        <v>31</v>
      </c>
      <c r="G263" s="69">
        <v>31</v>
      </c>
      <c r="H263" s="69">
        <v>0</v>
      </c>
    </row>
    <row r="264" spans="1:8" ht="16.5" customHeight="1">
      <c r="A264" s="76" t="s">
        <v>145</v>
      </c>
      <c r="B264" s="77" t="s">
        <v>950</v>
      </c>
      <c r="C264" s="76" t="s">
        <v>146</v>
      </c>
      <c r="D264" s="70"/>
      <c r="E264" s="70">
        <v>0</v>
      </c>
      <c r="F264" s="70">
        <v>48</v>
      </c>
      <c r="G264" s="69">
        <v>48</v>
      </c>
      <c r="H264" s="69">
        <v>0</v>
      </c>
    </row>
    <row r="265" spans="1:8" ht="16.5" customHeight="1">
      <c r="A265" s="76" t="s">
        <v>617</v>
      </c>
      <c r="B265" s="77" t="s">
        <v>950</v>
      </c>
      <c r="C265" s="76" t="s">
        <v>618</v>
      </c>
      <c r="D265" s="70"/>
      <c r="E265" s="70">
        <v>62</v>
      </c>
      <c r="F265" s="70">
        <v>0</v>
      </c>
      <c r="G265" s="69">
        <v>62</v>
      </c>
      <c r="H265" s="69">
        <v>0</v>
      </c>
    </row>
    <row r="266" spans="1:8" ht="16.5" customHeight="1">
      <c r="A266" s="76" t="s">
        <v>148</v>
      </c>
      <c r="B266" s="77" t="s">
        <v>950</v>
      </c>
      <c r="C266" s="76" t="s">
        <v>149</v>
      </c>
      <c r="D266" s="70"/>
      <c r="E266" s="70">
        <v>0</v>
      </c>
      <c r="F266" s="70">
        <v>24</v>
      </c>
      <c r="G266" s="69">
        <v>24</v>
      </c>
      <c r="H266" s="69">
        <v>0</v>
      </c>
    </row>
    <row r="267" spans="1:8" ht="16.5" customHeight="1">
      <c r="A267" s="76" t="s">
        <v>623</v>
      </c>
      <c r="B267" s="77" t="s">
        <v>950</v>
      </c>
      <c r="C267" s="76" t="s">
        <v>624</v>
      </c>
      <c r="D267" s="70"/>
      <c r="E267" s="70">
        <v>30</v>
      </c>
      <c r="F267" s="70">
        <v>0</v>
      </c>
      <c r="G267" s="69"/>
      <c r="H267" s="69">
        <v>30</v>
      </c>
    </row>
    <row r="268" spans="1:8" ht="16.5" customHeight="1">
      <c r="A268" s="76" t="s">
        <v>136</v>
      </c>
      <c r="B268" s="77" t="s">
        <v>950</v>
      </c>
      <c r="C268" s="76" t="s">
        <v>137</v>
      </c>
      <c r="D268" s="70"/>
      <c r="E268" s="70">
        <v>0</v>
      </c>
      <c r="F268" s="70">
        <v>55</v>
      </c>
      <c r="G268" s="69">
        <v>55</v>
      </c>
      <c r="H268" s="69">
        <v>0</v>
      </c>
    </row>
    <row r="269" spans="1:8" ht="16.5" customHeight="1">
      <c r="A269" s="76" t="s">
        <v>277</v>
      </c>
      <c r="B269" s="77" t="s">
        <v>950</v>
      </c>
      <c r="C269" s="76" t="s">
        <v>278</v>
      </c>
      <c r="D269" s="70"/>
      <c r="E269" s="70">
        <v>26</v>
      </c>
      <c r="F269" s="70">
        <v>0</v>
      </c>
      <c r="G269" s="69"/>
      <c r="H269" s="69">
        <v>26</v>
      </c>
    </row>
    <row r="270" spans="1:8" ht="16.5" customHeight="1">
      <c r="A270" s="76" t="s">
        <v>627</v>
      </c>
      <c r="B270" s="77" t="s">
        <v>950</v>
      </c>
      <c r="C270" s="76" t="s">
        <v>628</v>
      </c>
      <c r="D270" s="70"/>
      <c r="E270" s="70">
        <v>15</v>
      </c>
      <c r="F270" s="70">
        <v>0</v>
      </c>
      <c r="G270" s="69">
        <v>15</v>
      </c>
      <c r="H270" s="69">
        <v>0</v>
      </c>
    </row>
    <row r="271" spans="1:8" ht="16.5" customHeight="1">
      <c r="A271" s="76" t="s">
        <v>637</v>
      </c>
      <c r="B271" s="77" t="s">
        <v>950</v>
      </c>
      <c r="C271" s="76" t="s">
        <v>638</v>
      </c>
      <c r="D271" s="70"/>
      <c r="E271" s="70">
        <v>32</v>
      </c>
      <c r="F271" s="70">
        <v>0</v>
      </c>
      <c r="G271" s="69">
        <v>32</v>
      </c>
      <c r="H271" s="69">
        <v>0</v>
      </c>
    </row>
    <row r="272" spans="1:8" ht="16.5" customHeight="1">
      <c r="A272" s="76" t="s">
        <v>211</v>
      </c>
      <c r="B272" s="77" t="s">
        <v>950</v>
      </c>
      <c r="C272" s="76" t="s">
        <v>212</v>
      </c>
      <c r="D272" s="70"/>
      <c r="E272" s="70">
        <v>26</v>
      </c>
      <c r="F272" s="70">
        <v>0</v>
      </c>
      <c r="G272" s="69"/>
      <c r="H272" s="69">
        <v>26</v>
      </c>
    </row>
    <row r="273" spans="1:8" ht="16.5" customHeight="1">
      <c r="A273" s="76" t="s">
        <v>48</v>
      </c>
      <c r="B273" s="77" t="s">
        <v>950</v>
      </c>
      <c r="C273" s="76" t="s">
        <v>49</v>
      </c>
      <c r="D273" s="70"/>
      <c r="E273" s="70">
        <v>0</v>
      </c>
      <c r="F273" s="70">
        <v>58</v>
      </c>
      <c r="G273" s="69"/>
      <c r="H273" s="69">
        <v>58</v>
      </c>
    </row>
    <row r="274" spans="1:8" ht="16.5" customHeight="1">
      <c r="A274" s="76" t="s">
        <v>643</v>
      </c>
      <c r="B274" s="77" t="s">
        <v>950</v>
      </c>
      <c r="C274" s="76" t="s">
        <v>644</v>
      </c>
      <c r="D274" s="70"/>
      <c r="E274" s="70">
        <v>0</v>
      </c>
      <c r="F274" s="70">
        <v>32</v>
      </c>
      <c r="G274" s="69"/>
      <c r="H274" s="69">
        <v>32</v>
      </c>
    </row>
    <row r="275" spans="1:8" ht="16.5" customHeight="1">
      <c r="A275" s="76" t="s">
        <v>663</v>
      </c>
      <c r="B275" s="77" t="s">
        <v>950</v>
      </c>
      <c r="C275" s="76" t="s">
        <v>664</v>
      </c>
      <c r="D275" s="70"/>
      <c r="E275" s="70">
        <v>50</v>
      </c>
      <c r="F275" s="70">
        <v>0</v>
      </c>
      <c r="G275" s="69">
        <v>50</v>
      </c>
      <c r="H275" s="69">
        <v>0</v>
      </c>
    </row>
    <row r="276" spans="1:8" ht="16.5" customHeight="1">
      <c r="A276" s="76" t="s">
        <v>217</v>
      </c>
      <c r="B276" s="77" t="s">
        <v>950</v>
      </c>
      <c r="C276" s="76" t="s">
        <v>218</v>
      </c>
      <c r="D276" s="70"/>
      <c r="E276" s="70">
        <v>56</v>
      </c>
      <c r="F276" s="70">
        <v>0</v>
      </c>
      <c r="G276" s="69">
        <v>56</v>
      </c>
      <c r="H276" s="69">
        <v>0</v>
      </c>
    </row>
    <row r="277" spans="1:8" ht="16.5" customHeight="1">
      <c r="A277" s="76" t="s">
        <v>667</v>
      </c>
      <c r="B277" s="77" t="s">
        <v>950</v>
      </c>
      <c r="C277" s="76" t="s">
        <v>668</v>
      </c>
      <c r="D277" s="70"/>
      <c r="E277" s="70">
        <v>24</v>
      </c>
      <c r="F277" s="70">
        <v>0</v>
      </c>
      <c r="G277" s="69">
        <v>24</v>
      </c>
      <c r="H277" s="69">
        <v>0</v>
      </c>
    </row>
    <row r="278" spans="1:8" ht="16.5" customHeight="1">
      <c r="A278" s="76" t="s">
        <v>220</v>
      </c>
      <c r="B278" s="77" t="s">
        <v>950</v>
      </c>
      <c r="C278" s="76" t="s">
        <v>221</v>
      </c>
      <c r="D278" s="70"/>
      <c r="E278" s="70">
        <v>20</v>
      </c>
      <c r="F278" s="70">
        <v>0</v>
      </c>
      <c r="G278" s="69"/>
      <c r="H278" s="69">
        <v>20</v>
      </c>
    </row>
    <row r="279" spans="1:8" ht="16.5" customHeight="1">
      <c r="A279" s="76" t="s">
        <v>669</v>
      </c>
      <c r="B279" s="77" t="s">
        <v>950</v>
      </c>
      <c r="C279" s="76" t="s">
        <v>670</v>
      </c>
      <c r="D279" s="70"/>
      <c r="E279" s="70">
        <v>0</v>
      </c>
      <c r="F279" s="70">
        <v>32</v>
      </c>
      <c r="G279" s="69"/>
      <c r="H279" s="69">
        <v>32</v>
      </c>
    </row>
    <row r="280" spans="1:8" ht="16.5" customHeight="1">
      <c r="A280" s="76" t="s">
        <v>671</v>
      </c>
      <c r="B280" s="77" t="s">
        <v>950</v>
      </c>
      <c r="C280" s="76" t="s">
        <v>672</v>
      </c>
      <c r="D280" s="70"/>
      <c r="E280" s="70">
        <v>28</v>
      </c>
      <c r="F280" s="70">
        <v>0</v>
      </c>
      <c r="G280" s="69"/>
      <c r="H280" s="69">
        <v>28</v>
      </c>
    </row>
    <row r="281" spans="1:8" ht="16.5" customHeight="1">
      <c r="A281" s="76" t="s">
        <v>673</v>
      </c>
      <c r="B281" s="77" t="s">
        <v>950</v>
      </c>
      <c r="C281" s="76" t="s">
        <v>674</v>
      </c>
      <c r="D281" s="70"/>
      <c r="E281" s="70">
        <v>55</v>
      </c>
      <c r="F281" s="70">
        <v>0</v>
      </c>
      <c r="G281" s="69">
        <v>55</v>
      </c>
      <c r="H281" s="69">
        <v>0</v>
      </c>
    </row>
    <row r="282" spans="1:8" ht="16.5" customHeight="1">
      <c r="A282" s="76" t="s">
        <v>223</v>
      </c>
      <c r="B282" s="77" t="s">
        <v>950</v>
      </c>
      <c r="C282" s="76" t="s">
        <v>224</v>
      </c>
      <c r="D282" s="70"/>
      <c r="E282" s="70">
        <v>30</v>
      </c>
      <c r="F282" s="70">
        <v>0</v>
      </c>
      <c r="G282" s="69">
        <v>30</v>
      </c>
      <c r="H282" s="69">
        <v>0</v>
      </c>
    </row>
    <row r="283" spans="1:8" ht="16.5" customHeight="1">
      <c r="A283" s="76" t="s">
        <v>679</v>
      </c>
      <c r="B283" s="77" t="s">
        <v>950</v>
      </c>
      <c r="C283" s="76" t="s">
        <v>680</v>
      </c>
      <c r="D283" s="70"/>
      <c r="E283" s="70">
        <v>24</v>
      </c>
      <c r="F283" s="70">
        <v>0</v>
      </c>
      <c r="G283" s="69"/>
      <c r="H283" s="69">
        <v>24</v>
      </c>
    </row>
    <row r="284" spans="1:8" ht="16.5" customHeight="1">
      <c r="A284" s="76" t="s">
        <v>685</v>
      </c>
      <c r="B284" s="77" t="s">
        <v>950</v>
      </c>
      <c r="C284" s="76" t="s">
        <v>686</v>
      </c>
      <c r="D284" s="70"/>
      <c r="E284" s="70">
        <v>41</v>
      </c>
      <c r="F284" s="70">
        <v>0</v>
      </c>
      <c r="G284" s="69">
        <v>41</v>
      </c>
      <c r="H284" s="69">
        <v>0</v>
      </c>
    </row>
    <row r="285" spans="1:8" ht="16.5" customHeight="1">
      <c r="A285" s="76" t="s">
        <v>699</v>
      </c>
      <c r="B285" s="77" t="s">
        <v>950</v>
      </c>
      <c r="C285" s="76" t="s">
        <v>700</v>
      </c>
      <c r="D285" s="70"/>
      <c r="E285" s="70">
        <v>36</v>
      </c>
      <c r="F285" s="70">
        <v>0</v>
      </c>
      <c r="G285" s="69">
        <v>36</v>
      </c>
      <c r="H285" s="69">
        <v>0</v>
      </c>
    </row>
    <row r="286" spans="1:8" ht="16.5" customHeight="1">
      <c r="A286" s="76" t="s">
        <v>226</v>
      </c>
      <c r="B286" s="77" t="s">
        <v>950</v>
      </c>
      <c r="C286" s="76" t="s">
        <v>227</v>
      </c>
      <c r="D286" s="70"/>
      <c r="E286" s="70">
        <v>25</v>
      </c>
      <c r="F286" s="70">
        <v>0</v>
      </c>
      <c r="G286" s="69">
        <v>25</v>
      </c>
      <c r="H286" s="69">
        <v>0</v>
      </c>
    </row>
    <row r="287" spans="1:8" ht="16.5" customHeight="1">
      <c r="A287" s="76" t="s">
        <v>705</v>
      </c>
      <c r="B287" s="77" t="s">
        <v>950</v>
      </c>
      <c r="C287" s="76" t="s">
        <v>706</v>
      </c>
      <c r="D287" s="70"/>
      <c r="E287" s="70">
        <v>0</v>
      </c>
      <c r="F287" s="70">
        <v>31</v>
      </c>
      <c r="G287" s="69">
        <v>31</v>
      </c>
      <c r="H287" s="69">
        <v>0</v>
      </c>
    </row>
    <row r="288" spans="1:8" ht="16.5" customHeight="1">
      <c r="A288" s="76" t="s">
        <v>707</v>
      </c>
      <c r="B288" s="77" t="s">
        <v>950</v>
      </c>
      <c r="C288" s="76" t="s">
        <v>708</v>
      </c>
      <c r="D288" s="70"/>
      <c r="E288" s="70">
        <v>43</v>
      </c>
      <c r="F288" s="70">
        <v>0</v>
      </c>
      <c r="G288" s="69">
        <v>43</v>
      </c>
      <c r="H288" s="69">
        <v>0</v>
      </c>
    </row>
    <row r="289" spans="1:8" ht="16.5" customHeight="1">
      <c r="A289" s="76" t="s">
        <v>81</v>
      </c>
      <c r="B289" s="77" t="s">
        <v>950</v>
      </c>
      <c r="C289" s="76" t="s">
        <v>82</v>
      </c>
      <c r="D289" s="70"/>
      <c r="E289" s="70">
        <v>0</v>
      </c>
      <c r="F289" s="70">
        <v>58</v>
      </c>
      <c r="G289" s="69">
        <v>58</v>
      </c>
      <c r="H289" s="69">
        <v>0</v>
      </c>
    </row>
    <row r="290" spans="1:8" ht="16.5" customHeight="1">
      <c r="A290" s="76" t="s">
        <v>719</v>
      </c>
      <c r="B290" s="77" t="s">
        <v>950</v>
      </c>
      <c r="C290" s="76" t="s">
        <v>720</v>
      </c>
      <c r="D290" s="70"/>
      <c r="E290" s="70">
        <v>30</v>
      </c>
      <c r="F290" s="70">
        <v>0</v>
      </c>
      <c r="G290" s="69">
        <v>30</v>
      </c>
      <c r="H290" s="69">
        <v>0</v>
      </c>
    </row>
    <row r="291" spans="1:8" ht="16.5" customHeight="1">
      <c r="A291" s="76" t="s">
        <v>721</v>
      </c>
      <c r="B291" s="77" t="s">
        <v>950</v>
      </c>
      <c r="C291" s="76" t="s">
        <v>722</v>
      </c>
      <c r="D291" s="70"/>
      <c r="E291" s="70">
        <v>33</v>
      </c>
      <c r="F291" s="70">
        <v>0</v>
      </c>
      <c r="G291" s="69">
        <v>33</v>
      </c>
      <c r="H291" s="69">
        <v>0</v>
      </c>
    </row>
    <row r="292" spans="1:8" ht="16.5" customHeight="1">
      <c r="A292" s="76" t="s">
        <v>727</v>
      </c>
      <c r="B292" s="77" t="s">
        <v>950</v>
      </c>
      <c r="C292" s="76" t="s">
        <v>728</v>
      </c>
      <c r="D292" s="70"/>
      <c r="E292" s="70">
        <v>0</v>
      </c>
      <c r="F292" s="70">
        <v>58</v>
      </c>
      <c r="G292" s="69"/>
      <c r="H292" s="69">
        <v>58</v>
      </c>
    </row>
    <row r="293" spans="1:8" ht="16.5" customHeight="1">
      <c r="A293" s="76" t="s">
        <v>729</v>
      </c>
      <c r="B293" s="77" t="s">
        <v>950</v>
      </c>
      <c r="C293" s="76" t="s">
        <v>730</v>
      </c>
      <c r="D293" s="70"/>
      <c r="E293" s="70">
        <v>0</v>
      </c>
      <c r="F293" s="70">
        <v>30</v>
      </c>
      <c r="G293" s="69">
        <v>30</v>
      </c>
      <c r="H293" s="69">
        <v>0</v>
      </c>
    </row>
    <row r="294" spans="1:8" ht="16.5" customHeight="1">
      <c r="A294" s="76" t="s">
        <v>731</v>
      </c>
      <c r="B294" s="77" t="s">
        <v>950</v>
      </c>
      <c r="C294" s="76" t="s">
        <v>732</v>
      </c>
      <c r="D294" s="70"/>
      <c r="E294" s="70">
        <v>27</v>
      </c>
      <c r="F294" s="70">
        <v>0</v>
      </c>
      <c r="G294" s="69">
        <v>27</v>
      </c>
      <c r="H294" s="69">
        <v>0</v>
      </c>
    </row>
    <row r="295" spans="1:8" ht="16.5" customHeight="1">
      <c r="A295" s="76" t="s">
        <v>733</v>
      </c>
      <c r="B295" s="77" t="s">
        <v>950</v>
      </c>
      <c r="C295" s="76" t="s">
        <v>734</v>
      </c>
      <c r="D295" s="70"/>
      <c r="E295" s="70">
        <v>40</v>
      </c>
      <c r="F295" s="70">
        <v>0</v>
      </c>
      <c r="G295" s="69"/>
      <c r="H295" s="69">
        <v>40</v>
      </c>
    </row>
    <row r="296" spans="1:8" ht="16.5" customHeight="1">
      <c r="A296" s="76" t="s">
        <v>238</v>
      </c>
      <c r="B296" s="77" t="s">
        <v>950</v>
      </c>
      <c r="C296" s="76" t="s">
        <v>239</v>
      </c>
      <c r="D296" s="70"/>
      <c r="E296" s="70">
        <v>24</v>
      </c>
      <c r="F296" s="70">
        <v>0</v>
      </c>
      <c r="G296" s="69">
        <v>24</v>
      </c>
      <c r="H296" s="69">
        <v>0</v>
      </c>
    </row>
    <row r="297" spans="1:8" ht="16.5" customHeight="1">
      <c r="A297" s="76" t="s">
        <v>753</v>
      </c>
      <c r="B297" s="77" t="s">
        <v>950</v>
      </c>
      <c r="C297" s="76" t="s">
        <v>754</v>
      </c>
      <c r="D297" s="70"/>
      <c r="E297" s="70">
        <v>29</v>
      </c>
      <c r="F297" s="70">
        <v>0</v>
      </c>
      <c r="G297" s="69">
        <v>29</v>
      </c>
      <c r="H297" s="69">
        <v>0</v>
      </c>
    </row>
    <row r="298" spans="1:8" ht="16.5" customHeight="1">
      <c r="A298" s="76" t="s">
        <v>771</v>
      </c>
      <c r="B298" s="77" t="s">
        <v>950</v>
      </c>
      <c r="C298" s="76" t="s">
        <v>772</v>
      </c>
      <c r="D298" s="70"/>
      <c r="E298" s="70">
        <v>0</v>
      </c>
      <c r="F298" s="70">
        <v>41</v>
      </c>
      <c r="G298" s="69"/>
      <c r="H298" s="69">
        <v>41</v>
      </c>
    </row>
    <row r="299" spans="1:8" ht="16.5" customHeight="1">
      <c r="A299" s="76" t="s">
        <v>163</v>
      </c>
      <c r="B299" s="77" t="s">
        <v>950</v>
      </c>
      <c r="C299" s="76" t="s">
        <v>164</v>
      </c>
      <c r="D299" s="70"/>
      <c r="E299" s="70">
        <v>0</v>
      </c>
      <c r="F299" s="70">
        <v>22</v>
      </c>
      <c r="G299" s="69"/>
      <c r="H299" s="69">
        <v>22</v>
      </c>
    </row>
    <row r="300" spans="1:8" ht="16.5" customHeight="1">
      <c r="A300" s="76" t="s">
        <v>773</v>
      </c>
      <c r="B300" s="77" t="s">
        <v>950</v>
      </c>
      <c r="C300" s="76" t="s">
        <v>774</v>
      </c>
      <c r="D300" s="70"/>
      <c r="E300" s="70">
        <v>47</v>
      </c>
      <c r="F300" s="70">
        <v>0</v>
      </c>
      <c r="G300" s="69">
        <v>47</v>
      </c>
      <c r="H300" s="69">
        <v>0</v>
      </c>
    </row>
    <row r="301" spans="1:8" ht="16.5" customHeight="1">
      <c r="A301" s="76" t="s">
        <v>247</v>
      </c>
      <c r="B301" s="77" t="s">
        <v>950</v>
      </c>
      <c r="C301" s="76" t="s">
        <v>248</v>
      </c>
      <c r="D301" s="70"/>
      <c r="E301" s="70">
        <v>26</v>
      </c>
      <c r="F301" s="70">
        <v>0</v>
      </c>
      <c r="G301" s="69">
        <v>26</v>
      </c>
      <c r="H301" s="69">
        <v>0</v>
      </c>
    </row>
    <row r="302" spans="1:8" ht="16.5" customHeight="1">
      <c r="A302" s="76" t="s">
        <v>166</v>
      </c>
      <c r="B302" s="77" t="s">
        <v>950</v>
      </c>
      <c r="C302" s="76" t="s">
        <v>167</v>
      </c>
      <c r="D302" s="70"/>
      <c r="E302" s="70">
        <v>0</v>
      </c>
      <c r="F302" s="70">
        <v>25</v>
      </c>
      <c r="G302" s="69"/>
      <c r="H302" s="69">
        <v>25</v>
      </c>
    </row>
    <row r="303" spans="1:8" ht="16.5" customHeight="1">
      <c r="A303" s="76" t="s">
        <v>169</v>
      </c>
      <c r="B303" s="77" t="s">
        <v>950</v>
      </c>
      <c r="C303" s="76" t="s">
        <v>170</v>
      </c>
      <c r="D303" s="70"/>
      <c r="E303" s="70">
        <v>0</v>
      </c>
      <c r="F303" s="70">
        <v>46</v>
      </c>
      <c r="G303" s="69">
        <v>46</v>
      </c>
      <c r="H303" s="69">
        <v>0</v>
      </c>
    </row>
    <row r="304" spans="1:8" ht="16.5" customHeight="1">
      <c r="A304" s="76" t="s">
        <v>253</v>
      </c>
      <c r="B304" s="77" t="s">
        <v>950</v>
      </c>
      <c r="C304" s="76" t="s">
        <v>254</v>
      </c>
      <c r="D304" s="70"/>
      <c r="E304" s="70">
        <v>48</v>
      </c>
      <c r="F304" s="70">
        <v>0</v>
      </c>
      <c r="G304" s="69">
        <v>48</v>
      </c>
      <c r="H304" s="69">
        <v>0</v>
      </c>
    </row>
    <row r="305" spans="1:8" ht="16.5" customHeight="1">
      <c r="A305" s="76" t="s">
        <v>779</v>
      </c>
      <c r="B305" s="77" t="s">
        <v>950</v>
      </c>
      <c r="C305" s="76" t="s">
        <v>780</v>
      </c>
      <c r="D305" s="70"/>
      <c r="E305" s="70">
        <v>0</v>
      </c>
      <c r="F305" s="70">
        <v>47</v>
      </c>
      <c r="G305" s="69">
        <v>47</v>
      </c>
      <c r="H305" s="69">
        <v>0</v>
      </c>
    </row>
    <row r="306" spans="1:8" ht="16.5" customHeight="1">
      <c r="A306" s="76" t="s">
        <v>175</v>
      </c>
      <c r="B306" s="77" t="s">
        <v>950</v>
      </c>
      <c r="C306" s="76" t="s">
        <v>176</v>
      </c>
      <c r="D306" s="70"/>
      <c r="E306" s="70">
        <v>0</v>
      </c>
      <c r="F306" s="70">
        <v>19</v>
      </c>
      <c r="G306" s="69">
        <v>19</v>
      </c>
      <c r="H306" s="69">
        <v>0</v>
      </c>
    </row>
    <row r="307" spans="1:8" ht="16.5" customHeight="1">
      <c r="A307" s="76" t="s">
        <v>799</v>
      </c>
      <c r="B307" s="77" t="s">
        <v>950</v>
      </c>
      <c r="C307" s="76" t="s">
        <v>800</v>
      </c>
      <c r="D307" s="70"/>
      <c r="E307" s="70">
        <v>15</v>
      </c>
      <c r="F307" s="70">
        <v>0</v>
      </c>
      <c r="G307" s="69">
        <v>15</v>
      </c>
      <c r="H307" s="69">
        <v>0</v>
      </c>
    </row>
    <row r="308" spans="1:8" ht="16.5" customHeight="1">
      <c r="A308" s="76" t="s">
        <v>807</v>
      </c>
      <c r="B308" s="77" t="s">
        <v>950</v>
      </c>
      <c r="C308" s="76" t="s">
        <v>808</v>
      </c>
      <c r="D308" s="70"/>
      <c r="E308" s="70">
        <v>35</v>
      </c>
      <c r="F308" s="70">
        <v>0</v>
      </c>
      <c r="G308" s="69">
        <v>35</v>
      </c>
      <c r="H308" s="69">
        <v>0</v>
      </c>
    </row>
    <row r="309" spans="1:8" ht="16.5" customHeight="1">
      <c r="A309" s="76" t="s">
        <v>819</v>
      </c>
      <c r="B309" s="77" t="s">
        <v>950</v>
      </c>
      <c r="C309" s="76" t="s">
        <v>820</v>
      </c>
      <c r="D309" s="70"/>
      <c r="E309" s="70">
        <v>0</v>
      </c>
      <c r="F309" s="70">
        <v>27</v>
      </c>
      <c r="G309" s="69">
        <v>27</v>
      </c>
      <c r="H309" s="69">
        <v>0</v>
      </c>
    </row>
    <row r="310" spans="1:8" ht="16.5" customHeight="1">
      <c r="A310" s="76" t="s">
        <v>821</v>
      </c>
      <c r="B310" s="77" t="s">
        <v>950</v>
      </c>
      <c r="C310" s="76" t="s">
        <v>822</v>
      </c>
      <c r="D310" s="70"/>
      <c r="E310" s="70">
        <v>13</v>
      </c>
      <c r="F310" s="70">
        <v>0</v>
      </c>
      <c r="G310" s="69"/>
      <c r="H310" s="69">
        <v>13</v>
      </c>
    </row>
    <row r="311" spans="1:8" ht="16.5" customHeight="1">
      <c r="A311" s="76" t="s">
        <v>825</v>
      </c>
      <c r="B311" s="77" t="s">
        <v>950</v>
      </c>
      <c r="C311" s="76" t="s">
        <v>826</v>
      </c>
      <c r="D311" s="70"/>
      <c r="E311" s="70">
        <v>0</v>
      </c>
      <c r="F311" s="70">
        <v>94</v>
      </c>
      <c r="G311" s="69">
        <v>94</v>
      </c>
      <c r="H311" s="69">
        <v>0</v>
      </c>
    </row>
    <row r="312" spans="1:8" ht="16.5" customHeight="1">
      <c r="A312" s="76" t="s">
        <v>827</v>
      </c>
      <c r="B312" s="77" t="s">
        <v>950</v>
      </c>
      <c r="C312" s="76" t="s">
        <v>828</v>
      </c>
      <c r="D312" s="70"/>
      <c r="E312" s="70">
        <v>0</v>
      </c>
      <c r="F312" s="70">
        <v>57</v>
      </c>
      <c r="G312" s="69">
        <v>57</v>
      </c>
      <c r="H312" s="69">
        <v>0</v>
      </c>
    </row>
    <row r="313" spans="1:8" ht="16.5" customHeight="1">
      <c r="A313" s="76" t="s">
        <v>829</v>
      </c>
      <c r="B313" s="77" t="s">
        <v>950</v>
      </c>
      <c r="C313" s="76" t="s">
        <v>830</v>
      </c>
      <c r="D313" s="70"/>
      <c r="E313" s="70">
        <v>51</v>
      </c>
      <c r="F313" s="70">
        <v>0</v>
      </c>
      <c r="G313" s="69"/>
      <c r="H313" s="69">
        <v>51</v>
      </c>
    </row>
    <row r="314" spans="1:8" ht="16.5" customHeight="1">
      <c r="A314" s="76" t="s">
        <v>75</v>
      </c>
      <c r="B314" s="77" t="s">
        <v>950</v>
      </c>
      <c r="C314" s="76" t="s">
        <v>76</v>
      </c>
      <c r="D314" s="70"/>
      <c r="E314" s="70">
        <v>0</v>
      </c>
      <c r="F314" s="70">
        <v>60</v>
      </c>
      <c r="G314" s="69"/>
      <c r="H314" s="69">
        <v>60</v>
      </c>
    </row>
    <row r="315" spans="1:8" ht="16.5" customHeight="1">
      <c r="A315" s="78" t="s">
        <v>833</v>
      </c>
      <c r="B315" s="79" t="s">
        <v>950</v>
      </c>
      <c r="C315" s="78" t="s">
        <v>834</v>
      </c>
      <c r="D315" s="70"/>
      <c r="E315" s="70">
        <v>27</v>
      </c>
      <c r="F315" s="70">
        <v>0</v>
      </c>
      <c r="G315" s="69">
        <v>27</v>
      </c>
      <c r="H315" s="69">
        <v>0</v>
      </c>
    </row>
    <row r="316" spans="1:8" ht="16.5" customHeight="1">
      <c r="A316" s="80" t="s">
        <v>578</v>
      </c>
      <c r="B316" s="81" t="s">
        <v>923</v>
      </c>
      <c r="C316" s="82" t="s">
        <v>579</v>
      </c>
      <c r="D316" s="70"/>
      <c r="E316" s="70">
        <v>33</v>
      </c>
      <c r="F316" s="70">
        <v>0</v>
      </c>
      <c r="G316" s="69">
        <v>33</v>
      </c>
      <c r="H316" s="69">
        <v>0</v>
      </c>
    </row>
  </sheetData>
  <autoFilter ref="A1:H1" xr:uid="{00000000-0001-0000-0600-000000000000}"/>
  <phoneticPr fontId="3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30"/>
  <sheetViews>
    <sheetView topLeftCell="A284" workbookViewId="0">
      <selection activeCell="J300" sqref="J300"/>
    </sheetView>
  </sheetViews>
  <sheetFormatPr defaultRowHeight="16.5"/>
  <cols>
    <col min="1" max="1" width="13.375" style="16" bestFit="1" customWidth="1"/>
    <col min="2" max="2" width="8.75" style="16" bestFit="1" customWidth="1"/>
    <col min="3" max="3" width="27.625" style="16" bestFit="1" customWidth="1"/>
    <col min="4" max="4" width="9" style="4" customWidth="1"/>
    <col min="5" max="16384" width="9" style="4"/>
  </cols>
  <sheetData>
    <row r="1" spans="1:3">
      <c r="A1" s="1" t="s">
        <v>0</v>
      </c>
      <c r="B1" s="2" t="s">
        <v>871</v>
      </c>
      <c r="C1" s="3" t="s">
        <v>1</v>
      </c>
    </row>
    <row r="2" spans="1:3">
      <c r="A2" s="74" t="s">
        <v>280</v>
      </c>
      <c r="B2" s="75" t="s">
        <v>884</v>
      </c>
      <c r="C2" s="74" t="s">
        <v>281</v>
      </c>
    </row>
    <row r="3" spans="1:3">
      <c r="A3" s="76" t="s">
        <v>631</v>
      </c>
      <c r="B3" s="77" t="s">
        <v>884</v>
      </c>
      <c r="C3" s="76" t="s">
        <v>632</v>
      </c>
    </row>
    <row r="4" spans="1:3">
      <c r="A4" s="76" t="s">
        <v>151</v>
      </c>
      <c r="B4" s="77" t="s">
        <v>884</v>
      </c>
      <c r="C4" s="76" t="s">
        <v>152</v>
      </c>
    </row>
    <row r="5" spans="1:3">
      <c r="A5" s="76" t="s">
        <v>633</v>
      </c>
      <c r="B5" s="77" t="s">
        <v>884</v>
      </c>
      <c r="C5" s="76" t="s">
        <v>634</v>
      </c>
    </row>
    <row r="6" spans="1:3">
      <c r="A6" s="76" t="s">
        <v>635</v>
      </c>
      <c r="B6" s="77" t="s">
        <v>884</v>
      </c>
      <c r="C6" s="76" t="s">
        <v>636</v>
      </c>
    </row>
    <row r="7" spans="1:3">
      <c r="A7" s="76" t="s">
        <v>208</v>
      </c>
      <c r="B7" s="77" t="s">
        <v>884</v>
      </c>
      <c r="C7" s="76" t="s">
        <v>209</v>
      </c>
    </row>
    <row r="8" spans="1:3">
      <c r="A8" s="76" t="s">
        <v>214</v>
      </c>
      <c r="B8" s="77" t="s">
        <v>884</v>
      </c>
      <c r="C8" s="76" t="s">
        <v>215</v>
      </c>
    </row>
    <row r="9" spans="1:3">
      <c r="A9" s="76" t="s">
        <v>657</v>
      </c>
      <c r="B9" s="77" t="s">
        <v>884</v>
      </c>
      <c r="C9" s="76" t="s">
        <v>658</v>
      </c>
    </row>
    <row r="10" spans="1:3">
      <c r="A10" s="76" t="s">
        <v>659</v>
      </c>
      <c r="B10" s="77" t="s">
        <v>884</v>
      </c>
      <c r="C10" s="76" t="s">
        <v>660</v>
      </c>
    </row>
    <row r="11" spans="1:3">
      <c r="A11" s="76" t="s">
        <v>665</v>
      </c>
      <c r="B11" s="77" t="s">
        <v>884</v>
      </c>
      <c r="C11" s="76" t="s">
        <v>666</v>
      </c>
    </row>
    <row r="12" spans="1:3">
      <c r="A12" s="76" t="s">
        <v>154</v>
      </c>
      <c r="B12" s="77" t="s">
        <v>884</v>
      </c>
      <c r="C12" s="76" t="s">
        <v>155</v>
      </c>
    </row>
    <row r="13" spans="1:3">
      <c r="A13" s="76" t="s">
        <v>675</v>
      </c>
      <c r="B13" s="77" t="s">
        <v>884</v>
      </c>
      <c r="C13" s="76" t="s">
        <v>676</v>
      </c>
    </row>
    <row r="14" spans="1:3">
      <c r="A14" s="76" t="s">
        <v>683</v>
      </c>
      <c r="B14" s="77" t="s">
        <v>884</v>
      </c>
      <c r="C14" s="76" t="s">
        <v>684</v>
      </c>
    </row>
    <row r="15" spans="1:3">
      <c r="A15" s="76" t="s">
        <v>271</v>
      </c>
      <c r="B15" s="77" t="s">
        <v>884</v>
      </c>
      <c r="C15" s="76" t="s">
        <v>272</v>
      </c>
    </row>
    <row r="16" spans="1:3">
      <c r="A16" s="76" t="s">
        <v>697</v>
      </c>
      <c r="B16" s="77" t="s">
        <v>884</v>
      </c>
      <c r="C16" s="76" t="s">
        <v>698</v>
      </c>
    </row>
    <row r="17" spans="1:3">
      <c r="A17" s="76" t="s">
        <v>701</v>
      </c>
      <c r="B17" s="77" t="s">
        <v>884</v>
      </c>
      <c r="C17" s="76" t="s">
        <v>702</v>
      </c>
    </row>
    <row r="18" spans="1:3">
      <c r="A18" s="76" t="s">
        <v>713</v>
      </c>
      <c r="B18" s="77" t="s">
        <v>884</v>
      </c>
      <c r="C18" s="76" t="s">
        <v>714</v>
      </c>
    </row>
    <row r="19" spans="1:3">
      <c r="A19" s="76" t="s">
        <v>715</v>
      </c>
      <c r="B19" s="77" t="s">
        <v>884</v>
      </c>
      <c r="C19" s="76" t="s">
        <v>716</v>
      </c>
    </row>
    <row r="20" spans="1:3">
      <c r="A20" s="76" t="s">
        <v>232</v>
      </c>
      <c r="B20" s="77" t="s">
        <v>884</v>
      </c>
      <c r="C20" s="76" t="s">
        <v>233</v>
      </c>
    </row>
    <row r="21" spans="1:3">
      <c r="A21" s="76" t="s">
        <v>235</v>
      </c>
      <c r="B21" s="77" t="s">
        <v>884</v>
      </c>
      <c r="C21" s="76" t="s">
        <v>236</v>
      </c>
    </row>
    <row r="22" spans="1:3">
      <c r="A22" s="76" t="s">
        <v>735</v>
      </c>
      <c r="B22" s="77" t="s">
        <v>884</v>
      </c>
      <c r="C22" s="76" t="s">
        <v>736</v>
      </c>
    </row>
    <row r="23" spans="1:3">
      <c r="A23" s="76" t="s">
        <v>160</v>
      </c>
      <c r="B23" s="77" t="s">
        <v>884</v>
      </c>
      <c r="C23" s="76" t="s">
        <v>161</v>
      </c>
    </row>
    <row r="24" spans="1:3">
      <c r="A24" s="76" t="s">
        <v>745</v>
      </c>
      <c r="B24" s="77" t="s">
        <v>884</v>
      </c>
      <c r="C24" s="76" t="s">
        <v>746</v>
      </c>
    </row>
    <row r="25" spans="1:3">
      <c r="A25" s="76" t="s">
        <v>112</v>
      </c>
      <c r="B25" s="77" t="s">
        <v>884</v>
      </c>
      <c r="C25" s="76" t="s">
        <v>113</v>
      </c>
    </row>
    <row r="26" spans="1:3">
      <c r="A26" s="76" t="s">
        <v>244</v>
      </c>
      <c r="B26" s="77" t="s">
        <v>884</v>
      </c>
      <c r="C26" s="76" t="s">
        <v>245</v>
      </c>
    </row>
    <row r="27" spans="1:3">
      <c r="A27" s="76" t="s">
        <v>775</v>
      </c>
      <c r="B27" s="77" t="s">
        <v>884</v>
      </c>
      <c r="C27" s="76" t="s">
        <v>776</v>
      </c>
    </row>
    <row r="28" spans="1:3">
      <c r="A28" s="76" t="s">
        <v>781</v>
      </c>
      <c r="B28" s="77" t="s">
        <v>884</v>
      </c>
      <c r="C28" s="76" t="s">
        <v>782</v>
      </c>
    </row>
    <row r="29" spans="1:3">
      <c r="A29" s="76" t="s">
        <v>785</v>
      </c>
      <c r="B29" s="77" t="s">
        <v>884</v>
      </c>
      <c r="C29" s="76" t="s">
        <v>786</v>
      </c>
    </row>
    <row r="30" spans="1:3">
      <c r="A30" s="76" t="s">
        <v>36</v>
      </c>
      <c r="B30" s="77" t="s">
        <v>884</v>
      </c>
      <c r="C30" s="76" t="s">
        <v>37</v>
      </c>
    </row>
    <row r="31" spans="1:3">
      <c r="A31" s="76" t="s">
        <v>803</v>
      </c>
      <c r="B31" s="77" t="s">
        <v>884</v>
      </c>
      <c r="C31" s="76" t="s">
        <v>804</v>
      </c>
    </row>
    <row r="32" spans="1:3">
      <c r="A32" s="76" t="s">
        <v>181</v>
      </c>
      <c r="B32" s="77" t="s">
        <v>884</v>
      </c>
      <c r="C32" s="76" t="s">
        <v>182</v>
      </c>
    </row>
    <row r="33" spans="1:3">
      <c r="A33" s="76" t="s">
        <v>39</v>
      </c>
      <c r="B33" s="77" t="s">
        <v>884</v>
      </c>
      <c r="C33" s="76" t="s">
        <v>40</v>
      </c>
    </row>
    <row r="34" spans="1:3">
      <c r="A34" s="76" t="s">
        <v>265</v>
      </c>
      <c r="B34" s="77" t="s">
        <v>884</v>
      </c>
      <c r="C34" s="76" t="s">
        <v>266</v>
      </c>
    </row>
    <row r="35" spans="1:3">
      <c r="A35" s="76" t="s">
        <v>184</v>
      </c>
      <c r="B35" s="77" t="s">
        <v>884</v>
      </c>
      <c r="C35" s="76" t="s">
        <v>185</v>
      </c>
    </row>
    <row r="36" spans="1:3">
      <c r="A36" s="76" t="s">
        <v>811</v>
      </c>
      <c r="B36" s="77" t="s">
        <v>884</v>
      </c>
      <c r="C36" s="76" t="s">
        <v>812</v>
      </c>
    </row>
    <row r="37" spans="1:3">
      <c r="A37" s="76" t="s">
        <v>187</v>
      </c>
      <c r="B37" s="77" t="s">
        <v>884</v>
      </c>
      <c r="C37" s="76" t="s">
        <v>188</v>
      </c>
    </row>
    <row r="38" spans="1:3">
      <c r="A38" s="76" t="s">
        <v>813</v>
      </c>
      <c r="B38" s="77" t="s">
        <v>884</v>
      </c>
      <c r="C38" s="76" t="s">
        <v>814</v>
      </c>
    </row>
    <row r="39" spans="1:3">
      <c r="A39" s="76" t="s">
        <v>268</v>
      </c>
      <c r="B39" s="77" t="s">
        <v>884</v>
      </c>
      <c r="C39" s="76" t="s">
        <v>269</v>
      </c>
    </row>
    <row r="40" spans="1:3">
      <c r="A40" s="76" t="s">
        <v>815</v>
      </c>
      <c r="B40" s="77" t="s">
        <v>884</v>
      </c>
      <c r="C40" s="76" t="s">
        <v>816</v>
      </c>
    </row>
    <row r="41" spans="1:3">
      <c r="A41" s="76" t="s">
        <v>835</v>
      </c>
      <c r="B41" s="77" t="s">
        <v>884</v>
      </c>
      <c r="C41" s="76" t="s">
        <v>836</v>
      </c>
    </row>
    <row r="42" spans="1:3">
      <c r="A42" s="76" t="s">
        <v>837</v>
      </c>
      <c r="B42" s="77" t="s">
        <v>884</v>
      </c>
      <c r="C42" s="76" t="s">
        <v>838</v>
      </c>
    </row>
    <row r="43" spans="1:3">
      <c r="A43" s="76" t="s">
        <v>589</v>
      </c>
      <c r="B43" s="77" t="s">
        <v>909</v>
      </c>
      <c r="C43" s="76" t="s">
        <v>590</v>
      </c>
    </row>
    <row r="44" spans="1:3">
      <c r="A44" s="76" t="s">
        <v>142</v>
      </c>
      <c r="B44" s="77" t="s">
        <v>909</v>
      </c>
      <c r="C44" s="76" t="s">
        <v>143</v>
      </c>
    </row>
    <row r="45" spans="1:3">
      <c r="A45" s="76" t="s">
        <v>601</v>
      </c>
      <c r="B45" s="77" t="s">
        <v>909</v>
      </c>
      <c r="C45" s="76" t="s">
        <v>602</v>
      </c>
    </row>
    <row r="46" spans="1:3">
      <c r="A46" s="76" t="s">
        <v>603</v>
      </c>
      <c r="B46" s="77" t="s">
        <v>909</v>
      </c>
      <c r="C46" s="76" t="s">
        <v>604</v>
      </c>
    </row>
    <row r="47" spans="1:3">
      <c r="A47" s="76" t="s">
        <v>605</v>
      </c>
      <c r="B47" s="77" t="s">
        <v>909</v>
      </c>
      <c r="C47" s="76" t="s">
        <v>606</v>
      </c>
    </row>
    <row r="48" spans="1:3">
      <c r="A48" s="76" t="s">
        <v>607</v>
      </c>
      <c r="B48" s="77" t="s">
        <v>909</v>
      </c>
      <c r="C48" s="76" t="s">
        <v>608</v>
      </c>
    </row>
    <row r="49" spans="1:3">
      <c r="A49" s="76" t="s">
        <v>199</v>
      </c>
      <c r="B49" s="77" t="s">
        <v>909</v>
      </c>
      <c r="C49" s="76" t="s">
        <v>200</v>
      </c>
    </row>
    <row r="50" spans="1:3">
      <c r="A50" s="76" t="s">
        <v>202</v>
      </c>
      <c r="B50" s="77" t="s">
        <v>909</v>
      </c>
      <c r="C50" s="76" t="s">
        <v>203</v>
      </c>
    </row>
    <row r="51" spans="1:3">
      <c r="A51" s="76" t="s">
        <v>139</v>
      </c>
      <c r="B51" s="77" t="s">
        <v>909</v>
      </c>
      <c r="C51" s="76" t="s">
        <v>140</v>
      </c>
    </row>
    <row r="52" spans="1:3">
      <c r="A52" s="76" t="s">
        <v>274</v>
      </c>
      <c r="B52" s="77" t="s">
        <v>909</v>
      </c>
      <c r="C52" s="76" t="s">
        <v>275</v>
      </c>
    </row>
    <row r="53" spans="1:3">
      <c r="A53" s="76" t="s">
        <v>629</v>
      </c>
      <c r="B53" s="77" t="s">
        <v>909</v>
      </c>
      <c r="C53" s="76" t="s">
        <v>630</v>
      </c>
    </row>
    <row r="54" spans="1:3">
      <c r="A54" s="76" t="s">
        <v>205</v>
      </c>
      <c r="B54" s="77" t="s">
        <v>909</v>
      </c>
      <c r="C54" s="76" t="s">
        <v>206</v>
      </c>
    </row>
    <row r="55" spans="1:3">
      <c r="A55" s="76" t="s">
        <v>645</v>
      </c>
      <c r="B55" s="77" t="s">
        <v>909</v>
      </c>
      <c r="C55" s="76" t="s">
        <v>646</v>
      </c>
    </row>
    <row r="56" spans="1:3">
      <c r="A56" s="76" t="s">
        <v>647</v>
      </c>
      <c r="B56" s="77" t="s">
        <v>909</v>
      </c>
      <c r="C56" s="76" t="s">
        <v>648</v>
      </c>
    </row>
    <row r="57" spans="1:3">
      <c r="A57" s="76" t="s">
        <v>661</v>
      </c>
      <c r="B57" s="77" t="s">
        <v>909</v>
      </c>
      <c r="C57" s="76" t="s">
        <v>662</v>
      </c>
    </row>
    <row r="58" spans="1:3">
      <c r="A58" s="76" t="s">
        <v>689</v>
      </c>
      <c r="B58" s="77" t="s">
        <v>909</v>
      </c>
      <c r="C58" s="76" t="s">
        <v>690</v>
      </c>
    </row>
    <row r="59" spans="1:3">
      <c r="A59" s="76" t="s">
        <v>229</v>
      </c>
      <c r="B59" s="77" t="s">
        <v>909</v>
      </c>
      <c r="C59" s="76" t="s">
        <v>230</v>
      </c>
    </row>
    <row r="60" spans="1:3">
      <c r="A60" s="76" t="s">
        <v>723</v>
      </c>
      <c r="B60" s="77" t="s">
        <v>909</v>
      </c>
      <c r="C60" s="76" t="s">
        <v>724</v>
      </c>
    </row>
    <row r="61" spans="1:3">
      <c r="A61" s="76" t="s">
        <v>27</v>
      </c>
      <c r="B61" s="77" t="s">
        <v>909</v>
      </c>
      <c r="C61" s="76" t="s">
        <v>28</v>
      </c>
    </row>
    <row r="62" spans="1:3">
      <c r="A62" s="76" t="s">
        <v>157</v>
      </c>
      <c r="B62" s="77" t="s">
        <v>909</v>
      </c>
      <c r="C62" s="76" t="s">
        <v>158</v>
      </c>
    </row>
    <row r="63" spans="1:3">
      <c r="A63" s="76" t="s">
        <v>741</v>
      </c>
      <c r="B63" s="77" t="s">
        <v>909</v>
      </c>
      <c r="C63" s="76" t="s">
        <v>742</v>
      </c>
    </row>
    <row r="64" spans="1:3">
      <c r="A64" s="76" t="s">
        <v>743</v>
      </c>
      <c r="B64" s="77" t="s">
        <v>909</v>
      </c>
      <c r="C64" s="76" t="s">
        <v>744</v>
      </c>
    </row>
    <row r="65" spans="1:3">
      <c r="A65" s="76" t="s">
        <v>755</v>
      </c>
      <c r="B65" s="77" t="s">
        <v>909</v>
      </c>
      <c r="C65" s="76" t="s">
        <v>756</v>
      </c>
    </row>
    <row r="66" spans="1:3">
      <c r="A66" s="76" t="s">
        <v>757</v>
      </c>
      <c r="B66" s="77" t="s">
        <v>909</v>
      </c>
      <c r="C66" s="76" t="s">
        <v>758</v>
      </c>
    </row>
    <row r="67" spans="1:3">
      <c r="A67" s="76" t="s">
        <v>241</v>
      </c>
      <c r="B67" s="77" t="s">
        <v>909</v>
      </c>
      <c r="C67" s="76" t="s">
        <v>242</v>
      </c>
    </row>
    <row r="68" spans="1:3">
      <c r="A68" s="76" t="s">
        <v>250</v>
      </c>
      <c r="B68" s="77" t="s">
        <v>909</v>
      </c>
      <c r="C68" s="76" t="s">
        <v>251</v>
      </c>
    </row>
    <row r="69" spans="1:3">
      <c r="A69" s="76" t="s">
        <v>256</v>
      </c>
      <c r="B69" s="77" t="s">
        <v>909</v>
      </c>
      <c r="C69" s="76" t="s">
        <v>257</v>
      </c>
    </row>
    <row r="70" spans="1:3">
      <c r="A70" s="76" t="s">
        <v>783</v>
      </c>
      <c r="B70" s="77" t="s">
        <v>909</v>
      </c>
      <c r="C70" s="76" t="s">
        <v>784</v>
      </c>
    </row>
    <row r="71" spans="1:3">
      <c r="A71" s="76" t="s">
        <v>78</v>
      </c>
      <c r="B71" s="77" t="s">
        <v>909</v>
      </c>
      <c r="C71" s="76" t="s">
        <v>79</v>
      </c>
    </row>
    <row r="72" spans="1:3">
      <c r="A72" s="76" t="s">
        <v>259</v>
      </c>
      <c r="B72" s="77" t="s">
        <v>909</v>
      </c>
      <c r="C72" s="76" t="s">
        <v>260</v>
      </c>
    </row>
    <row r="73" spans="1:3">
      <c r="A73" s="76" t="s">
        <v>172</v>
      </c>
      <c r="B73" s="77" t="s">
        <v>909</v>
      </c>
      <c r="C73" s="76" t="s">
        <v>173</v>
      </c>
    </row>
    <row r="74" spans="1:3">
      <c r="A74" s="76" t="s">
        <v>262</v>
      </c>
      <c r="B74" s="77" t="s">
        <v>909</v>
      </c>
      <c r="C74" s="76" t="s">
        <v>263</v>
      </c>
    </row>
    <row r="75" spans="1:3">
      <c r="A75" s="76" t="s">
        <v>787</v>
      </c>
      <c r="B75" s="77" t="s">
        <v>909</v>
      </c>
      <c r="C75" s="76" t="s">
        <v>788</v>
      </c>
    </row>
    <row r="76" spans="1:3">
      <c r="A76" s="76" t="s">
        <v>791</v>
      </c>
      <c r="B76" s="77" t="s">
        <v>909</v>
      </c>
      <c r="C76" s="76" t="s">
        <v>792</v>
      </c>
    </row>
    <row r="77" spans="1:3">
      <c r="A77" s="76" t="s">
        <v>127</v>
      </c>
      <c r="B77" s="77" t="s">
        <v>909</v>
      </c>
      <c r="C77" s="76" t="s">
        <v>128</v>
      </c>
    </row>
    <row r="78" spans="1:3">
      <c r="A78" s="76" t="s">
        <v>54</v>
      </c>
      <c r="B78" s="77" t="s">
        <v>909</v>
      </c>
      <c r="C78" s="76" t="s">
        <v>55</v>
      </c>
    </row>
    <row r="79" spans="1:3">
      <c r="A79" s="76" t="s">
        <v>57</v>
      </c>
      <c r="B79" s="77" t="s">
        <v>909</v>
      </c>
      <c r="C79" s="76" t="s">
        <v>58</v>
      </c>
    </row>
    <row r="80" spans="1:3">
      <c r="A80" s="76" t="s">
        <v>178</v>
      </c>
      <c r="B80" s="77" t="s">
        <v>909</v>
      </c>
      <c r="C80" s="76" t="s">
        <v>179</v>
      </c>
    </row>
    <row r="81" spans="1:3">
      <c r="A81" s="76" t="s">
        <v>797</v>
      </c>
      <c r="B81" s="77" t="s">
        <v>909</v>
      </c>
      <c r="C81" s="76" t="s">
        <v>798</v>
      </c>
    </row>
    <row r="82" spans="1:3">
      <c r="A82" s="76" t="s">
        <v>801</v>
      </c>
      <c r="B82" s="77" t="s">
        <v>909</v>
      </c>
      <c r="C82" s="76" t="s">
        <v>802</v>
      </c>
    </row>
    <row r="83" spans="1:3">
      <c r="A83" s="76" t="s">
        <v>809</v>
      </c>
      <c r="B83" s="77" t="s">
        <v>909</v>
      </c>
      <c r="C83" s="76" t="s">
        <v>810</v>
      </c>
    </row>
    <row r="84" spans="1:3">
      <c r="A84" s="76" t="s">
        <v>87</v>
      </c>
      <c r="B84" s="77" t="s">
        <v>909</v>
      </c>
      <c r="C84" s="76" t="s">
        <v>88</v>
      </c>
    </row>
    <row r="85" spans="1:3">
      <c r="A85" s="76" t="s">
        <v>190</v>
      </c>
      <c r="B85" s="77" t="s">
        <v>909</v>
      </c>
      <c r="C85" s="76" t="s">
        <v>191</v>
      </c>
    </row>
    <row r="86" spans="1:3">
      <c r="A86" s="76" t="s">
        <v>831</v>
      </c>
      <c r="B86" s="77" t="s">
        <v>909</v>
      </c>
      <c r="C86" s="76" t="s">
        <v>832</v>
      </c>
    </row>
    <row r="87" spans="1:3">
      <c r="A87" s="76" t="s">
        <v>193</v>
      </c>
      <c r="B87" s="77" t="s">
        <v>909</v>
      </c>
      <c r="C87" s="76" t="s">
        <v>194</v>
      </c>
    </row>
    <row r="88" spans="1:3">
      <c r="A88" s="76" t="s">
        <v>196</v>
      </c>
      <c r="B88" s="77" t="s">
        <v>909</v>
      </c>
      <c r="C88" s="76" t="s">
        <v>197</v>
      </c>
    </row>
    <row r="89" spans="1:3">
      <c r="A89" s="76" t="s">
        <v>283</v>
      </c>
      <c r="B89" s="77" t="s">
        <v>923</v>
      </c>
      <c r="C89" s="76" t="s">
        <v>284</v>
      </c>
    </row>
    <row r="90" spans="1:3">
      <c r="A90" s="76" t="s">
        <v>395</v>
      </c>
      <c r="B90" s="77" t="s">
        <v>923</v>
      </c>
      <c r="C90" s="76" t="s">
        <v>396</v>
      </c>
    </row>
    <row r="91" spans="1:3">
      <c r="A91" s="76" t="s">
        <v>587</v>
      </c>
      <c r="B91" s="77" t="s">
        <v>923</v>
      </c>
      <c r="C91" s="76" t="s">
        <v>588</v>
      </c>
    </row>
    <row r="92" spans="1:3">
      <c r="A92" s="76" t="s">
        <v>286</v>
      </c>
      <c r="B92" s="77" t="s">
        <v>923</v>
      </c>
      <c r="C92" s="76" t="s">
        <v>287</v>
      </c>
    </row>
    <row r="93" spans="1:3">
      <c r="A93" s="76" t="s">
        <v>593</v>
      </c>
      <c r="B93" s="77" t="s">
        <v>923</v>
      </c>
      <c r="C93" s="76" t="s">
        <v>594</v>
      </c>
    </row>
    <row r="94" spans="1:3">
      <c r="A94" s="76" t="s">
        <v>401</v>
      </c>
      <c r="B94" s="77" t="s">
        <v>923</v>
      </c>
      <c r="C94" s="76" t="s">
        <v>402</v>
      </c>
    </row>
    <row r="95" spans="1:3">
      <c r="A95" s="76" t="s">
        <v>609</v>
      </c>
      <c r="B95" s="77" t="s">
        <v>923</v>
      </c>
      <c r="C95" s="76" t="s">
        <v>610</v>
      </c>
    </row>
    <row r="96" spans="1:3">
      <c r="A96" s="76" t="s">
        <v>407</v>
      </c>
      <c r="B96" s="77" t="s">
        <v>923</v>
      </c>
      <c r="C96" s="76" t="s">
        <v>408</v>
      </c>
    </row>
    <row r="97" spans="1:3">
      <c r="A97" s="76" t="s">
        <v>410</v>
      </c>
      <c r="B97" s="77" t="s">
        <v>923</v>
      </c>
      <c r="C97" s="76" t="s">
        <v>411</v>
      </c>
    </row>
    <row r="98" spans="1:3">
      <c r="A98" s="76" t="s">
        <v>292</v>
      </c>
      <c r="B98" s="77" t="s">
        <v>923</v>
      </c>
      <c r="C98" s="76" t="s">
        <v>293</v>
      </c>
    </row>
    <row r="99" spans="1:3">
      <c r="A99" s="76" t="s">
        <v>611</v>
      </c>
      <c r="B99" s="77" t="s">
        <v>923</v>
      </c>
      <c r="C99" s="76" t="s">
        <v>612</v>
      </c>
    </row>
    <row r="100" spans="1:3">
      <c r="A100" s="76" t="s">
        <v>18</v>
      </c>
      <c r="B100" s="77" t="s">
        <v>923</v>
      </c>
      <c r="C100" s="76" t="s">
        <v>19</v>
      </c>
    </row>
    <row r="101" spans="1:3">
      <c r="A101" s="76" t="s">
        <v>295</v>
      </c>
      <c r="B101" s="77" t="s">
        <v>923</v>
      </c>
      <c r="C101" s="76" t="s">
        <v>296</v>
      </c>
    </row>
    <row r="102" spans="1:3">
      <c r="A102" s="76" t="s">
        <v>413</v>
      </c>
      <c r="B102" s="77" t="s">
        <v>923</v>
      </c>
      <c r="C102" s="76" t="s">
        <v>414</v>
      </c>
    </row>
    <row r="103" spans="1:3">
      <c r="A103" s="76" t="s">
        <v>106</v>
      </c>
      <c r="B103" s="77" t="s">
        <v>923</v>
      </c>
      <c r="C103" s="76" t="s">
        <v>107</v>
      </c>
    </row>
    <row r="104" spans="1:3">
      <c r="A104" s="76" t="s">
        <v>302</v>
      </c>
      <c r="B104" s="77" t="s">
        <v>923</v>
      </c>
      <c r="C104" s="76" t="s">
        <v>303</v>
      </c>
    </row>
    <row r="105" spans="1:3">
      <c r="A105" s="76" t="s">
        <v>103</v>
      </c>
      <c r="B105" s="77" t="s">
        <v>923</v>
      </c>
      <c r="C105" s="76" t="s">
        <v>104</v>
      </c>
    </row>
    <row r="106" spans="1:3">
      <c r="A106" s="76" t="s">
        <v>305</v>
      </c>
      <c r="B106" s="77" t="s">
        <v>923</v>
      </c>
      <c r="C106" s="76" t="s">
        <v>306</v>
      </c>
    </row>
    <row r="107" spans="1:3">
      <c r="A107" s="76" t="s">
        <v>422</v>
      </c>
      <c r="B107" s="77" t="s">
        <v>923</v>
      </c>
      <c r="C107" s="76" t="s">
        <v>423</v>
      </c>
    </row>
    <row r="108" spans="1:3">
      <c r="A108" s="76" t="s">
        <v>619</v>
      </c>
      <c r="B108" s="77" t="s">
        <v>923</v>
      </c>
      <c r="C108" s="76" t="s">
        <v>620</v>
      </c>
    </row>
    <row r="109" spans="1:3">
      <c r="A109" s="76" t="s">
        <v>308</v>
      </c>
      <c r="B109" s="77" t="s">
        <v>923</v>
      </c>
      <c r="C109" s="76" t="s">
        <v>309</v>
      </c>
    </row>
    <row r="110" spans="1:3">
      <c r="A110" s="76" t="s">
        <v>311</v>
      </c>
      <c r="B110" s="77" t="s">
        <v>923</v>
      </c>
      <c r="C110" s="76" t="s">
        <v>312</v>
      </c>
    </row>
    <row r="111" spans="1:3">
      <c r="A111" s="76" t="s">
        <v>425</v>
      </c>
      <c r="B111" s="77" t="s">
        <v>923</v>
      </c>
      <c r="C111" s="76" t="s">
        <v>426</v>
      </c>
    </row>
    <row r="112" spans="1:3">
      <c r="A112" s="76" t="s">
        <v>314</v>
      </c>
      <c r="B112" s="77" t="s">
        <v>923</v>
      </c>
      <c r="C112" s="76" t="s">
        <v>315</v>
      </c>
    </row>
    <row r="113" spans="1:3">
      <c r="A113" s="76" t="s">
        <v>431</v>
      </c>
      <c r="B113" s="77" t="s">
        <v>923</v>
      </c>
      <c r="C113" s="76" t="s">
        <v>432</v>
      </c>
    </row>
    <row r="114" spans="1:3">
      <c r="A114" s="76" t="s">
        <v>625</v>
      </c>
      <c r="B114" s="77" t="s">
        <v>923</v>
      </c>
      <c r="C114" s="76" t="s">
        <v>626</v>
      </c>
    </row>
    <row r="115" spans="1:3">
      <c r="A115" s="76" t="s">
        <v>317</v>
      </c>
      <c r="B115" s="77" t="s">
        <v>923</v>
      </c>
      <c r="C115" s="76" t="s">
        <v>318</v>
      </c>
    </row>
    <row r="116" spans="1:3">
      <c r="A116" s="76" t="s">
        <v>320</v>
      </c>
      <c r="B116" s="77" t="s">
        <v>923</v>
      </c>
      <c r="C116" s="76" t="s">
        <v>321</v>
      </c>
    </row>
    <row r="117" spans="1:3">
      <c r="A117" s="76" t="s">
        <v>639</v>
      </c>
      <c r="B117" s="77" t="s">
        <v>923</v>
      </c>
      <c r="C117" s="76" t="s">
        <v>640</v>
      </c>
    </row>
    <row r="118" spans="1:3">
      <c r="A118" s="76" t="s">
        <v>557</v>
      </c>
      <c r="B118" s="77" t="s">
        <v>923</v>
      </c>
      <c r="C118" s="76" t="s">
        <v>558</v>
      </c>
    </row>
    <row r="119" spans="1:3">
      <c r="A119" s="76" t="s">
        <v>548</v>
      </c>
      <c r="B119" s="77" t="s">
        <v>923</v>
      </c>
      <c r="C119" s="76" t="s">
        <v>549</v>
      </c>
    </row>
    <row r="120" spans="1:3">
      <c r="A120" s="76" t="s">
        <v>542</v>
      </c>
      <c r="B120" s="77" t="s">
        <v>923</v>
      </c>
      <c r="C120" s="76" t="s">
        <v>543</v>
      </c>
    </row>
    <row r="121" spans="1:3">
      <c r="A121" s="76" t="s">
        <v>21</v>
      </c>
      <c r="B121" s="77" t="s">
        <v>923</v>
      </c>
      <c r="C121" s="76" t="s">
        <v>22</v>
      </c>
    </row>
    <row r="122" spans="1:3">
      <c r="A122" s="76" t="s">
        <v>329</v>
      </c>
      <c r="B122" s="77" t="s">
        <v>923</v>
      </c>
      <c r="C122" s="76" t="s">
        <v>330</v>
      </c>
    </row>
    <row r="123" spans="1:3">
      <c r="A123" s="76" t="s">
        <v>440</v>
      </c>
      <c r="B123" s="77" t="s">
        <v>923</v>
      </c>
      <c r="C123" s="76" t="s">
        <v>441</v>
      </c>
    </row>
    <row r="124" spans="1:3">
      <c r="A124" s="76" t="s">
        <v>90</v>
      </c>
      <c r="B124" s="77" t="s">
        <v>923</v>
      </c>
      <c r="C124" s="76" t="s">
        <v>91</v>
      </c>
    </row>
    <row r="125" spans="1:3">
      <c r="A125" s="76" t="s">
        <v>332</v>
      </c>
      <c r="B125" s="77" t="s">
        <v>923</v>
      </c>
      <c r="C125" s="76" t="s">
        <v>333</v>
      </c>
    </row>
    <row r="126" spans="1:3">
      <c r="A126" s="76" t="s">
        <v>443</v>
      </c>
      <c r="B126" s="77" t="s">
        <v>923</v>
      </c>
      <c r="C126" s="76" t="s">
        <v>444</v>
      </c>
    </row>
    <row r="127" spans="1:3">
      <c r="A127" s="76" t="s">
        <v>653</v>
      </c>
      <c r="B127" s="77" t="s">
        <v>923</v>
      </c>
      <c r="C127" s="76" t="s">
        <v>654</v>
      </c>
    </row>
    <row r="128" spans="1:3">
      <c r="A128" s="76" t="s">
        <v>24</v>
      </c>
      <c r="B128" s="77" t="s">
        <v>923</v>
      </c>
      <c r="C128" s="76" t="s">
        <v>25</v>
      </c>
    </row>
    <row r="129" spans="1:3">
      <c r="A129" s="76" t="s">
        <v>335</v>
      </c>
      <c r="B129" s="77" t="s">
        <v>923</v>
      </c>
      <c r="C129" s="76" t="s">
        <v>336</v>
      </c>
    </row>
    <row r="130" spans="1:3">
      <c r="A130" s="76" t="s">
        <v>655</v>
      </c>
      <c r="B130" s="77" t="s">
        <v>923</v>
      </c>
      <c r="C130" s="76" t="s">
        <v>656</v>
      </c>
    </row>
    <row r="131" spans="1:3">
      <c r="A131" s="76" t="s">
        <v>338</v>
      </c>
      <c r="B131" s="77" t="s">
        <v>923</v>
      </c>
      <c r="C131" s="76" t="s">
        <v>339</v>
      </c>
    </row>
    <row r="132" spans="1:3">
      <c r="A132" s="76" t="s">
        <v>446</v>
      </c>
      <c r="B132" s="77" t="s">
        <v>923</v>
      </c>
      <c r="C132" s="76" t="s">
        <v>447</v>
      </c>
    </row>
    <row r="133" spans="1:3">
      <c r="A133" s="76" t="s">
        <v>455</v>
      </c>
      <c r="B133" s="77" t="s">
        <v>923</v>
      </c>
      <c r="C133" s="76" t="s">
        <v>456</v>
      </c>
    </row>
    <row r="134" spans="1:3">
      <c r="A134" s="76" t="s">
        <v>344</v>
      </c>
      <c r="B134" s="77" t="s">
        <v>923</v>
      </c>
      <c r="C134" s="76" t="s">
        <v>345</v>
      </c>
    </row>
    <row r="135" spans="1:3">
      <c r="A135" s="76" t="s">
        <v>347</v>
      </c>
      <c r="B135" s="77" t="s">
        <v>923</v>
      </c>
      <c r="C135" s="76" t="s">
        <v>348</v>
      </c>
    </row>
    <row r="136" spans="1:3">
      <c r="A136" s="76" t="s">
        <v>677</v>
      </c>
      <c r="B136" s="77" t="s">
        <v>923</v>
      </c>
      <c r="C136" s="76" t="s">
        <v>678</v>
      </c>
    </row>
    <row r="137" spans="1:3">
      <c r="A137" s="76" t="s">
        <v>124</v>
      </c>
      <c r="B137" s="77" t="s">
        <v>923</v>
      </c>
      <c r="C137" s="76" t="s">
        <v>125</v>
      </c>
    </row>
    <row r="138" spans="1:3">
      <c r="A138" s="76" t="s">
        <v>681</v>
      </c>
      <c r="B138" s="77" t="s">
        <v>923</v>
      </c>
      <c r="C138" s="76" t="s">
        <v>682</v>
      </c>
    </row>
    <row r="139" spans="1:3">
      <c r="A139" s="76" t="s">
        <v>350</v>
      </c>
      <c r="B139" s="77" t="s">
        <v>923</v>
      </c>
      <c r="C139" s="76" t="s">
        <v>351</v>
      </c>
    </row>
    <row r="140" spans="1:3">
      <c r="A140" s="76" t="s">
        <v>458</v>
      </c>
      <c r="B140" s="77" t="s">
        <v>923</v>
      </c>
      <c r="C140" s="76" t="s">
        <v>459</v>
      </c>
    </row>
    <row r="141" spans="1:3">
      <c r="A141" s="76" t="s">
        <v>353</v>
      </c>
      <c r="B141" s="77" t="s">
        <v>923</v>
      </c>
      <c r="C141" s="76" t="s">
        <v>354</v>
      </c>
    </row>
    <row r="142" spans="1:3">
      <c r="A142" s="76" t="s">
        <v>687</v>
      </c>
      <c r="B142" s="77" t="s">
        <v>923</v>
      </c>
      <c r="C142" s="76" t="s">
        <v>688</v>
      </c>
    </row>
    <row r="143" spans="1:3">
      <c r="A143" s="76" t="s">
        <v>356</v>
      </c>
      <c r="B143" s="77" t="s">
        <v>923</v>
      </c>
      <c r="C143" s="76" t="s">
        <v>357</v>
      </c>
    </row>
    <row r="144" spans="1:3">
      <c r="A144" s="76" t="s">
        <v>461</v>
      </c>
      <c r="B144" s="77" t="s">
        <v>923</v>
      </c>
      <c r="C144" s="76" t="s">
        <v>462</v>
      </c>
    </row>
    <row r="145" spans="1:3">
      <c r="A145" s="76" t="s">
        <v>691</v>
      </c>
      <c r="B145" s="77" t="s">
        <v>923</v>
      </c>
      <c r="C145" s="76" t="s">
        <v>692</v>
      </c>
    </row>
    <row r="146" spans="1:3">
      <c r="A146" s="76" t="s">
        <v>464</v>
      </c>
      <c r="B146" s="77" t="s">
        <v>923</v>
      </c>
      <c r="C146" s="76" t="s">
        <v>465</v>
      </c>
    </row>
    <row r="147" spans="1:3">
      <c r="A147" s="76" t="s">
        <v>695</v>
      </c>
      <c r="B147" s="77" t="s">
        <v>923</v>
      </c>
      <c r="C147" s="76" t="s">
        <v>696</v>
      </c>
    </row>
    <row r="148" spans="1:3">
      <c r="A148" s="76" t="s">
        <v>473</v>
      </c>
      <c r="B148" s="77" t="s">
        <v>923</v>
      </c>
      <c r="C148" s="76" t="s">
        <v>474</v>
      </c>
    </row>
    <row r="149" spans="1:3">
      <c r="A149" s="76" t="s">
        <v>476</v>
      </c>
      <c r="B149" s="77" t="s">
        <v>923</v>
      </c>
      <c r="C149" s="76" t="s">
        <v>477</v>
      </c>
    </row>
    <row r="150" spans="1:3">
      <c r="A150" s="76" t="s">
        <v>359</v>
      </c>
      <c r="B150" s="77" t="s">
        <v>923</v>
      </c>
      <c r="C150" s="76" t="s">
        <v>360</v>
      </c>
    </row>
    <row r="151" spans="1:3">
      <c r="A151" s="76" t="s">
        <v>479</v>
      </c>
      <c r="B151" s="77" t="s">
        <v>923</v>
      </c>
      <c r="C151" s="76" t="s">
        <v>480</v>
      </c>
    </row>
    <row r="152" spans="1:3">
      <c r="A152" s="76" t="s">
        <v>563</v>
      </c>
      <c r="B152" s="77" t="s">
        <v>923</v>
      </c>
      <c r="C152" s="76" t="s">
        <v>564</v>
      </c>
    </row>
    <row r="153" spans="1:3">
      <c r="A153" s="76" t="s">
        <v>703</v>
      </c>
      <c r="B153" s="77" t="s">
        <v>923</v>
      </c>
      <c r="C153" s="76" t="s">
        <v>704</v>
      </c>
    </row>
    <row r="154" spans="1:3">
      <c r="A154" s="76" t="s">
        <v>482</v>
      </c>
      <c r="B154" s="77" t="s">
        <v>923</v>
      </c>
      <c r="C154" s="76" t="s">
        <v>483</v>
      </c>
    </row>
    <row r="155" spans="1:3">
      <c r="A155" s="76" t="s">
        <v>491</v>
      </c>
      <c r="B155" s="77" t="s">
        <v>923</v>
      </c>
      <c r="C155" s="76" t="s">
        <v>492</v>
      </c>
    </row>
    <row r="156" spans="1:3">
      <c r="A156" s="76" t="s">
        <v>362</v>
      </c>
      <c r="B156" s="77" t="s">
        <v>923</v>
      </c>
      <c r="C156" s="76" t="s">
        <v>363</v>
      </c>
    </row>
    <row r="157" spans="1:3">
      <c r="A157" s="76" t="s">
        <v>494</v>
      </c>
      <c r="B157" s="77" t="s">
        <v>923</v>
      </c>
      <c r="C157" s="76" t="s">
        <v>495</v>
      </c>
    </row>
    <row r="158" spans="1:3">
      <c r="A158" s="76" t="s">
        <v>30</v>
      </c>
      <c r="B158" s="77" t="s">
        <v>923</v>
      </c>
      <c r="C158" s="76" t="s">
        <v>31</v>
      </c>
    </row>
    <row r="159" spans="1:3">
      <c r="A159" s="76" t="s">
        <v>497</v>
      </c>
      <c r="B159" s="77" t="s">
        <v>923</v>
      </c>
      <c r="C159" s="76" t="s">
        <v>498</v>
      </c>
    </row>
    <row r="160" spans="1:3">
      <c r="A160" s="76" t="s">
        <v>749</v>
      </c>
      <c r="B160" s="77" t="s">
        <v>923</v>
      </c>
      <c r="C160" s="76" t="s">
        <v>750</v>
      </c>
    </row>
    <row r="161" spans="1:3">
      <c r="A161" s="76" t="s">
        <v>751</v>
      </c>
      <c r="B161" s="77" t="s">
        <v>923</v>
      </c>
      <c r="C161" s="76" t="s">
        <v>752</v>
      </c>
    </row>
    <row r="162" spans="1:3">
      <c r="A162" s="76" t="s">
        <v>500</v>
      </c>
      <c r="B162" s="77" t="s">
        <v>923</v>
      </c>
      <c r="C162" s="76" t="s">
        <v>501</v>
      </c>
    </row>
    <row r="163" spans="1:3">
      <c r="A163" s="76" t="s">
        <v>767</v>
      </c>
      <c r="B163" s="77" t="s">
        <v>923</v>
      </c>
      <c r="C163" s="76" t="s">
        <v>768</v>
      </c>
    </row>
    <row r="164" spans="1:3">
      <c r="A164" s="76" t="s">
        <v>769</v>
      </c>
      <c r="B164" s="77" t="s">
        <v>923</v>
      </c>
      <c r="C164" s="76" t="s">
        <v>770</v>
      </c>
    </row>
    <row r="165" spans="1:3">
      <c r="A165" s="76" t="s">
        <v>115</v>
      </c>
      <c r="B165" s="77" t="s">
        <v>923</v>
      </c>
      <c r="C165" s="76" t="s">
        <v>116</v>
      </c>
    </row>
    <row r="166" spans="1:3">
      <c r="A166" s="76" t="s">
        <v>380</v>
      </c>
      <c r="B166" s="77" t="s">
        <v>923</v>
      </c>
      <c r="C166" s="76" t="s">
        <v>381</v>
      </c>
    </row>
    <row r="167" spans="1:3">
      <c r="A167" s="76" t="s">
        <v>509</v>
      </c>
      <c r="B167" s="77" t="s">
        <v>923</v>
      </c>
      <c r="C167" s="76" t="s">
        <v>510</v>
      </c>
    </row>
    <row r="168" spans="1:3">
      <c r="A168" s="76" t="s">
        <v>566</v>
      </c>
      <c r="B168" s="77" t="s">
        <v>923</v>
      </c>
      <c r="C168" s="76" t="s">
        <v>567</v>
      </c>
    </row>
    <row r="169" spans="1:3">
      <c r="A169" s="76" t="s">
        <v>118</v>
      </c>
      <c r="B169" s="77" t="s">
        <v>923</v>
      </c>
      <c r="C169" s="76" t="s">
        <v>119</v>
      </c>
    </row>
    <row r="170" spans="1:3">
      <c r="A170" s="76" t="s">
        <v>789</v>
      </c>
      <c r="B170" s="77" t="s">
        <v>923</v>
      </c>
      <c r="C170" s="76" t="s">
        <v>790</v>
      </c>
    </row>
    <row r="171" spans="1:3">
      <c r="A171" s="76" t="s">
        <v>805</v>
      </c>
      <c r="B171" s="77" t="s">
        <v>923</v>
      </c>
      <c r="C171" s="76" t="s">
        <v>806</v>
      </c>
    </row>
    <row r="172" spans="1:3">
      <c r="A172" s="76" t="s">
        <v>60</v>
      </c>
      <c r="B172" s="77" t="s">
        <v>923</v>
      </c>
      <c r="C172" s="76" t="s">
        <v>61</v>
      </c>
    </row>
    <row r="173" spans="1:3">
      <c r="A173" s="76" t="s">
        <v>63</v>
      </c>
      <c r="B173" s="77" t="s">
        <v>923</v>
      </c>
      <c r="C173" s="76" t="s">
        <v>64</v>
      </c>
    </row>
    <row r="174" spans="1:3">
      <c r="A174" s="76" t="s">
        <v>66</v>
      </c>
      <c r="B174" s="77" t="s">
        <v>923</v>
      </c>
      <c r="C174" s="76" t="s">
        <v>67</v>
      </c>
    </row>
    <row r="175" spans="1:3">
      <c r="A175" s="76" t="s">
        <v>823</v>
      </c>
      <c r="B175" s="77" t="s">
        <v>923</v>
      </c>
      <c r="C175" s="76" t="s">
        <v>824</v>
      </c>
    </row>
    <row r="176" spans="1:3">
      <c r="A176" s="76" t="s">
        <v>45</v>
      </c>
      <c r="B176" s="77" t="s">
        <v>923</v>
      </c>
      <c r="C176" s="76" t="s">
        <v>46</v>
      </c>
    </row>
    <row r="177" spans="1:3">
      <c r="A177" s="76" t="s">
        <v>527</v>
      </c>
      <c r="B177" s="77" t="s">
        <v>923</v>
      </c>
      <c r="C177" s="76" t="s">
        <v>528</v>
      </c>
    </row>
    <row r="178" spans="1:3">
      <c r="A178" s="76" t="s">
        <v>591</v>
      </c>
      <c r="B178" s="77" t="s">
        <v>940</v>
      </c>
      <c r="C178" s="76" t="s">
        <v>592</v>
      </c>
    </row>
    <row r="179" spans="1:3">
      <c r="A179" s="76" t="s">
        <v>398</v>
      </c>
      <c r="B179" s="77" t="s">
        <v>940</v>
      </c>
      <c r="C179" s="76" t="s">
        <v>399</v>
      </c>
    </row>
    <row r="180" spans="1:3">
      <c r="A180" s="76" t="s">
        <v>597</v>
      </c>
      <c r="B180" s="77" t="s">
        <v>940</v>
      </c>
      <c r="C180" s="76" t="s">
        <v>598</v>
      </c>
    </row>
    <row r="181" spans="1:3">
      <c r="A181" s="76" t="s">
        <v>10</v>
      </c>
      <c r="B181" s="77" t="s">
        <v>940</v>
      </c>
      <c r="C181" s="76" t="s">
        <v>11</v>
      </c>
    </row>
    <row r="182" spans="1:3">
      <c r="A182" s="76" t="s">
        <v>133</v>
      </c>
      <c r="B182" s="77" t="s">
        <v>940</v>
      </c>
      <c r="C182" s="76" t="s">
        <v>134</v>
      </c>
    </row>
    <row r="183" spans="1:3">
      <c r="A183" s="76" t="s">
        <v>289</v>
      </c>
      <c r="B183" s="77" t="s">
        <v>940</v>
      </c>
      <c r="C183" s="76" t="s">
        <v>290</v>
      </c>
    </row>
    <row r="184" spans="1:3">
      <c r="A184" s="76" t="s">
        <v>404</v>
      </c>
      <c r="B184" s="77" t="s">
        <v>940</v>
      </c>
      <c r="C184" s="76" t="s">
        <v>405</v>
      </c>
    </row>
    <row r="185" spans="1:3">
      <c r="A185" s="76" t="s">
        <v>599</v>
      </c>
      <c r="B185" s="77" t="s">
        <v>940</v>
      </c>
      <c r="C185" s="76" t="s">
        <v>600</v>
      </c>
    </row>
    <row r="186" spans="1:3">
      <c r="A186" s="76" t="s">
        <v>613</v>
      </c>
      <c r="B186" s="77" t="s">
        <v>940</v>
      </c>
      <c r="C186" s="76" t="s">
        <v>614</v>
      </c>
    </row>
    <row r="187" spans="1:3">
      <c r="A187" s="76" t="s">
        <v>15</v>
      </c>
      <c r="B187" s="77" t="s">
        <v>940</v>
      </c>
      <c r="C187" s="76" t="s">
        <v>16</v>
      </c>
    </row>
    <row r="188" spans="1:3">
      <c r="A188" s="76" t="s">
        <v>298</v>
      </c>
      <c r="B188" s="77" t="s">
        <v>940</v>
      </c>
      <c r="C188" s="76" t="s">
        <v>299</v>
      </c>
    </row>
    <row r="189" spans="1:3">
      <c r="A189" s="76" t="s">
        <v>416</v>
      </c>
      <c r="B189" s="77" t="s">
        <v>940</v>
      </c>
      <c r="C189" s="76" t="s">
        <v>417</v>
      </c>
    </row>
    <row r="190" spans="1:3">
      <c r="A190" s="76" t="s">
        <v>419</v>
      </c>
      <c r="B190" s="77" t="s">
        <v>940</v>
      </c>
      <c r="C190" s="76" t="s">
        <v>420</v>
      </c>
    </row>
    <row r="191" spans="1:3">
      <c r="A191" s="76" t="s">
        <v>93</v>
      </c>
      <c r="B191" s="77" t="s">
        <v>940</v>
      </c>
      <c r="C191" s="76" t="s">
        <v>94</v>
      </c>
    </row>
    <row r="192" spans="1:3">
      <c r="A192" s="76" t="s">
        <v>621</v>
      </c>
      <c r="B192" s="77" t="s">
        <v>940</v>
      </c>
      <c r="C192" s="76" t="s">
        <v>622</v>
      </c>
    </row>
    <row r="193" spans="1:3">
      <c r="A193" s="76" t="s">
        <v>428</v>
      </c>
      <c r="B193" s="77" t="s">
        <v>940</v>
      </c>
      <c r="C193" s="76" t="s">
        <v>429</v>
      </c>
    </row>
    <row r="194" spans="1:3">
      <c r="A194" s="76" t="s">
        <v>434</v>
      </c>
      <c r="B194" s="77" t="s">
        <v>940</v>
      </c>
      <c r="C194" s="76" t="s">
        <v>435</v>
      </c>
    </row>
    <row r="195" spans="1:3">
      <c r="A195" s="76" t="s">
        <v>551</v>
      </c>
      <c r="B195" s="77" t="s">
        <v>940</v>
      </c>
      <c r="C195" s="76" t="s">
        <v>552</v>
      </c>
    </row>
    <row r="196" spans="1:3">
      <c r="A196" s="76" t="s">
        <v>641</v>
      </c>
      <c r="B196" s="77" t="s">
        <v>940</v>
      </c>
      <c r="C196" s="76" t="s">
        <v>642</v>
      </c>
    </row>
    <row r="197" spans="1:3">
      <c r="A197" s="76" t="s">
        <v>130</v>
      </c>
      <c r="B197" s="77" t="s">
        <v>940</v>
      </c>
      <c r="C197" s="76" t="s">
        <v>131</v>
      </c>
    </row>
    <row r="198" spans="1:3">
      <c r="A198" s="76" t="s">
        <v>323</v>
      </c>
      <c r="B198" s="77" t="s">
        <v>940</v>
      </c>
      <c r="C198" s="76" t="s">
        <v>324</v>
      </c>
    </row>
    <row r="199" spans="1:3">
      <c r="A199" s="76" t="s">
        <v>649</v>
      </c>
      <c r="B199" s="77" t="s">
        <v>940</v>
      </c>
      <c r="C199" s="76" t="s">
        <v>650</v>
      </c>
    </row>
    <row r="200" spans="1:3">
      <c r="A200" s="76" t="s">
        <v>326</v>
      </c>
      <c r="B200" s="77" t="s">
        <v>940</v>
      </c>
      <c r="C200" s="76" t="s">
        <v>327</v>
      </c>
    </row>
    <row r="201" spans="1:3">
      <c r="A201" s="76" t="s">
        <v>437</v>
      </c>
      <c r="B201" s="77" t="s">
        <v>940</v>
      </c>
      <c r="C201" s="76" t="s">
        <v>438</v>
      </c>
    </row>
    <row r="202" spans="1:3">
      <c r="A202" s="76" t="s">
        <v>575</v>
      </c>
      <c r="B202" s="77" t="s">
        <v>940</v>
      </c>
      <c r="C202" s="76" t="s">
        <v>576</v>
      </c>
    </row>
    <row r="203" spans="1:3">
      <c r="A203" s="76" t="s">
        <v>651</v>
      </c>
      <c r="B203" s="77" t="s">
        <v>940</v>
      </c>
      <c r="C203" s="76" t="s">
        <v>652</v>
      </c>
    </row>
    <row r="204" spans="1:3">
      <c r="A204" s="76" t="s">
        <v>341</v>
      </c>
      <c r="B204" s="77" t="s">
        <v>940</v>
      </c>
      <c r="C204" s="76" t="s">
        <v>342</v>
      </c>
    </row>
    <row r="205" spans="1:3">
      <c r="A205" s="76" t="s">
        <v>109</v>
      </c>
      <c r="B205" s="77" t="s">
        <v>940</v>
      </c>
      <c r="C205" s="76" t="s">
        <v>110</v>
      </c>
    </row>
    <row r="206" spans="1:3">
      <c r="A206" s="76" t="s">
        <v>449</v>
      </c>
      <c r="B206" s="77" t="s">
        <v>940</v>
      </c>
      <c r="C206" s="76" t="s">
        <v>450</v>
      </c>
    </row>
    <row r="207" spans="1:3">
      <c r="A207" s="76" t="s">
        <v>452</v>
      </c>
      <c r="B207" s="77" t="s">
        <v>940</v>
      </c>
      <c r="C207" s="76" t="s">
        <v>453</v>
      </c>
    </row>
    <row r="208" spans="1:3">
      <c r="A208" s="76" t="s">
        <v>572</v>
      </c>
      <c r="B208" s="77" t="s">
        <v>940</v>
      </c>
      <c r="C208" s="76" t="s">
        <v>573</v>
      </c>
    </row>
    <row r="209" spans="1:3">
      <c r="A209" s="76" t="s">
        <v>533</v>
      </c>
      <c r="B209" s="77" t="s">
        <v>940</v>
      </c>
      <c r="C209" s="76" t="s">
        <v>534</v>
      </c>
    </row>
    <row r="210" spans="1:3">
      <c r="A210" s="76" t="s">
        <v>536</v>
      </c>
      <c r="B210" s="77" t="s">
        <v>940</v>
      </c>
      <c r="C210" s="76" t="s">
        <v>537</v>
      </c>
    </row>
    <row r="211" spans="1:3">
      <c r="A211" s="76" t="s">
        <v>467</v>
      </c>
      <c r="B211" s="77" t="s">
        <v>940</v>
      </c>
      <c r="C211" s="76" t="s">
        <v>468</v>
      </c>
    </row>
    <row r="212" spans="1:3">
      <c r="A212" s="76" t="s">
        <v>545</v>
      </c>
      <c r="B212" s="77" t="s">
        <v>940</v>
      </c>
      <c r="C212" s="76" t="s">
        <v>546</v>
      </c>
    </row>
    <row r="213" spans="1:3">
      <c r="A213" s="76" t="s">
        <v>470</v>
      </c>
      <c r="B213" s="77" t="s">
        <v>940</v>
      </c>
      <c r="C213" s="76" t="s">
        <v>471</v>
      </c>
    </row>
    <row r="214" spans="1:3">
      <c r="A214" s="76" t="s">
        <v>554</v>
      </c>
      <c r="B214" s="77" t="s">
        <v>940</v>
      </c>
      <c r="C214" s="76" t="s">
        <v>555</v>
      </c>
    </row>
    <row r="215" spans="1:3">
      <c r="A215" s="76" t="s">
        <v>693</v>
      </c>
      <c r="B215" s="77" t="s">
        <v>940</v>
      </c>
      <c r="C215" s="76" t="s">
        <v>694</v>
      </c>
    </row>
    <row r="216" spans="1:3">
      <c r="A216" s="76" t="s">
        <v>709</v>
      </c>
      <c r="B216" s="77" t="s">
        <v>940</v>
      </c>
      <c r="C216" s="76" t="s">
        <v>710</v>
      </c>
    </row>
    <row r="217" spans="1:3">
      <c r="A217" s="76" t="s">
        <v>711</v>
      </c>
      <c r="B217" s="77" t="s">
        <v>940</v>
      </c>
      <c r="C217" s="76" t="s">
        <v>712</v>
      </c>
    </row>
    <row r="218" spans="1:3">
      <c r="A218" s="76" t="s">
        <v>485</v>
      </c>
      <c r="B218" s="77" t="s">
        <v>940</v>
      </c>
      <c r="C218" s="76" t="s">
        <v>486</v>
      </c>
    </row>
    <row r="219" spans="1:3">
      <c r="A219" s="76" t="s">
        <v>488</v>
      </c>
      <c r="B219" s="77" t="s">
        <v>940</v>
      </c>
      <c r="C219" s="76" t="s">
        <v>489</v>
      </c>
    </row>
    <row r="220" spans="1:3">
      <c r="A220" s="76" t="s">
        <v>717</v>
      </c>
      <c r="B220" s="77" t="s">
        <v>940</v>
      </c>
      <c r="C220" s="76" t="s">
        <v>718</v>
      </c>
    </row>
    <row r="221" spans="1:3">
      <c r="A221" s="76" t="s">
        <v>365</v>
      </c>
      <c r="B221" s="77" t="s">
        <v>940</v>
      </c>
      <c r="C221" s="76" t="s">
        <v>366</v>
      </c>
    </row>
    <row r="222" spans="1:3">
      <c r="A222" s="76" t="s">
        <v>725</v>
      </c>
      <c r="B222" s="77" t="s">
        <v>940</v>
      </c>
      <c r="C222" s="76" t="s">
        <v>726</v>
      </c>
    </row>
    <row r="223" spans="1:3">
      <c r="A223" s="76" t="s">
        <v>51</v>
      </c>
      <c r="B223" s="77" t="s">
        <v>940</v>
      </c>
      <c r="C223" s="76" t="s">
        <v>52</v>
      </c>
    </row>
    <row r="224" spans="1:3">
      <c r="A224" s="76" t="s">
        <v>368</v>
      </c>
      <c r="B224" s="77" t="s">
        <v>940</v>
      </c>
      <c r="C224" s="76" t="s">
        <v>369</v>
      </c>
    </row>
    <row r="225" spans="1:3">
      <c r="A225" s="76" t="s">
        <v>737</v>
      </c>
      <c r="B225" s="77" t="s">
        <v>940</v>
      </c>
      <c r="C225" s="76" t="s">
        <v>738</v>
      </c>
    </row>
    <row r="226" spans="1:3">
      <c r="A226" s="76" t="s">
        <v>739</v>
      </c>
      <c r="B226" s="77" t="s">
        <v>940</v>
      </c>
      <c r="C226" s="76" t="s">
        <v>740</v>
      </c>
    </row>
    <row r="227" spans="1:3">
      <c r="A227" s="76" t="s">
        <v>747</v>
      </c>
      <c r="B227" s="77" t="s">
        <v>940</v>
      </c>
      <c r="C227" s="76" t="s">
        <v>748</v>
      </c>
    </row>
    <row r="228" spans="1:3">
      <c r="A228" s="76" t="s">
        <v>539</v>
      </c>
      <c r="B228" s="77" t="s">
        <v>940</v>
      </c>
      <c r="C228" s="76" t="s">
        <v>540</v>
      </c>
    </row>
    <row r="229" spans="1:3">
      <c r="A229" s="76" t="s">
        <v>569</v>
      </c>
      <c r="B229" s="77" t="s">
        <v>940</v>
      </c>
      <c r="C229" s="76" t="s">
        <v>570</v>
      </c>
    </row>
    <row r="230" spans="1:3">
      <c r="A230" s="76" t="s">
        <v>759</v>
      </c>
      <c r="B230" s="77" t="s">
        <v>940</v>
      </c>
      <c r="C230" s="76" t="s">
        <v>760</v>
      </c>
    </row>
    <row r="231" spans="1:3">
      <c r="A231" s="76" t="s">
        <v>761</v>
      </c>
      <c r="B231" s="77" t="s">
        <v>940</v>
      </c>
      <c r="C231" s="76" t="s">
        <v>762</v>
      </c>
    </row>
    <row r="232" spans="1:3">
      <c r="A232" s="76" t="s">
        <v>371</v>
      </c>
      <c r="B232" s="77" t="s">
        <v>940</v>
      </c>
      <c r="C232" s="76" t="s">
        <v>372</v>
      </c>
    </row>
    <row r="233" spans="1:3">
      <c r="A233" s="76" t="s">
        <v>763</v>
      </c>
      <c r="B233" s="77" t="s">
        <v>940</v>
      </c>
      <c r="C233" s="76" t="s">
        <v>764</v>
      </c>
    </row>
    <row r="234" spans="1:3">
      <c r="A234" s="76" t="s">
        <v>96</v>
      </c>
      <c r="B234" s="77" t="s">
        <v>940</v>
      </c>
      <c r="C234" s="76" t="s">
        <v>97</v>
      </c>
    </row>
    <row r="235" spans="1:3">
      <c r="A235" s="76" t="s">
        <v>374</v>
      </c>
      <c r="B235" s="77" t="s">
        <v>940</v>
      </c>
      <c r="C235" s="76" t="s">
        <v>375</v>
      </c>
    </row>
    <row r="236" spans="1:3">
      <c r="A236" s="76" t="s">
        <v>503</v>
      </c>
      <c r="B236" s="77" t="s">
        <v>940</v>
      </c>
      <c r="C236" s="76" t="s">
        <v>504</v>
      </c>
    </row>
    <row r="237" spans="1:3">
      <c r="A237" s="76" t="s">
        <v>765</v>
      </c>
      <c r="B237" s="77" t="s">
        <v>940</v>
      </c>
      <c r="C237" s="76" t="s">
        <v>766</v>
      </c>
    </row>
    <row r="238" spans="1:3">
      <c r="A238" s="76" t="s">
        <v>560</v>
      </c>
      <c r="B238" s="77" t="s">
        <v>940</v>
      </c>
      <c r="C238" s="76" t="s">
        <v>561</v>
      </c>
    </row>
    <row r="239" spans="1:3">
      <c r="A239" s="76" t="s">
        <v>100</v>
      </c>
      <c r="B239" s="77" t="s">
        <v>940</v>
      </c>
      <c r="C239" s="76" t="s">
        <v>101</v>
      </c>
    </row>
    <row r="240" spans="1:3">
      <c r="A240" s="76" t="s">
        <v>777</v>
      </c>
      <c r="B240" s="77" t="s">
        <v>940</v>
      </c>
      <c r="C240" s="76" t="s">
        <v>778</v>
      </c>
    </row>
    <row r="241" spans="1:3">
      <c r="A241" s="76" t="s">
        <v>506</v>
      </c>
      <c r="B241" s="77" t="s">
        <v>940</v>
      </c>
      <c r="C241" s="76" t="s">
        <v>507</v>
      </c>
    </row>
    <row r="242" spans="1:3">
      <c r="A242" s="76" t="s">
        <v>33</v>
      </c>
      <c r="B242" s="77" t="s">
        <v>940</v>
      </c>
      <c r="C242" s="76" t="s">
        <v>34</v>
      </c>
    </row>
    <row r="243" spans="1:3">
      <c r="A243" s="76" t="s">
        <v>377</v>
      </c>
      <c r="B243" s="77" t="s">
        <v>940</v>
      </c>
      <c r="C243" s="76" t="s">
        <v>378</v>
      </c>
    </row>
    <row r="244" spans="1:3">
      <c r="A244" s="76" t="s">
        <v>383</v>
      </c>
      <c r="B244" s="77" t="s">
        <v>940</v>
      </c>
      <c r="C244" s="76" t="s">
        <v>384</v>
      </c>
    </row>
    <row r="245" spans="1:3">
      <c r="A245" s="76" t="s">
        <v>512</v>
      </c>
      <c r="B245" s="77" t="s">
        <v>940</v>
      </c>
      <c r="C245" s="76" t="s">
        <v>513</v>
      </c>
    </row>
    <row r="246" spans="1:3">
      <c r="A246" s="76" t="s">
        <v>515</v>
      </c>
      <c r="B246" s="77" t="s">
        <v>940</v>
      </c>
      <c r="C246" s="76" t="s">
        <v>516</v>
      </c>
    </row>
    <row r="247" spans="1:3">
      <c r="A247" s="76" t="s">
        <v>793</v>
      </c>
      <c r="B247" s="77" t="s">
        <v>940</v>
      </c>
      <c r="C247" s="76" t="s">
        <v>794</v>
      </c>
    </row>
    <row r="248" spans="1:3">
      <c r="A248" s="76" t="s">
        <v>795</v>
      </c>
      <c r="B248" s="77" t="s">
        <v>940</v>
      </c>
      <c r="C248" s="76" t="s">
        <v>796</v>
      </c>
    </row>
    <row r="249" spans="1:3">
      <c r="A249" s="76" t="s">
        <v>386</v>
      </c>
      <c r="B249" s="77" t="s">
        <v>940</v>
      </c>
      <c r="C249" s="76" t="s">
        <v>387</v>
      </c>
    </row>
    <row r="250" spans="1:3">
      <c r="A250" s="76" t="s">
        <v>518</v>
      </c>
      <c r="B250" s="77" t="s">
        <v>940</v>
      </c>
      <c r="C250" s="76" t="s">
        <v>519</v>
      </c>
    </row>
    <row r="251" spans="1:3">
      <c r="A251" s="76" t="s">
        <v>42</v>
      </c>
      <c r="B251" s="77" t="s">
        <v>940</v>
      </c>
      <c r="C251" s="76" t="s">
        <v>43</v>
      </c>
    </row>
    <row r="252" spans="1:3">
      <c r="A252" s="76" t="s">
        <v>84</v>
      </c>
      <c r="B252" s="77" t="s">
        <v>940</v>
      </c>
      <c r="C252" s="76" t="s">
        <v>85</v>
      </c>
    </row>
    <row r="253" spans="1:3">
      <c r="A253" s="76" t="s">
        <v>69</v>
      </c>
      <c r="B253" s="77" t="s">
        <v>940</v>
      </c>
      <c r="C253" s="76" t="s">
        <v>70</v>
      </c>
    </row>
    <row r="254" spans="1:3">
      <c r="A254" s="76" t="s">
        <v>389</v>
      </c>
      <c r="B254" s="77" t="s">
        <v>940</v>
      </c>
      <c r="C254" s="76" t="s">
        <v>390</v>
      </c>
    </row>
    <row r="255" spans="1:3">
      <c r="A255" s="76" t="s">
        <v>521</v>
      </c>
      <c r="B255" s="77" t="s">
        <v>940</v>
      </c>
      <c r="C255" s="76" t="s">
        <v>522</v>
      </c>
    </row>
    <row r="256" spans="1:3">
      <c r="A256" s="76" t="s">
        <v>72</v>
      </c>
      <c r="B256" s="77" t="s">
        <v>940</v>
      </c>
      <c r="C256" s="76" t="s">
        <v>73</v>
      </c>
    </row>
    <row r="257" spans="1:3">
      <c r="A257" s="76" t="s">
        <v>392</v>
      </c>
      <c r="B257" s="77" t="s">
        <v>940</v>
      </c>
      <c r="C257" s="76" t="s">
        <v>393</v>
      </c>
    </row>
    <row r="258" spans="1:3">
      <c r="A258" s="76" t="s">
        <v>817</v>
      </c>
      <c r="B258" s="77" t="s">
        <v>940</v>
      </c>
      <c r="C258" s="76" t="s">
        <v>818</v>
      </c>
    </row>
    <row r="259" spans="1:3">
      <c r="A259" s="76" t="s">
        <v>524</v>
      </c>
      <c r="B259" s="77" t="s">
        <v>940</v>
      </c>
      <c r="C259" s="76" t="s">
        <v>525</v>
      </c>
    </row>
    <row r="260" spans="1:3">
      <c r="A260" s="76" t="s">
        <v>530</v>
      </c>
      <c r="B260" s="77" t="s">
        <v>940</v>
      </c>
      <c r="C260" s="76" t="s">
        <v>531</v>
      </c>
    </row>
    <row r="261" spans="1:3">
      <c r="A261" s="76" t="s">
        <v>595</v>
      </c>
      <c r="B261" s="77" t="s">
        <v>950</v>
      </c>
      <c r="C261" s="76" t="s">
        <v>596</v>
      </c>
    </row>
    <row r="262" spans="1:3">
      <c r="A262" s="76" t="s">
        <v>615</v>
      </c>
      <c r="B262" s="77" t="s">
        <v>950</v>
      </c>
      <c r="C262" s="76" t="s">
        <v>616</v>
      </c>
    </row>
    <row r="263" spans="1:3">
      <c r="A263" s="76" t="s">
        <v>121</v>
      </c>
      <c r="B263" s="77" t="s">
        <v>950</v>
      </c>
      <c r="C263" s="76" t="s">
        <v>122</v>
      </c>
    </row>
    <row r="264" spans="1:3">
      <c r="A264" s="76" t="s">
        <v>145</v>
      </c>
      <c r="B264" s="77" t="s">
        <v>950</v>
      </c>
      <c r="C264" s="76" t="s">
        <v>146</v>
      </c>
    </row>
    <row r="265" spans="1:3">
      <c r="A265" s="76" t="s">
        <v>617</v>
      </c>
      <c r="B265" s="77" t="s">
        <v>950</v>
      </c>
      <c r="C265" s="76" t="s">
        <v>618</v>
      </c>
    </row>
    <row r="266" spans="1:3">
      <c r="A266" s="76" t="s">
        <v>148</v>
      </c>
      <c r="B266" s="77" t="s">
        <v>950</v>
      </c>
      <c r="C266" s="76" t="s">
        <v>149</v>
      </c>
    </row>
    <row r="267" spans="1:3">
      <c r="A267" s="76" t="s">
        <v>623</v>
      </c>
      <c r="B267" s="77" t="s">
        <v>950</v>
      </c>
      <c r="C267" s="76" t="s">
        <v>624</v>
      </c>
    </row>
    <row r="268" spans="1:3">
      <c r="A268" s="76" t="s">
        <v>136</v>
      </c>
      <c r="B268" s="77" t="s">
        <v>950</v>
      </c>
      <c r="C268" s="76" t="s">
        <v>137</v>
      </c>
    </row>
    <row r="269" spans="1:3">
      <c r="A269" s="76" t="s">
        <v>277</v>
      </c>
      <c r="B269" s="77" t="s">
        <v>950</v>
      </c>
      <c r="C269" s="76" t="s">
        <v>278</v>
      </c>
    </row>
    <row r="270" spans="1:3">
      <c r="A270" s="76" t="s">
        <v>627</v>
      </c>
      <c r="B270" s="77" t="s">
        <v>950</v>
      </c>
      <c r="C270" s="76" t="s">
        <v>628</v>
      </c>
    </row>
    <row r="271" spans="1:3">
      <c r="A271" s="76" t="s">
        <v>637</v>
      </c>
      <c r="B271" s="77" t="s">
        <v>950</v>
      </c>
      <c r="C271" s="76" t="s">
        <v>638</v>
      </c>
    </row>
    <row r="272" spans="1:3">
      <c r="A272" s="76" t="s">
        <v>211</v>
      </c>
      <c r="B272" s="77" t="s">
        <v>950</v>
      </c>
      <c r="C272" s="76" t="s">
        <v>212</v>
      </c>
    </row>
    <row r="273" spans="1:3">
      <c r="A273" s="76" t="s">
        <v>48</v>
      </c>
      <c r="B273" s="77" t="s">
        <v>950</v>
      </c>
      <c r="C273" s="76" t="s">
        <v>49</v>
      </c>
    </row>
    <row r="274" spans="1:3">
      <c r="A274" s="76" t="s">
        <v>643</v>
      </c>
      <c r="B274" s="77" t="s">
        <v>950</v>
      </c>
      <c r="C274" s="76" t="s">
        <v>644</v>
      </c>
    </row>
    <row r="275" spans="1:3">
      <c r="A275" s="76" t="s">
        <v>663</v>
      </c>
      <c r="B275" s="77" t="s">
        <v>950</v>
      </c>
      <c r="C275" s="76" t="s">
        <v>664</v>
      </c>
    </row>
    <row r="276" spans="1:3">
      <c r="A276" s="76" t="s">
        <v>217</v>
      </c>
      <c r="B276" s="77" t="s">
        <v>950</v>
      </c>
      <c r="C276" s="76" t="s">
        <v>218</v>
      </c>
    </row>
    <row r="277" spans="1:3">
      <c r="A277" s="76" t="s">
        <v>667</v>
      </c>
      <c r="B277" s="77" t="s">
        <v>950</v>
      </c>
      <c r="C277" s="76" t="s">
        <v>668</v>
      </c>
    </row>
    <row r="278" spans="1:3">
      <c r="A278" s="76" t="s">
        <v>220</v>
      </c>
      <c r="B278" s="77" t="s">
        <v>950</v>
      </c>
      <c r="C278" s="76" t="s">
        <v>221</v>
      </c>
    </row>
    <row r="279" spans="1:3">
      <c r="A279" s="76" t="s">
        <v>669</v>
      </c>
      <c r="B279" s="77" t="s">
        <v>950</v>
      </c>
      <c r="C279" s="76" t="s">
        <v>670</v>
      </c>
    </row>
    <row r="280" spans="1:3">
      <c r="A280" s="76" t="s">
        <v>671</v>
      </c>
      <c r="B280" s="77" t="s">
        <v>950</v>
      </c>
      <c r="C280" s="76" t="s">
        <v>672</v>
      </c>
    </row>
    <row r="281" spans="1:3">
      <c r="A281" s="76" t="s">
        <v>673</v>
      </c>
      <c r="B281" s="77" t="s">
        <v>950</v>
      </c>
      <c r="C281" s="76" t="s">
        <v>674</v>
      </c>
    </row>
    <row r="282" spans="1:3">
      <c r="A282" s="76" t="s">
        <v>223</v>
      </c>
      <c r="B282" s="77" t="s">
        <v>950</v>
      </c>
      <c r="C282" s="76" t="s">
        <v>224</v>
      </c>
    </row>
    <row r="283" spans="1:3">
      <c r="A283" s="76" t="s">
        <v>679</v>
      </c>
      <c r="B283" s="77" t="s">
        <v>950</v>
      </c>
      <c r="C283" s="76" t="s">
        <v>680</v>
      </c>
    </row>
    <row r="284" spans="1:3">
      <c r="A284" s="76" t="s">
        <v>685</v>
      </c>
      <c r="B284" s="77" t="s">
        <v>950</v>
      </c>
      <c r="C284" s="76" t="s">
        <v>686</v>
      </c>
    </row>
    <row r="285" spans="1:3">
      <c r="A285" s="76" t="s">
        <v>699</v>
      </c>
      <c r="B285" s="77" t="s">
        <v>950</v>
      </c>
      <c r="C285" s="76" t="s">
        <v>700</v>
      </c>
    </row>
    <row r="286" spans="1:3">
      <c r="A286" s="76" t="s">
        <v>226</v>
      </c>
      <c r="B286" s="77" t="s">
        <v>950</v>
      </c>
      <c r="C286" s="76" t="s">
        <v>227</v>
      </c>
    </row>
    <row r="287" spans="1:3">
      <c r="A287" s="76" t="s">
        <v>705</v>
      </c>
      <c r="B287" s="77" t="s">
        <v>950</v>
      </c>
      <c r="C287" s="76" t="s">
        <v>706</v>
      </c>
    </row>
    <row r="288" spans="1:3">
      <c r="A288" s="76" t="s">
        <v>707</v>
      </c>
      <c r="B288" s="77" t="s">
        <v>950</v>
      </c>
      <c r="C288" s="76" t="s">
        <v>708</v>
      </c>
    </row>
    <row r="289" spans="1:3">
      <c r="A289" s="76" t="s">
        <v>81</v>
      </c>
      <c r="B289" s="77" t="s">
        <v>950</v>
      </c>
      <c r="C289" s="76" t="s">
        <v>82</v>
      </c>
    </row>
    <row r="290" spans="1:3">
      <c r="A290" s="76" t="s">
        <v>719</v>
      </c>
      <c r="B290" s="77" t="s">
        <v>950</v>
      </c>
      <c r="C290" s="76" t="s">
        <v>720</v>
      </c>
    </row>
    <row r="291" spans="1:3">
      <c r="A291" s="76" t="s">
        <v>721</v>
      </c>
      <c r="B291" s="77" t="s">
        <v>950</v>
      </c>
      <c r="C291" s="76" t="s">
        <v>722</v>
      </c>
    </row>
    <row r="292" spans="1:3">
      <c r="A292" s="76" t="s">
        <v>727</v>
      </c>
      <c r="B292" s="77" t="s">
        <v>950</v>
      </c>
      <c r="C292" s="76" t="s">
        <v>728</v>
      </c>
    </row>
    <row r="293" spans="1:3">
      <c r="A293" s="76" t="s">
        <v>729</v>
      </c>
      <c r="B293" s="77" t="s">
        <v>950</v>
      </c>
      <c r="C293" s="76" t="s">
        <v>730</v>
      </c>
    </row>
    <row r="294" spans="1:3">
      <c r="A294" s="76" t="s">
        <v>731</v>
      </c>
      <c r="B294" s="77" t="s">
        <v>950</v>
      </c>
      <c r="C294" s="76" t="s">
        <v>732</v>
      </c>
    </row>
    <row r="295" spans="1:3">
      <c r="A295" s="76" t="s">
        <v>733</v>
      </c>
      <c r="B295" s="77" t="s">
        <v>950</v>
      </c>
      <c r="C295" s="76" t="s">
        <v>734</v>
      </c>
    </row>
    <row r="296" spans="1:3">
      <c r="A296" s="76" t="s">
        <v>238</v>
      </c>
      <c r="B296" s="77" t="s">
        <v>950</v>
      </c>
      <c r="C296" s="76" t="s">
        <v>239</v>
      </c>
    </row>
    <row r="297" spans="1:3">
      <c r="A297" s="76" t="s">
        <v>753</v>
      </c>
      <c r="B297" s="77" t="s">
        <v>950</v>
      </c>
      <c r="C297" s="76" t="s">
        <v>754</v>
      </c>
    </row>
    <row r="298" spans="1:3">
      <c r="A298" s="76" t="s">
        <v>771</v>
      </c>
      <c r="B298" s="77" t="s">
        <v>950</v>
      </c>
      <c r="C298" s="76" t="s">
        <v>772</v>
      </c>
    </row>
    <row r="299" spans="1:3">
      <c r="A299" s="76" t="s">
        <v>163</v>
      </c>
      <c r="B299" s="77" t="s">
        <v>950</v>
      </c>
      <c r="C299" s="76" t="s">
        <v>164</v>
      </c>
    </row>
    <row r="300" spans="1:3">
      <c r="A300" s="76" t="s">
        <v>773</v>
      </c>
      <c r="B300" s="77" t="s">
        <v>950</v>
      </c>
      <c r="C300" s="76" t="s">
        <v>774</v>
      </c>
    </row>
    <row r="301" spans="1:3">
      <c r="A301" s="76" t="s">
        <v>247</v>
      </c>
      <c r="B301" s="77" t="s">
        <v>950</v>
      </c>
      <c r="C301" s="76" t="s">
        <v>248</v>
      </c>
    </row>
    <row r="302" spans="1:3">
      <c r="A302" s="76" t="s">
        <v>166</v>
      </c>
      <c r="B302" s="77" t="s">
        <v>950</v>
      </c>
      <c r="C302" s="76" t="s">
        <v>167</v>
      </c>
    </row>
    <row r="303" spans="1:3">
      <c r="A303" s="76" t="s">
        <v>169</v>
      </c>
      <c r="B303" s="77" t="s">
        <v>950</v>
      </c>
      <c r="C303" s="76" t="s">
        <v>170</v>
      </c>
    </row>
    <row r="304" spans="1:3">
      <c r="A304" s="76" t="s">
        <v>253</v>
      </c>
      <c r="B304" s="77" t="s">
        <v>950</v>
      </c>
      <c r="C304" s="76" t="s">
        <v>254</v>
      </c>
    </row>
    <row r="305" spans="1:3">
      <c r="A305" s="76" t="s">
        <v>779</v>
      </c>
      <c r="B305" s="77" t="s">
        <v>950</v>
      </c>
      <c r="C305" s="76" t="s">
        <v>780</v>
      </c>
    </row>
    <row r="306" spans="1:3">
      <c r="A306" s="76" t="s">
        <v>175</v>
      </c>
      <c r="B306" s="77" t="s">
        <v>950</v>
      </c>
      <c r="C306" s="76" t="s">
        <v>176</v>
      </c>
    </row>
    <row r="307" spans="1:3">
      <c r="A307" s="76" t="s">
        <v>799</v>
      </c>
      <c r="B307" s="77" t="s">
        <v>950</v>
      </c>
      <c r="C307" s="76" t="s">
        <v>800</v>
      </c>
    </row>
    <row r="308" spans="1:3">
      <c r="A308" s="76" t="s">
        <v>807</v>
      </c>
      <c r="B308" s="77" t="s">
        <v>950</v>
      </c>
      <c r="C308" s="76" t="s">
        <v>808</v>
      </c>
    </row>
    <row r="309" spans="1:3">
      <c r="A309" s="76" t="s">
        <v>819</v>
      </c>
      <c r="B309" s="77" t="s">
        <v>950</v>
      </c>
      <c r="C309" s="76" t="s">
        <v>820</v>
      </c>
    </row>
    <row r="310" spans="1:3">
      <c r="A310" s="76" t="s">
        <v>821</v>
      </c>
      <c r="B310" s="77" t="s">
        <v>950</v>
      </c>
      <c r="C310" s="76" t="s">
        <v>822</v>
      </c>
    </row>
    <row r="311" spans="1:3">
      <c r="A311" s="76" t="s">
        <v>825</v>
      </c>
      <c r="B311" s="77" t="s">
        <v>950</v>
      </c>
      <c r="C311" s="76" t="s">
        <v>826</v>
      </c>
    </row>
    <row r="312" spans="1:3">
      <c r="A312" s="76" t="s">
        <v>827</v>
      </c>
      <c r="B312" s="77" t="s">
        <v>950</v>
      </c>
      <c r="C312" s="76" t="s">
        <v>828</v>
      </c>
    </row>
    <row r="313" spans="1:3">
      <c r="A313" s="76" t="s">
        <v>829</v>
      </c>
      <c r="B313" s="77" t="s">
        <v>950</v>
      </c>
      <c r="C313" s="76" t="s">
        <v>830</v>
      </c>
    </row>
    <row r="314" spans="1:3">
      <c r="A314" s="76" t="s">
        <v>75</v>
      </c>
      <c r="B314" s="77" t="s">
        <v>950</v>
      </c>
      <c r="C314" s="76" t="s">
        <v>76</v>
      </c>
    </row>
    <row r="315" spans="1:3">
      <c r="A315" s="78" t="s">
        <v>833</v>
      </c>
      <c r="B315" s="79" t="s">
        <v>950</v>
      </c>
      <c r="C315" s="78" t="s">
        <v>834</v>
      </c>
    </row>
    <row r="316" spans="1:3">
      <c r="A316" s="80" t="s">
        <v>578</v>
      </c>
      <c r="B316" s="81" t="s">
        <v>923</v>
      </c>
      <c r="C316" s="82" t="s">
        <v>579</v>
      </c>
    </row>
    <row r="317" spans="1:3">
      <c r="A317" s="6"/>
      <c r="B317" s="6"/>
      <c r="C317" s="7"/>
    </row>
    <row r="318" spans="1:3">
      <c r="A318" s="6"/>
      <c r="B318" s="6"/>
      <c r="C318" s="7"/>
    </row>
    <row r="319" spans="1:3">
      <c r="A319" s="6"/>
      <c r="B319" s="6"/>
      <c r="C319" s="7"/>
    </row>
    <row r="320" spans="1:3">
      <c r="A320" s="6"/>
      <c r="B320" s="6"/>
      <c r="C320" s="7"/>
    </row>
    <row r="321" spans="1:3">
      <c r="A321" s="6"/>
      <c r="B321" s="6"/>
      <c r="C321" s="7"/>
    </row>
    <row r="322" spans="1:3">
      <c r="A322" s="6"/>
      <c r="B322" s="6"/>
      <c r="C322" s="7"/>
    </row>
    <row r="323" spans="1:3">
      <c r="A323" s="6"/>
      <c r="B323" s="6"/>
      <c r="C323" s="7"/>
    </row>
    <row r="324" spans="1:3">
      <c r="A324" s="6"/>
      <c r="B324" s="6"/>
      <c r="C324" s="7"/>
    </row>
    <row r="325" spans="1:3">
      <c r="A325" s="6"/>
      <c r="B325" s="6"/>
      <c r="C325" s="7"/>
    </row>
    <row r="326" spans="1:3">
      <c r="A326" s="6"/>
      <c r="B326" s="6"/>
      <c r="C326" s="7"/>
    </row>
    <row r="327" spans="1:3">
      <c r="A327" s="6"/>
      <c r="B327" s="6"/>
      <c r="C327" s="7"/>
    </row>
    <row r="328" spans="1:3">
      <c r="A328" s="6"/>
      <c r="B328" s="6"/>
      <c r="C328" s="7"/>
    </row>
    <row r="329" spans="1:3">
      <c r="A329" s="6"/>
      <c r="B329" s="6"/>
      <c r="C329" s="7"/>
    </row>
    <row r="330" spans="1:3">
      <c r="A330" s="6"/>
      <c r="B330" s="6"/>
      <c r="C330" s="7"/>
    </row>
    <row r="331" spans="1:3">
      <c r="A331" s="6"/>
      <c r="B331" s="6"/>
      <c r="C331" s="7"/>
    </row>
    <row r="332" spans="1:3">
      <c r="A332" s="6"/>
      <c r="B332" s="6"/>
      <c r="C332" s="7"/>
    </row>
    <row r="333" spans="1:3">
      <c r="A333" s="6"/>
      <c r="B333" s="6"/>
      <c r="C333" s="7"/>
    </row>
    <row r="334" spans="1:3">
      <c r="A334" s="6"/>
      <c r="B334" s="6"/>
      <c r="C334" s="7"/>
    </row>
    <row r="335" spans="1:3">
      <c r="A335" s="6"/>
      <c r="B335" s="6"/>
      <c r="C335" s="7"/>
    </row>
    <row r="336" spans="1:3">
      <c r="A336" s="6"/>
      <c r="B336" s="6"/>
      <c r="C336" s="7"/>
    </row>
    <row r="337" spans="1:3">
      <c r="A337" s="6"/>
      <c r="B337" s="6"/>
      <c r="C337" s="7"/>
    </row>
    <row r="338" spans="1:3">
      <c r="A338" s="6"/>
      <c r="B338" s="6"/>
      <c r="C338" s="7"/>
    </row>
    <row r="339" spans="1:3">
      <c r="A339" s="6"/>
      <c r="B339" s="6"/>
      <c r="C339" s="7"/>
    </row>
    <row r="340" spans="1:3">
      <c r="A340" s="6"/>
      <c r="B340" s="6"/>
      <c r="C340" s="7"/>
    </row>
    <row r="341" spans="1:3">
      <c r="A341" s="6"/>
      <c r="B341" s="6"/>
      <c r="C341" s="7"/>
    </row>
    <row r="342" spans="1:3">
      <c r="A342" s="6"/>
      <c r="B342" s="6"/>
      <c r="C342" s="7"/>
    </row>
    <row r="343" spans="1:3">
      <c r="A343" s="6"/>
      <c r="B343" s="6"/>
      <c r="C343" s="7"/>
    </row>
    <row r="344" spans="1:3">
      <c r="A344" s="6"/>
      <c r="B344" s="6"/>
      <c r="C344" s="7"/>
    </row>
    <row r="345" spans="1:3">
      <c r="A345" s="6"/>
      <c r="B345" s="6"/>
      <c r="C345" s="7"/>
    </row>
    <row r="346" spans="1:3">
      <c r="A346" s="6"/>
      <c r="B346" s="6"/>
      <c r="C346" s="7"/>
    </row>
    <row r="347" spans="1:3">
      <c r="A347" s="6"/>
      <c r="B347" s="6"/>
      <c r="C347" s="7"/>
    </row>
    <row r="348" spans="1:3">
      <c r="A348" s="6"/>
      <c r="B348" s="6"/>
      <c r="C348" s="7"/>
    </row>
    <row r="349" spans="1:3">
      <c r="A349" s="6"/>
      <c r="B349" s="6"/>
      <c r="C349" s="7"/>
    </row>
    <row r="350" spans="1:3">
      <c r="A350" s="6"/>
      <c r="B350" s="6"/>
      <c r="C350" s="7"/>
    </row>
    <row r="351" spans="1:3">
      <c r="A351" s="6"/>
      <c r="B351" s="6"/>
      <c r="C351" s="7"/>
    </row>
    <row r="352" spans="1:3">
      <c r="A352" s="6"/>
      <c r="B352" s="6"/>
      <c r="C352" s="7"/>
    </row>
    <row r="353" spans="1:3">
      <c r="A353" s="6"/>
      <c r="B353" s="6"/>
      <c r="C353" s="7"/>
    </row>
    <row r="354" spans="1:3">
      <c r="A354" s="6"/>
      <c r="B354" s="6"/>
      <c r="C354" s="7"/>
    </row>
    <row r="355" spans="1:3">
      <c r="A355" s="6"/>
      <c r="B355" s="6"/>
      <c r="C355" s="7"/>
    </row>
    <row r="356" spans="1:3">
      <c r="A356" s="6"/>
      <c r="B356" s="6"/>
      <c r="C356" s="7"/>
    </row>
    <row r="357" spans="1:3">
      <c r="A357" s="6"/>
      <c r="B357" s="6"/>
      <c r="C357" s="7"/>
    </row>
    <row r="358" spans="1:3">
      <c r="A358" s="6"/>
      <c r="B358" s="6"/>
      <c r="C358" s="7"/>
    </row>
    <row r="359" spans="1:3">
      <c r="A359" s="6"/>
      <c r="B359" s="6"/>
      <c r="C359" s="7"/>
    </row>
    <row r="360" spans="1:3">
      <c r="A360" s="6"/>
      <c r="B360" s="6"/>
      <c r="C360" s="7"/>
    </row>
    <row r="361" spans="1:3">
      <c r="A361" s="6"/>
      <c r="B361" s="6"/>
      <c r="C361" s="7"/>
    </row>
    <row r="362" spans="1:3">
      <c r="A362" s="6"/>
      <c r="B362" s="6"/>
      <c r="C362" s="7"/>
    </row>
    <row r="363" spans="1:3">
      <c r="A363" s="6"/>
      <c r="B363" s="6"/>
      <c r="C363" s="7"/>
    </row>
    <row r="364" spans="1:3">
      <c r="A364" s="6"/>
      <c r="B364" s="6"/>
      <c r="C364" s="7"/>
    </row>
    <row r="365" spans="1:3">
      <c r="A365" s="6"/>
      <c r="B365" s="6"/>
      <c r="C365" s="7"/>
    </row>
    <row r="366" spans="1:3">
      <c r="A366" s="6"/>
      <c r="B366" s="6"/>
      <c r="C366" s="7"/>
    </row>
    <row r="367" spans="1:3">
      <c r="A367" s="6"/>
      <c r="B367" s="6"/>
      <c r="C367" s="7"/>
    </row>
    <row r="368" spans="1:3">
      <c r="A368" s="6"/>
      <c r="B368" s="6"/>
      <c r="C368" s="7"/>
    </row>
    <row r="369" spans="1:3">
      <c r="A369" s="6"/>
      <c r="B369" s="6"/>
      <c r="C369" s="7"/>
    </row>
    <row r="370" spans="1:3">
      <c r="A370" s="6"/>
      <c r="B370" s="6"/>
      <c r="C370" s="7"/>
    </row>
    <row r="371" spans="1:3">
      <c r="A371" s="6"/>
      <c r="B371" s="6"/>
      <c r="C371" s="7"/>
    </row>
    <row r="372" spans="1:3">
      <c r="A372" s="6"/>
      <c r="B372" s="6"/>
      <c r="C372" s="7"/>
    </row>
    <row r="373" spans="1:3">
      <c r="A373" s="6"/>
      <c r="B373" s="6"/>
      <c r="C373" s="7"/>
    </row>
    <row r="374" spans="1:3">
      <c r="A374" s="6"/>
      <c r="B374" s="6"/>
      <c r="C374" s="7"/>
    </row>
    <row r="375" spans="1:3">
      <c r="A375" s="6"/>
      <c r="B375" s="6"/>
      <c r="C375" s="7"/>
    </row>
    <row r="376" spans="1:3">
      <c r="A376" s="6"/>
      <c r="B376" s="6"/>
      <c r="C376" s="7"/>
    </row>
    <row r="377" spans="1:3">
      <c r="A377" s="6"/>
      <c r="B377" s="6"/>
      <c r="C377" s="7"/>
    </row>
    <row r="378" spans="1:3">
      <c r="A378" s="6"/>
      <c r="B378" s="6"/>
      <c r="C378" s="7"/>
    </row>
    <row r="379" spans="1:3">
      <c r="A379" s="6"/>
      <c r="B379" s="6"/>
      <c r="C379" s="7"/>
    </row>
    <row r="380" spans="1:3">
      <c r="A380" s="6"/>
      <c r="B380" s="6"/>
      <c r="C380" s="7"/>
    </row>
    <row r="381" spans="1:3">
      <c r="A381" s="6"/>
      <c r="B381" s="6"/>
      <c r="C381" s="7"/>
    </row>
    <row r="382" spans="1:3">
      <c r="A382" s="6"/>
      <c r="B382" s="6"/>
      <c r="C382" s="7"/>
    </row>
    <row r="383" spans="1:3">
      <c r="A383" s="6"/>
      <c r="B383" s="6"/>
      <c r="C383" s="7"/>
    </row>
    <row r="384" spans="1:3">
      <c r="A384" s="6"/>
      <c r="B384" s="6"/>
      <c r="C384" s="7"/>
    </row>
    <row r="385" spans="1:3">
      <c r="A385" s="6"/>
      <c r="B385" s="6"/>
      <c r="C385" s="7"/>
    </row>
    <row r="386" spans="1:3">
      <c r="A386" s="6"/>
      <c r="B386" s="6"/>
      <c r="C386" s="7"/>
    </row>
    <row r="387" spans="1:3">
      <c r="A387" s="6"/>
      <c r="B387" s="6"/>
      <c r="C387" s="7"/>
    </row>
    <row r="388" spans="1:3">
      <c r="A388" s="6"/>
      <c r="B388" s="6"/>
      <c r="C388" s="7"/>
    </row>
    <row r="389" spans="1:3">
      <c r="A389" s="6"/>
      <c r="B389" s="6"/>
      <c r="C389" s="7"/>
    </row>
    <row r="390" spans="1:3">
      <c r="A390" s="6"/>
      <c r="B390" s="6"/>
      <c r="C390" s="7"/>
    </row>
    <row r="391" spans="1:3">
      <c r="A391" s="6"/>
      <c r="B391" s="6"/>
      <c r="C391" s="7"/>
    </row>
    <row r="392" spans="1:3">
      <c r="A392" s="6"/>
      <c r="B392" s="6"/>
      <c r="C392" s="7"/>
    </row>
    <row r="393" spans="1:3">
      <c r="A393" s="6"/>
      <c r="B393" s="6"/>
      <c r="C393" s="7"/>
    </row>
    <row r="394" spans="1:3">
      <c r="A394" s="6"/>
      <c r="B394" s="6"/>
      <c r="C394" s="7"/>
    </row>
    <row r="395" spans="1:3">
      <c r="A395" s="6"/>
      <c r="B395" s="6"/>
      <c r="C395" s="7"/>
    </row>
    <row r="396" spans="1:3">
      <c r="A396" s="6"/>
      <c r="B396" s="6"/>
      <c r="C396" s="7"/>
    </row>
    <row r="397" spans="1:3">
      <c r="A397" s="6"/>
      <c r="B397" s="6"/>
      <c r="C397" s="7"/>
    </row>
    <row r="398" spans="1:3">
      <c r="A398" s="6"/>
      <c r="B398" s="6"/>
      <c r="C398" s="7"/>
    </row>
    <row r="399" spans="1:3">
      <c r="A399" s="6"/>
      <c r="B399" s="6"/>
      <c r="C399" s="7"/>
    </row>
    <row r="400" spans="1:3">
      <c r="A400" s="6"/>
      <c r="B400" s="6"/>
      <c r="C400" s="7"/>
    </row>
    <row r="401" spans="1:3">
      <c r="A401" s="6"/>
      <c r="B401" s="6"/>
      <c r="C401" s="7"/>
    </row>
    <row r="402" spans="1:3">
      <c r="A402" s="6"/>
      <c r="B402" s="6"/>
      <c r="C402" s="7"/>
    </row>
    <row r="403" spans="1:3">
      <c r="A403" s="6"/>
      <c r="B403" s="6"/>
      <c r="C403" s="7"/>
    </row>
    <row r="404" spans="1:3">
      <c r="A404" s="6"/>
      <c r="B404" s="6"/>
      <c r="C404" s="7"/>
    </row>
    <row r="405" spans="1:3">
      <c r="A405" s="6"/>
      <c r="B405" s="6"/>
      <c r="C405" s="7"/>
    </row>
    <row r="406" spans="1:3">
      <c r="A406" s="6"/>
      <c r="B406" s="6"/>
      <c r="C406" s="7"/>
    </row>
    <row r="407" spans="1:3">
      <c r="A407" s="6"/>
      <c r="B407" s="6"/>
      <c r="C407" s="7"/>
    </row>
    <row r="408" spans="1:3">
      <c r="A408" s="6"/>
      <c r="B408" s="6"/>
      <c r="C408" s="7"/>
    </row>
    <row r="409" spans="1:3">
      <c r="A409" s="6"/>
      <c r="B409" s="6"/>
      <c r="C409" s="7"/>
    </row>
    <row r="410" spans="1:3">
      <c r="A410" s="6"/>
      <c r="B410" s="6"/>
      <c r="C410" s="7"/>
    </row>
    <row r="411" spans="1:3">
      <c r="A411" s="6"/>
      <c r="B411" s="6"/>
      <c r="C411" s="7"/>
    </row>
    <row r="412" spans="1:3">
      <c r="A412" s="6"/>
      <c r="B412" s="6"/>
      <c r="C412" s="7"/>
    </row>
    <row r="413" spans="1:3">
      <c r="A413" s="6"/>
      <c r="B413" s="6"/>
      <c r="C413" s="7"/>
    </row>
    <row r="414" spans="1:3">
      <c r="A414" s="6"/>
      <c r="B414" s="6"/>
      <c r="C414" s="7"/>
    </row>
    <row r="415" spans="1:3">
      <c r="A415" s="6"/>
      <c r="B415" s="6"/>
      <c r="C415" s="7"/>
    </row>
    <row r="416" spans="1:3">
      <c r="A416" s="6"/>
      <c r="B416" s="6"/>
      <c r="C416" s="7"/>
    </row>
    <row r="417" spans="1:3">
      <c r="A417" s="6"/>
      <c r="B417" s="6"/>
      <c r="C417" s="7"/>
    </row>
    <row r="418" spans="1:3">
      <c r="A418" s="6"/>
      <c r="B418" s="6"/>
      <c r="C418" s="7"/>
    </row>
    <row r="419" spans="1:3">
      <c r="A419" s="6"/>
      <c r="B419" s="6"/>
      <c r="C419" s="7"/>
    </row>
    <row r="420" spans="1:3">
      <c r="A420" s="6"/>
      <c r="B420" s="6"/>
      <c r="C420" s="7"/>
    </row>
    <row r="421" spans="1:3">
      <c r="A421" s="6"/>
      <c r="B421" s="6"/>
      <c r="C421" s="7"/>
    </row>
    <row r="422" spans="1:3">
      <c r="A422" s="6"/>
      <c r="B422" s="6"/>
      <c r="C422" s="7"/>
    </row>
    <row r="423" spans="1:3">
      <c r="A423" s="6"/>
      <c r="B423" s="6"/>
      <c r="C423" s="7"/>
    </row>
    <row r="424" spans="1:3">
      <c r="A424" s="6"/>
      <c r="B424" s="6"/>
      <c r="C424" s="7"/>
    </row>
    <row r="425" spans="1:3">
      <c r="A425" s="6"/>
      <c r="B425" s="6"/>
      <c r="C425" s="7"/>
    </row>
    <row r="426" spans="1:3">
      <c r="A426" s="6"/>
      <c r="B426" s="6"/>
      <c r="C426" s="7"/>
    </row>
    <row r="427" spans="1:3">
      <c r="A427" s="6"/>
      <c r="B427" s="6"/>
      <c r="C427" s="7"/>
    </row>
    <row r="428" spans="1:3">
      <c r="A428" s="6"/>
      <c r="B428" s="6"/>
      <c r="C428" s="7"/>
    </row>
    <row r="429" spans="1:3">
      <c r="A429" s="6"/>
      <c r="B429" s="6"/>
      <c r="C429" s="7"/>
    </row>
    <row r="430" spans="1:3">
      <c r="A430" s="6"/>
      <c r="B430" s="6"/>
      <c r="C430" s="7"/>
    </row>
    <row r="431" spans="1:3">
      <c r="A431" s="6"/>
      <c r="B431" s="6"/>
      <c r="C431" s="7"/>
    </row>
    <row r="432" spans="1:3">
      <c r="A432" s="6"/>
      <c r="B432" s="6"/>
      <c r="C432" s="7"/>
    </row>
    <row r="433" spans="1:3">
      <c r="A433" s="6"/>
      <c r="B433" s="6"/>
      <c r="C433" s="7"/>
    </row>
    <row r="434" spans="1:3">
      <c r="A434" s="6"/>
      <c r="B434" s="6"/>
      <c r="C434" s="7"/>
    </row>
    <row r="435" spans="1:3">
      <c r="A435" s="6"/>
      <c r="B435" s="6"/>
      <c r="C435" s="7"/>
    </row>
    <row r="436" spans="1:3">
      <c r="A436" s="6"/>
      <c r="B436" s="6"/>
      <c r="C436" s="7"/>
    </row>
    <row r="437" spans="1:3">
      <c r="A437" s="6"/>
      <c r="B437" s="6"/>
      <c r="C437" s="7"/>
    </row>
    <row r="438" spans="1:3">
      <c r="A438" s="6"/>
      <c r="B438" s="6"/>
      <c r="C438" s="7"/>
    </row>
    <row r="439" spans="1:3">
      <c r="A439" s="6"/>
      <c r="B439" s="6"/>
      <c r="C439" s="7"/>
    </row>
    <row r="440" spans="1:3">
      <c r="A440" s="6"/>
      <c r="B440" s="6"/>
      <c r="C440" s="7"/>
    </row>
    <row r="441" spans="1:3">
      <c r="A441" s="6"/>
      <c r="B441" s="6"/>
      <c r="C441" s="7"/>
    </row>
    <row r="442" spans="1:3">
      <c r="A442" s="6"/>
      <c r="B442" s="6"/>
      <c r="C442" s="7"/>
    </row>
    <row r="443" spans="1:3">
      <c r="A443" s="6"/>
      <c r="B443" s="6"/>
      <c r="C443" s="7"/>
    </row>
    <row r="444" spans="1:3">
      <c r="A444" s="6"/>
      <c r="B444" s="6"/>
      <c r="C444" s="7"/>
    </row>
    <row r="445" spans="1:3">
      <c r="A445" s="6"/>
      <c r="B445" s="6"/>
      <c r="C445" s="7"/>
    </row>
    <row r="446" spans="1:3">
      <c r="A446" s="6"/>
      <c r="B446" s="6"/>
      <c r="C446" s="7"/>
    </row>
    <row r="447" spans="1:3">
      <c r="A447" s="6"/>
      <c r="B447" s="6"/>
      <c r="C447" s="7"/>
    </row>
    <row r="448" spans="1:3">
      <c r="A448" s="6"/>
      <c r="B448" s="6"/>
      <c r="C448" s="7"/>
    </row>
    <row r="449" spans="1:3">
      <c r="A449" s="6"/>
      <c r="B449" s="6"/>
      <c r="C449" s="7"/>
    </row>
    <row r="450" spans="1:3">
      <c r="A450" s="6"/>
      <c r="B450" s="6"/>
      <c r="C450" s="7"/>
    </row>
    <row r="451" spans="1:3">
      <c r="A451" s="6"/>
      <c r="B451" s="6"/>
      <c r="C451" s="7"/>
    </row>
    <row r="452" spans="1:3">
      <c r="A452" s="6"/>
      <c r="B452" s="6"/>
      <c r="C452" s="7"/>
    </row>
    <row r="453" spans="1:3">
      <c r="A453" s="6"/>
      <c r="B453" s="6"/>
      <c r="C453" s="7"/>
    </row>
    <row r="454" spans="1:3">
      <c r="A454" s="6"/>
      <c r="B454" s="6"/>
      <c r="C454" s="7"/>
    </row>
    <row r="455" spans="1:3">
      <c r="A455" s="6"/>
      <c r="B455" s="6"/>
      <c r="C455" s="7"/>
    </row>
    <row r="456" spans="1:3">
      <c r="A456" s="6"/>
      <c r="B456" s="6"/>
      <c r="C456" s="7"/>
    </row>
    <row r="457" spans="1:3">
      <c r="A457" s="6"/>
      <c r="B457" s="6"/>
      <c r="C457" s="7"/>
    </row>
    <row r="458" spans="1:3">
      <c r="A458" s="6"/>
      <c r="B458" s="6"/>
      <c r="C458" s="7"/>
    </row>
    <row r="459" spans="1:3">
      <c r="A459" s="6"/>
      <c r="B459" s="6"/>
      <c r="C459" s="7"/>
    </row>
    <row r="460" spans="1:3">
      <c r="A460" s="6"/>
      <c r="B460" s="6"/>
      <c r="C460" s="7"/>
    </row>
    <row r="461" spans="1:3">
      <c r="A461" s="6"/>
      <c r="B461" s="6"/>
      <c r="C461" s="7"/>
    </row>
    <row r="462" spans="1:3">
      <c r="A462" s="6"/>
      <c r="B462" s="6"/>
      <c r="C462" s="7"/>
    </row>
    <row r="463" spans="1:3">
      <c r="A463" s="6"/>
      <c r="B463" s="6"/>
      <c r="C463" s="9"/>
    </row>
    <row r="464" spans="1:3">
      <c r="A464" s="6"/>
      <c r="B464" s="6"/>
      <c r="C464" s="7"/>
    </row>
    <row r="465" spans="1:3">
      <c r="A465" s="6"/>
      <c r="B465" s="6"/>
      <c r="C465" s="7"/>
    </row>
    <row r="466" spans="1:3">
      <c r="A466" s="6"/>
      <c r="B466" s="6"/>
      <c r="C466" s="7"/>
    </row>
    <row r="467" spans="1:3">
      <c r="A467" s="6"/>
      <c r="B467" s="6"/>
      <c r="C467" s="7"/>
    </row>
    <row r="468" spans="1:3">
      <c r="A468" s="6"/>
      <c r="B468" s="6"/>
      <c r="C468" s="7"/>
    </row>
    <row r="469" spans="1:3">
      <c r="A469" s="6"/>
      <c r="B469" s="6"/>
      <c r="C469" s="7"/>
    </row>
    <row r="470" spans="1:3">
      <c r="A470" s="6"/>
      <c r="B470" s="6"/>
      <c r="C470" s="7"/>
    </row>
    <row r="471" spans="1:3">
      <c r="A471" s="6"/>
      <c r="B471" s="6"/>
      <c r="C471" s="7"/>
    </row>
    <row r="472" spans="1:3">
      <c r="A472" s="6"/>
      <c r="B472" s="6"/>
      <c r="C472" s="7"/>
    </row>
    <row r="473" spans="1:3">
      <c r="A473" s="6"/>
      <c r="B473" s="6"/>
      <c r="C473" s="7"/>
    </row>
    <row r="474" spans="1:3">
      <c r="A474" s="6"/>
      <c r="B474" s="6"/>
      <c r="C474" s="7"/>
    </row>
    <row r="475" spans="1:3">
      <c r="A475" s="6"/>
      <c r="B475" s="6"/>
      <c r="C475" s="7"/>
    </row>
    <row r="476" spans="1:3">
      <c r="A476" s="6"/>
      <c r="B476" s="6"/>
      <c r="C476" s="7"/>
    </row>
    <row r="477" spans="1:3">
      <c r="A477" s="6"/>
      <c r="B477" s="6"/>
      <c r="C477" s="7"/>
    </row>
    <row r="478" spans="1:3">
      <c r="A478" s="6"/>
      <c r="B478" s="6"/>
      <c r="C478" s="7"/>
    </row>
    <row r="479" spans="1:3">
      <c r="A479" s="6"/>
      <c r="B479" s="6"/>
      <c r="C479" s="7"/>
    </row>
    <row r="480" spans="1:3">
      <c r="A480" s="6"/>
      <c r="B480" s="6"/>
      <c r="C480" s="7"/>
    </row>
    <row r="481" spans="1:3">
      <c r="A481" s="6"/>
      <c r="B481" s="6"/>
      <c r="C481" s="7"/>
    </row>
    <row r="482" spans="1:3">
      <c r="A482" s="6"/>
      <c r="B482" s="6"/>
      <c r="C482" s="7"/>
    </row>
    <row r="483" spans="1:3">
      <c r="A483" s="6"/>
      <c r="B483" s="6"/>
      <c r="C483" s="7"/>
    </row>
    <row r="484" spans="1:3">
      <c r="A484" s="6"/>
      <c r="B484" s="6"/>
      <c r="C484" s="7"/>
    </row>
    <row r="485" spans="1:3">
      <c r="A485" s="6"/>
      <c r="B485" s="6"/>
      <c r="C485" s="7"/>
    </row>
    <row r="486" spans="1:3">
      <c r="A486" s="6"/>
      <c r="B486" s="6"/>
      <c r="C486" s="7"/>
    </row>
    <row r="487" spans="1:3">
      <c r="A487" s="6"/>
      <c r="B487" s="6"/>
      <c r="C487" s="7"/>
    </row>
    <row r="488" spans="1:3">
      <c r="A488" s="6"/>
      <c r="B488" s="6"/>
      <c r="C488" s="7"/>
    </row>
    <row r="489" spans="1:3">
      <c r="A489" s="6"/>
      <c r="B489" s="6"/>
      <c r="C489" s="7"/>
    </row>
    <row r="490" spans="1:3">
      <c r="A490" s="6"/>
      <c r="B490" s="6"/>
      <c r="C490" s="7"/>
    </row>
    <row r="491" spans="1:3">
      <c r="A491" s="6"/>
      <c r="B491" s="6"/>
      <c r="C491" s="7"/>
    </row>
    <row r="492" spans="1:3">
      <c r="A492" s="6"/>
      <c r="B492" s="6"/>
      <c r="C492" s="9"/>
    </row>
    <row r="493" spans="1:3">
      <c r="A493" s="6"/>
      <c r="B493" s="6"/>
      <c r="C493" s="7"/>
    </row>
    <row r="494" spans="1:3">
      <c r="A494" s="6"/>
      <c r="B494" s="6"/>
      <c r="C494" s="7"/>
    </row>
    <row r="495" spans="1:3">
      <c r="A495" s="6"/>
      <c r="B495" s="6"/>
      <c r="C495" s="7"/>
    </row>
    <row r="496" spans="1:3">
      <c r="A496" s="6"/>
      <c r="B496" s="6"/>
      <c r="C496" s="7"/>
    </row>
    <row r="497" spans="1:3">
      <c r="A497" s="6"/>
      <c r="B497" s="6"/>
      <c r="C497" s="7"/>
    </row>
    <row r="498" spans="1:3">
      <c r="A498" s="6"/>
      <c r="B498" s="6"/>
      <c r="C498" s="7"/>
    </row>
    <row r="499" spans="1:3">
      <c r="A499" s="6"/>
      <c r="B499" s="6"/>
      <c r="C499" s="7"/>
    </row>
    <row r="500" spans="1:3">
      <c r="A500" s="6"/>
      <c r="B500" s="6"/>
      <c r="C500" s="7"/>
    </row>
    <row r="501" spans="1:3">
      <c r="A501" s="6"/>
      <c r="B501" s="6"/>
      <c r="C501" s="7"/>
    </row>
    <row r="502" spans="1:3">
      <c r="A502" s="6"/>
      <c r="B502" s="6"/>
      <c r="C502" s="7"/>
    </row>
    <row r="503" spans="1:3">
      <c r="A503" s="6"/>
      <c r="B503" s="6"/>
      <c r="C503" s="7"/>
    </row>
    <row r="504" spans="1:3">
      <c r="A504" s="6"/>
      <c r="B504" s="6"/>
      <c r="C504" s="7"/>
    </row>
    <row r="505" spans="1:3">
      <c r="A505" s="6"/>
      <c r="B505" s="6"/>
      <c r="C505" s="7"/>
    </row>
    <row r="506" spans="1:3">
      <c r="A506" s="6"/>
      <c r="B506" s="6"/>
      <c r="C506" s="7"/>
    </row>
    <row r="507" spans="1:3">
      <c r="A507" s="6"/>
      <c r="B507" s="6"/>
      <c r="C507" s="7"/>
    </row>
    <row r="508" spans="1:3">
      <c r="A508" s="6"/>
      <c r="B508" s="6"/>
      <c r="C508" s="7"/>
    </row>
    <row r="509" spans="1:3">
      <c r="A509" s="6"/>
      <c r="B509" s="6"/>
      <c r="C509" s="7"/>
    </row>
    <row r="510" spans="1:3">
      <c r="A510" s="6"/>
      <c r="B510" s="6"/>
      <c r="C510" s="7"/>
    </row>
    <row r="511" spans="1:3">
      <c r="A511" s="6"/>
      <c r="B511" s="6"/>
      <c r="C511" s="7"/>
    </row>
    <row r="512" spans="1:3">
      <c r="A512" s="6"/>
      <c r="B512" s="6"/>
      <c r="C512" s="7"/>
    </row>
    <row r="513" spans="1:3">
      <c r="A513" s="6"/>
      <c r="B513" s="6"/>
      <c r="C513" s="7"/>
    </row>
    <row r="514" spans="1:3">
      <c r="A514" s="6"/>
      <c r="B514" s="6"/>
      <c r="C514" s="7"/>
    </row>
    <row r="515" spans="1:3">
      <c r="A515" s="6"/>
      <c r="B515" s="6"/>
      <c r="C515" s="7"/>
    </row>
    <row r="516" spans="1:3">
      <c r="A516" s="6"/>
      <c r="B516" s="6"/>
      <c r="C516" s="7"/>
    </row>
    <row r="517" spans="1:3">
      <c r="A517" s="6"/>
      <c r="B517" s="6"/>
      <c r="C517" s="7"/>
    </row>
    <row r="518" spans="1:3">
      <c r="A518" s="6"/>
      <c r="B518" s="6"/>
      <c r="C518" s="7"/>
    </row>
    <row r="519" spans="1:3">
      <c r="A519" s="6"/>
      <c r="B519" s="6"/>
      <c r="C519" s="7"/>
    </row>
    <row r="520" spans="1:3">
      <c r="A520" s="6"/>
      <c r="B520" s="6"/>
      <c r="C520" s="7"/>
    </row>
    <row r="521" spans="1:3">
      <c r="A521" s="6"/>
      <c r="B521" s="6"/>
      <c r="C521" s="7"/>
    </row>
    <row r="522" spans="1:3">
      <c r="A522" s="6"/>
      <c r="B522" s="6"/>
      <c r="C522" s="7"/>
    </row>
    <row r="523" spans="1:3">
      <c r="A523" s="6"/>
      <c r="B523" s="6"/>
      <c r="C523" s="7"/>
    </row>
    <row r="524" spans="1:3">
      <c r="A524" s="6"/>
      <c r="B524" s="6"/>
      <c r="C524" s="7"/>
    </row>
    <row r="525" spans="1:3">
      <c r="A525" s="6"/>
      <c r="B525" s="6"/>
      <c r="C525" s="7"/>
    </row>
    <row r="526" spans="1:3">
      <c r="A526" s="6"/>
      <c r="B526" s="6"/>
      <c r="C526" s="7"/>
    </row>
    <row r="527" spans="1:3">
      <c r="A527" s="6"/>
      <c r="B527" s="6"/>
      <c r="C527" s="7"/>
    </row>
    <row r="528" spans="1:3">
      <c r="A528" s="6"/>
      <c r="B528" s="6"/>
      <c r="C528" s="7"/>
    </row>
    <row r="529" spans="1:3">
      <c r="A529" s="6"/>
      <c r="B529" s="6"/>
      <c r="C529" s="7"/>
    </row>
    <row r="530" spans="1:3">
      <c r="A530" s="6"/>
      <c r="B530" s="6"/>
      <c r="C530" s="7"/>
    </row>
    <row r="531" spans="1:3">
      <c r="A531" s="6"/>
      <c r="B531" s="6"/>
      <c r="C531" s="7"/>
    </row>
    <row r="532" spans="1:3">
      <c r="A532" s="6"/>
      <c r="B532" s="6"/>
      <c r="C532" s="7"/>
    </row>
    <row r="533" spans="1:3">
      <c r="A533" s="6"/>
      <c r="B533" s="6"/>
      <c r="C533" s="7"/>
    </row>
    <row r="534" spans="1:3">
      <c r="A534" s="6"/>
      <c r="B534" s="6"/>
      <c r="C534" s="7"/>
    </row>
    <row r="535" spans="1:3">
      <c r="A535" s="6"/>
      <c r="B535" s="6"/>
      <c r="C535" s="7"/>
    </row>
    <row r="536" spans="1:3">
      <c r="A536" s="6"/>
      <c r="B536" s="6"/>
      <c r="C536" s="7"/>
    </row>
    <row r="537" spans="1:3">
      <c r="A537" s="6"/>
      <c r="B537" s="6"/>
      <c r="C537" s="7"/>
    </row>
    <row r="538" spans="1:3">
      <c r="A538" s="6"/>
      <c r="B538" s="6"/>
      <c r="C538" s="7"/>
    </row>
    <row r="539" spans="1:3">
      <c r="A539" s="6"/>
      <c r="B539" s="6"/>
      <c r="C539" s="7"/>
    </row>
    <row r="540" spans="1:3">
      <c r="A540" s="6"/>
      <c r="B540" s="6"/>
      <c r="C540" s="7"/>
    </row>
    <row r="541" spans="1:3">
      <c r="A541" s="6"/>
      <c r="B541" s="6"/>
      <c r="C541" s="7"/>
    </row>
    <row r="542" spans="1:3">
      <c r="A542" s="6"/>
      <c r="B542" s="6"/>
      <c r="C542" s="7"/>
    </row>
    <row r="543" spans="1:3">
      <c r="A543" s="6"/>
      <c r="B543" s="6"/>
      <c r="C543" s="7"/>
    </row>
    <row r="544" spans="1:3">
      <c r="A544" s="6"/>
      <c r="B544" s="6"/>
      <c r="C544" s="7"/>
    </row>
    <row r="545" spans="1:3">
      <c r="A545" s="6"/>
      <c r="B545" s="6"/>
      <c r="C545" s="7"/>
    </row>
    <row r="546" spans="1:3">
      <c r="A546" s="6"/>
      <c r="B546" s="6"/>
      <c r="C546" s="7"/>
    </row>
    <row r="547" spans="1:3">
      <c r="A547" s="6"/>
      <c r="B547" s="6"/>
      <c r="C547" s="7"/>
    </row>
    <row r="548" spans="1:3">
      <c r="A548" s="6"/>
      <c r="B548" s="6"/>
      <c r="C548" s="7"/>
    </row>
    <row r="549" spans="1:3">
      <c r="A549" s="6"/>
      <c r="B549" s="6"/>
      <c r="C549" s="7"/>
    </row>
    <row r="550" spans="1:3">
      <c r="A550" s="6"/>
      <c r="B550" s="6"/>
      <c r="C550" s="7"/>
    </row>
    <row r="551" spans="1:3">
      <c r="A551" s="6"/>
      <c r="B551" s="6"/>
      <c r="C551" s="7"/>
    </row>
    <row r="552" spans="1:3">
      <c r="A552" s="6"/>
      <c r="B552" s="6"/>
      <c r="C552" s="7"/>
    </row>
    <row r="553" spans="1:3">
      <c r="A553" s="6"/>
      <c r="B553" s="6"/>
      <c r="C553" s="7"/>
    </row>
    <row r="554" spans="1:3">
      <c r="A554" s="6"/>
      <c r="B554" s="6"/>
      <c r="C554" s="7"/>
    </row>
    <row r="555" spans="1:3">
      <c r="A555" s="6"/>
      <c r="B555" s="6"/>
      <c r="C555" s="7"/>
    </row>
    <row r="556" spans="1:3">
      <c r="A556" s="6"/>
      <c r="B556" s="6"/>
      <c r="C556" s="7"/>
    </row>
    <row r="557" spans="1:3">
      <c r="A557" s="6"/>
      <c r="B557" s="6"/>
      <c r="C557" s="7"/>
    </row>
    <row r="558" spans="1:3">
      <c r="A558" s="6"/>
      <c r="B558" s="6"/>
      <c r="C558" s="7"/>
    </row>
    <row r="559" spans="1:3">
      <c r="A559" s="6"/>
      <c r="B559" s="6"/>
      <c r="C559" s="10"/>
    </row>
    <row r="560" spans="1:3">
      <c r="A560" s="6"/>
      <c r="B560" s="6"/>
      <c r="C560" s="11"/>
    </row>
    <row r="561" spans="1:3">
      <c r="A561" s="6"/>
      <c r="B561" s="6"/>
      <c r="C561" s="11"/>
    </row>
    <row r="562" spans="1:3">
      <c r="A562" s="6"/>
      <c r="B562" s="6"/>
      <c r="C562" s="11"/>
    </row>
    <row r="563" spans="1:3">
      <c r="A563" s="6"/>
      <c r="B563" s="6"/>
      <c r="C563" s="11"/>
    </row>
    <row r="564" spans="1:3">
      <c r="A564" s="6"/>
      <c r="B564" s="6"/>
      <c r="C564" s="11"/>
    </row>
    <row r="565" spans="1:3">
      <c r="A565" s="6"/>
      <c r="B565" s="6"/>
      <c r="C565" s="11"/>
    </row>
    <row r="566" spans="1:3">
      <c r="A566" s="6"/>
      <c r="B566" s="6"/>
      <c r="C566" s="11"/>
    </row>
    <row r="567" spans="1:3">
      <c r="A567" s="6"/>
      <c r="B567" s="6"/>
      <c r="C567" s="11"/>
    </row>
    <row r="568" spans="1:3">
      <c r="A568" s="6"/>
      <c r="B568" s="6"/>
      <c r="C568" s="11"/>
    </row>
    <row r="569" spans="1:3">
      <c r="A569" s="6"/>
      <c r="B569" s="6"/>
      <c r="C569" s="11"/>
    </row>
    <row r="570" spans="1:3">
      <c r="A570" s="6"/>
      <c r="B570" s="6"/>
      <c r="C570" s="11"/>
    </row>
    <row r="571" spans="1:3">
      <c r="A571" s="6"/>
      <c r="B571" s="6"/>
      <c r="C571" s="11"/>
    </row>
    <row r="572" spans="1:3">
      <c r="A572" s="6"/>
      <c r="B572" s="6"/>
      <c r="C572" s="11"/>
    </row>
    <row r="573" spans="1:3">
      <c r="A573" s="6"/>
      <c r="B573" s="6"/>
      <c r="C573" s="11"/>
    </row>
    <row r="574" spans="1:3">
      <c r="A574" s="6"/>
      <c r="B574" s="6"/>
      <c r="C574" s="11"/>
    </row>
    <row r="575" spans="1:3">
      <c r="A575" s="6"/>
      <c r="B575" s="6"/>
      <c r="C575" s="11"/>
    </row>
    <row r="576" spans="1:3">
      <c r="A576" s="6"/>
      <c r="B576" s="6"/>
      <c r="C576" s="11"/>
    </row>
    <row r="577" spans="1:3">
      <c r="A577" s="6"/>
      <c r="B577" s="6"/>
      <c r="C577" s="11"/>
    </row>
    <row r="578" spans="1:3">
      <c r="A578" s="6"/>
      <c r="B578" s="6"/>
      <c r="C578" s="11"/>
    </row>
    <row r="579" spans="1:3">
      <c r="A579" s="6"/>
      <c r="B579" s="6"/>
      <c r="C579" s="11"/>
    </row>
    <row r="580" spans="1:3">
      <c r="A580" s="6"/>
      <c r="B580" s="6"/>
      <c r="C580" s="12"/>
    </row>
    <row r="581" spans="1:3">
      <c r="A581" s="6"/>
      <c r="B581" s="6"/>
      <c r="C581" s="11"/>
    </row>
    <row r="582" spans="1:3">
      <c r="A582" s="6"/>
      <c r="B582" s="6"/>
      <c r="C582" s="11"/>
    </row>
    <row r="583" spans="1:3">
      <c r="A583" s="6"/>
      <c r="B583" s="6"/>
      <c r="C583" s="11"/>
    </row>
    <row r="584" spans="1:3">
      <c r="A584" s="6"/>
      <c r="B584" s="6"/>
      <c r="C584" s="11"/>
    </row>
    <row r="585" spans="1:3">
      <c r="A585" s="6"/>
      <c r="B585" s="6"/>
      <c r="C585" s="11"/>
    </row>
    <row r="586" spans="1:3">
      <c r="A586" s="6"/>
      <c r="B586" s="6"/>
      <c r="C586" s="11"/>
    </row>
    <row r="587" spans="1:3">
      <c r="A587" s="6"/>
      <c r="B587" s="6"/>
      <c r="C587" s="11"/>
    </row>
    <row r="588" spans="1:3">
      <c r="A588" s="6"/>
      <c r="B588" s="6"/>
      <c r="C588" s="11"/>
    </row>
    <row r="589" spans="1:3">
      <c r="A589" s="6"/>
      <c r="B589" s="6"/>
      <c r="C589" s="11"/>
    </row>
    <row r="590" spans="1:3">
      <c r="A590" s="6"/>
      <c r="B590" s="6"/>
      <c r="C590" s="11"/>
    </row>
    <row r="591" spans="1:3">
      <c r="A591" s="6"/>
      <c r="B591" s="6"/>
      <c r="C591" s="12"/>
    </row>
    <row r="592" spans="1:3">
      <c r="A592" s="6"/>
      <c r="B592" s="6"/>
      <c r="C592" s="11"/>
    </row>
    <row r="593" spans="1:3">
      <c r="A593" s="6"/>
      <c r="B593" s="6"/>
      <c r="C593" s="11"/>
    </row>
    <row r="594" spans="1:3">
      <c r="A594" s="6"/>
      <c r="B594" s="6"/>
      <c r="C594" s="11"/>
    </row>
    <row r="595" spans="1:3">
      <c r="A595" s="6"/>
      <c r="B595" s="6"/>
      <c r="C595" s="11"/>
    </row>
    <row r="596" spans="1:3">
      <c r="A596" s="6"/>
      <c r="B596" s="6"/>
      <c r="C596" s="11"/>
    </row>
    <row r="597" spans="1:3">
      <c r="A597" s="6"/>
      <c r="B597" s="6"/>
      <c r="C597" s="11"/>
    </row>
    <row r="598" spans="1:3">
      <c r="A598" s="6"/>
      <c r="B598" s="6"/>
      <c r="C598" s="12"/>
    </row>
    <row r="599" spans="1:3">
      <c r="A599" s="6"/>
      <c r="B599" s="6"/>
      <c r="C599" s="11"/>
    </row>
    <row r="600" spans="1:3">
      <c r="A600" s="6"/>
      <c r="B600" s="6"/>
      <c r="C600" s="11"/>
    </row>
    <row r="601" spans="1:3">
      <c r="A601" s="6"/>
      <c r="B601" s="6"/>
      <c r="C601" s="11"/>
    </row>
    <row r="602" spans="1:3">
      <c r="A602" s="6"/>
      <c r="B602" s="6"/>
      <c r="C602" s="11"/>
    </row>
    <row r="603" spans="1:3">
      <c r="A603" s="6"/>
      <c r="B603" s="6"/>
      <c r="C603" s="12"/>
    </row>
    <row r="604" spans="1:3">
      <c r="A604" s="6"/>
      <c r="B604" s="6"/>
      <c r="C604" s="11"/>
    </row>
    <row r="605" spans="1:3">
      <c r="A605" s="6"/>
      <c r="B605" s="6"/>
      <c r="C605" s="11"/>
    </row>
    <row r="606" spans="1:3">
      <c r="A606" s="6"/>
      <c r="B606" s="6"/>
      <c r="C606" s="11"/>
    </row>
    <row r="607" spans="1:3">
      <c r="A607" s="6"/>
      <c r="B607" s="6"/>
      <c r="C607" s="11"/>
    </row>
    <row r="608" spans="1:3">
      <c r="A608" s="6"/>
      <c r="B608" s="6"/>
      <c r="C608" s="12"/>
    </row>
    <row r="609" spans="1:3">
      <c r="A609" s="6"/>
      <c r="B609" s="6"/>
      <c r="C609" s="11"/>
    </row>
    <row r="610" spans="1:3">
      <c r="A610" s="6"/>
      <c r="B610" s="6"/>
      <c r="C610" s="11"/>
    </row>
    <row r="611" spans="1:3">
      <c r="A611" s="6"/>
      <c r="B611" s="6"/>
      <c r="C611" s="11"/>
    </row>
    <row r="612" spans="1:3">
      <c r="A612" s="6"/>
      <c r="B612" s="6"/>
      <c r="C612" s="11"/>
    </row>
    <row r="613" spans="1:3">
      <c r="A613" s="6"/>
      <c r="B613" s="6"/>
      <c r="C613" s="11"/>
    </row>
    <row r="614" spans="1:3">
      <c r="A614" s="6"/>
      <c r="B614" s="6"/>
      <c r="C614" s="11"/>
    </row>
    <row r="615" spans="1:3">
      <c r="A615" s="6"/>
      <c r="B615" s="6"/>
      <c r="C615" s="11"/>
    </row>
    <row r="616" spans="1:3">
      <c r="A616" s="6"/>
      <c r="B616" s="6"/>
      <c r="C616" s="11"/>
    </row>
    <row r="617" spans="1:3">
      <c r="A617" s="6"/>
      <c r="B617" s="6"/>
      <c r="C617" s="11"/>
    </row>
    <row r="618" spans="1:3">
      <c r="A618" s="6"/>
      <c r="B618" s="6"/>
      <c r="C618" s="11"/>
    </row>
    <row r="619" spans="1:3">
      <c r="A619" s="6"/>
      <c r="B619" s="6"/>
      <c r="C619" s="11"/>
    </row>
    <row r="620" spans="1:3">
      <c r="A620" s="6"/>
      <c r="B620" s="6"/>
      <c r="C620" s="11"/>
    </row>
    <row r="621" spans="1:3">
      <c r="A621" s="6"/>
      <c r="B621" s="6"/>
      <c r="C621" s="11"/>
    </row>
    <row r="622" spans="1:3">
      <c r="A622" s="6"/>
      <c r="B622" s="6"/>
      <c r="C622" s="11"/>
    </row>
    <row r="623" spans="1:3">
      <c r="A623" s="6"/>
      <c r="B623" s="6"/>
      <c r="C623" s="11"/>
    </row>
    <row r="624" spans="1:3">
      <c r="A624" s="6"/>
      <c r="B624" s="6"/>
      <c r="C624" s="11"/>
    </row>
    <row r="625" spans="1:3">
      <c r="A625" s="6"/>
      <c r="B625" s="6"/>
      <c r="C625" s="11"/>
    </row>
    <row r="626" spans="1:3">
      <c r="A626" s="6"/>
      <c r="B626" s="6"/>
      <c r="C626" s="11"/>
    </row>
    <row r="627" spans="1:3">
      <c r="A627" s="6"/>
      <c r="B627" s="6"/>
      <c r="C627" s="11"/>
    </row>
    <row r="628" spans="1:3">
      <c r="A628" s="6"/>
      <c r="B628" s="6"/>
      <c r="C628" s="11"/>
    </row>
    <row r="629" spans="1:3">
      <c r="A629" s="6"/>
      <c r="B629" s="6"/>
      <c r="C629" s="11"/>
    </row>
    <row r="630" spans="1:3">
      <c r="A630" s="6"/>
      <c r="B630" s="6"/>
      <c r="C630" s="11"/>
    </row>
    <row r="631" spans="1:3">
      <c r="A631" s="6"/>
      <c r="B631" s="6"/>
      <c r="C631" s="11"/>
    </row>
    <row r="632" spans="1:3">
      <c r="A632" s="6"/>
      <c r="B632" s="6"/>
      <c r="C632" s="11"/>
    </row>
    <row r="633" spans="1:3">
      <c r="A633" s="6"/>
      <c r="B633" s="6"/>
      <c r="C633" s="12"/>
    </row>
    <row r="634" spans="1:3">
      <c r="A634" s="6"/>
      <c r="B634" s="6"/>
      <c r="C634" s="11"/>
    </row>
    <row r="635" spans="1:3">
      <c r="A635" s="6"/>
      <c r="B635" s="6"/>
      <c r="C635" s="11"/>
    </row>
    <row r="636" spans="1:3">
      <c r="A636" s="6"/>
      <c r="B636" s="6"/>
      <c r="C636" s="11"/>
    </row>
    <row r="637" spans="1:3">
      <c r="A637" s="6"/>
      <c r="B637" s="6"/>
      <c r="C637" s="11"/>
    </row>
    <row r="638" spans="1:3">
      <c r="A638" s="6"/>
      <c r="B638" s="6"/>
      <c r="C638" s="11"/>
    </row>
    <row r="639" spans="1:3">
      <c r="A639" s="6"/>
      <c r="B639" s="6"/>
      <c r="C639" s="11"/>
    </row>
    <row r="640" spans="1:3">
      <c r="A640" s="6"/>
      <c r="B640" s="6"/>
      <c r="C640" s="11"/>
    </row>
    <row r="641" spans="1:3">
      <c r="A641" s="6"/>
      <c r="B641" s="6"/>
      <c r="C641" s="11"/>
    </row>
    <row r="642" spans="1:3">
      <c r="A642" s="6"/>
      <c r="B642" s="6"/>
      <c r="C642" s="11"/>
    </row>
    <row r="643" spans="1:3">
      <c r="A643" s="6"/>
      <c r="B643" s="6"/>
      <c r="C643" s="11"/>
    </row>
    <row r="644" spans="1:3">
      <c r="A644" s="6"/>
      <c r="B644" s="6"/>
      <c r="C644" s="11"/>
    </row>
    <row r="645" spans="1:3">
      <c r="A645" s="6"/>
      <c r="B645" s="6"/>
      <c r="C645" s="11"/>
    </row>
    <row r="646" spans="1:3">
      <c r="A646" s="8"/>
      <c r="B646" s="8"/>
      <c r="C646" s="13"/>
    </row>
    <row r="647" spans="1:3">
      <c r="A647" s="6"/>
      <c r="B647" s="6"/>
      <c r="C647" s="11"/>
    </row>
    <row r="648" spans="1:3">
      <c r="A648" s="6"/>
      <c r="B648" s="6"/>
      <c r="C648" s="11"/>
    </row>
    <row r="649" spans="1:3">
      <c r="A649" s="6"/>
      <c r="B649" s="6"/>
      <c r="C649" s="11"/>
    </row>
    <row r="650" spans="1:3">
      <c r="A650" s="6"/>
      <c r="B650" s="6"/>
      <c r="C650" s="11"/>
    </row>
    <row r="651" spans="1:3">
      <c r="A651" s="6"/>
      <c r="B651" s="6"/>
      <c r="C651" s="11"/>
    </row>
    <row r="652" spans="1:3">
      <c r="A652" s="6"/>
      <c r="B652" s="6"/>
      <c r="C652" s="11"/>
    </row>
    <row r="653" spans="1:3">
      <c r="A653" s="6"/>
      <c r="B653" s="6"/>
      <c r="C653" s="11"/>
    </row>
    <row r="654" spans="1:3">
      <c r="A654" s="6"/>
      <c r="B654" s="6"/>
      <c r="C654" s="11"/>
    </row>
    <row r="655" spans="1:3">
      <c r="A655" s="6"/>
      <c r="B655" s="6"/>
      <c r="C655" s="11"/>
    </row>
    <row r="656" spans="1:3">
      <c r="A656" s="6"/>
      <c r="B656" s="6"/>
      <c r="C656" s="11"/>
    </row>
    <row r="657" spans="1:3">
      <c r="A657" s="6"/>
      <c r="B657" s="6"/>
      <c r="C657" s="11"/>
    </row>
    <row r="658" spans="1:3">
      <c r="A658" s="6"/>
      <c r="B658" s="6"/>
      <c r="C658" s="11"/>
    </row>
    <row r="659" spans="1:3">
      <c r="A659" s="6"/>
      <c r="B659" s="6"/>
      <c r="C659" s="11"/>
    </row>
    <row r="660" spans="1:3">
      <c r="A660" s="6"/>
      <c r="B660" s="6"/>
      <c r="C660" s="11"/>
    </row>
    <row r="661" spans="1:3">
      <c r="A661" s="6"/>
      <c r="B661" s="6"/>
      <c r="C661" s="11"/>
    </row>
    <row r="662" spans="1:3">
      <c r="A662" s="6"/>
      <c r="B662" s="6"/>
      <c r="C662" s="11"/>
    </row>
    <row r="663" spans="1:3">
      <c r="A663" s="6"/>
      <c r="B663" s="6"/>
      <c r="C663" s="11"/>
    </row>
    <row r="664" spans="1:3">
      <c r="A664" s="6"/>
      <c r="B664" s="6"/>
      <c r="C664" s="11"/>
    </row>
    <row r="665" spans="1:3">
      <c r="A665" s="6"/>
      <c r="B665" s="6"/>
      <c r="C665" s="11"/>
    </row>
    <row r="666" spans="1:3">
      <c r="A666" s="6"/>
      <c r="B666" s="6"/>
      <c r="C666" s="11"/>
    </row>
    <row r="667" spans="1:3">
      <c r="A667" s="6"/>
      <c r="B667" s="6"/>
      <c r="C667" s="11"/>
    </row>
    <row r="668" spans="1:3">
      <c r="A668" s="6"/>
      <c r="B668" s="6"/>
      <c r="C668" s="11"/>
    </row>
    <row r="669" spans="1:3">
      <c r="A669" s="6"/>
      <c r="B669" s="6"/>
      <c r="C669" s="11"/>
    </row>
    <row r="670" spans="1:3">
      <c r="A670" s="6"/>
      <c r="B670" s="6"/>
      <c r="C670" s="11"/>
    </row>
    <row r="671" spans="1:3">
      <c r="A671" s="6"/>
      <c r="B671" s="6"/>
      <c r="C671" s="11"/>
    </row>
    <row r="672" spans="1:3">
      <c r="A672" s="6"/>
      <c r="B672" s="6"/>
      <c r="C672" s="11"/>
    </row>
    <row r="673" spans="1:3">
      <c r="A673" s="6"/>
      <c r="B673" s="6"/>
      <c r="C673" s="11"/>
    </row>
    <row r="674" spans="1:3">
      <c r="A674" s="6"/>
      <c r="B674" s="6"/>
      <c r="C674" s="11"/>
    </row>
    <row r="675" spans="1:3">
      <c r="A675" s="6"/>
      <c r="B675" s="6"/>
      <c r="C675" s="11"/>
    </row>
    <row r="676" spans="1:3">
      <c r="A676" s="6"/>
      <c r="B676" s="6"/>
      <c r="C676" s="11"/>
    </row>
    <row r="677" spans="1:3">
      <c r="A677" s="6"/>
      <c r="B677" s="6"/>
      <c r="C677" s="11"/>
    </row>
    <row r="678" spans="1:3">
      <c r="A678" s="6"/>
      <c r="B678" s="6"/>
      <c r="C678" s="11"/>
    </row>
    <row r="679" spans="1:3">
      <c r="A679" s="6"/>
      <c r="B679" s="6"/>
      <c r="C679" s="11"/>
    </row>
    <row r="680" spans="1:3">
      <c r="A680" s="6"/>
      <c r="B680" s="6"/>
      <c r="C680" s="11"/>
    </row>
    <row r="681" spans="1:3">
      <c r="A681" s="6"/>
      <c r="B681" s="6"/>
      <c r="C681" s="11"/>
    </row>
    <row r="682" spans="1:3">
      <c r="A682" s="6"/>
      <c r="B682" s="6"/>
      <c r="C682" s="11"/>
    </row>
    <row r="683" spans="1:3">
      <c r="A683" s="6"/>
      <c r="B683" s="6"/>
      <c r="C683" s="11"/>
    </row>
    <row r="684" spans="1:3">
      <c r="A684" s="6"/>
      <c r="B684" s="6"/>
      <c r="C684" s="11"/>
    </row>
    <row r="685" spans="1:3">
      <c r="A685" s="6"/>
      <c r="B685" s="6"/>
      <c r="C685" s="11"/>
    </row>
    <row r="686" spans="1:3">
      <c r="A686" s="6"/>
      <c r="B686" s="6"/>
      <c r="C686" s="11"/>
    </row>
    <row r="687" spans="1:3">
      <c r="A687" s="6"/>
      <c r="B687" s="6"/>
      <c r="C687" s="11"/>
    </row>
    <row r="688" spans="1:3">
      <c r="A688" s="6"/>
      <c r="B688" s="6"/>
      <c r="C688" s="11"/>
    </row>
    <row r="689" spans="1:3">
      <c r="A689" s="6"/>
      <c r="B689" s="6"/>
      <c r="C689" s="11"/>
    </row>
    <row r="690" spans="1:3">
      <c r="A690" s="6"/>
      <c r="B690" s="6"/>
      <c r="C690" s="11"/>
    </row>
    <row r="691" spans="1:3">
      <c r="A691" s="6"/>
      <c r="B691" s="6"/>
      <c r="C691" s="11"/>
    </row>
    <row r="692" spans="1:3">
      <c r="A692" s="6"/>
      <c r="B692" s="6"/>
      <c r="C692" s="11"/>
    </row>
    <row r="693" spans="1:3">
      <c r="A693" s="6"/>
      <c r="B693" s="6"/>
      <c r="C693" s="11"/>
    </row>
    <row r="694" spans="1:3">
      <c r="A694" s="6"/>
      <c r="B694" s="6"/>
      <c r="C694" s="11"/>
    </row>
    <row r="695" spans="1:3">
      <c r="A695" s="6"/>
      <c r="B695" s="6"/>
      <c r="C695" s="11"/>
    </row>
    <row r="696" spans="1:3">
      <c r="A696" s="6"/>
      <c r="B696" s="6"/>
      <c r="C696" s="11"/>
    </row>
    <row r="697" spans="1:3">
      <c r="A697" s="6"/>
      <c r="B697" s="6"/>
      <c r="C697" s="11"/>
    </row>
    <row r="698" spans="1:3">
      <c r="A698" s="6"/>
      <c r="B698" s="6"/>
      <c r="C698" s="11"/>
    </row>
    <row r="699" spans="1:3">
      <c r="A699" s="6"/>
      <c r="B699" s="6"/>
      <c r="C699" s="11"/>
    </row>
    <row r="700" spans="1:3">
      <c r="A700" s="6"/>
      <c r="B700" s="6"/>
      <c r="C700" s="11"/>
    </row>
    <row r="701" spans="1:3">
      <c r="A701" s="6"/>
      <c r="B701" s="6"/>
      <c r="C701" s="11"/>
    </row>
    <row r="702" spans="1:3">
      <c r="A702" s="6"/>
      <c r="B702" s="6"/>
      <c r="C702" s="11"/>
    </row>
    <row r="703" spans="1:3">
      <c r="A703" s="6"/>
      <c r="B703" s="6"/>
      <c r="C703" s="11"/>
    </row>
    <row r="704" spans="1:3">
      <c r="A704" s="6"/>
      <c r="B704" s="6"/>
      <c r="C704" s="11"/>
    </row>
    <row r="705" spans="1:3">
      <c r="A705" s="8"/>
      <c r="B705" s="8"/>
      <c r="C705" s="14"/>
    </row>
    <row r="706" spans="1:3">
      <c r="A706" s="6"/>
      <c r="B706" s="6"/>
      <c r="C706" s="11"/>
    </row>
    <row r="707" spans="1:3">
      <c r="A707" s="6"/>
      <c r="B707" s="6"/>
      <c r="C707" s="11"/>
    </row>
    <row r="708" spans="1:3">
      <c r="A708" s="6"/>
      <c r="B708" s="6"/>
      <c r="C708" s="11"/>
    </row>
    <row r="709" spans="1:3">
      <c r="A709" s="6"/>
      <c r="B709" s="6"/>
      <c r="C709" s="11"/>
    </row>
    <row r="710" spans="1:3">
      <c r="A710" s="6"/>
      <c r="B710" s="6"/>
      <c r="C710" s="11"/>
    </row>
    <row r="711" spans="1:3">
      <c r="A711" s="6"/>
      <c r="B711" s="6"/>
      <c r="C711" s="11"/>
    </row>
    <row r="712" spans="1:3">
      <c r="A712" s="6"/>
      <c r="B712" s="6"/>
      <c r="C712" s="11"/>
    </row>
    <row r="713" spans="1:3">
      <c r="A713" s="6"/>
      <c r="B713" s="6"/>
      <c r="C713" s="11"/>
    </row>
    <row r="714" spans="1:3">
      <c r="A714" s="6"/>
      <c r="B714" s="6"/>
      <c r="C714" s="11"/>
    </row>
    <row r="715" spans="1:3">
      <c r="A715" s="6"/>
      <c r="B715" s="6"/>
      <c r="C715" s="11"/>
    </row>
    <row r="716" spans="1:3">
      <c r="A716" s="6"/>
      <c r="B716" s="6"/>
      <c r="C716" s="11"/>
    </row>
    <row r="717" spans="1:3">
      <c r="A717" s="6"/>
      <c r="B717" s="6"/>
      <c r="C717" s="11"/>
    </row>
    <row r="718" spans="1:3">
      <c r="A718" s="6"/>
      <c r="B718" s="6"/>
      <c r="C718" s="11"/>
    </row>
    <row r="719" spans="1:3">
      <c r="A719" s="6"/>
      <c r="B719" s="6"/>
      <c r="C719" s="11"/>
    </row>
    <row r="720" spans="1:3">
      <c r="A720" s="6"/>
      <c r="B720" s="6"/>
      <c r="C720" s="11"/>
    </row>
    <row r="721" spans="1:1">
      <c r="A721" s="15"/>
    </row>
    <row r="722" spans="1:1">
      <c r="A722" s="15"/>
    </row>
    <row r="723" spans="1:1">
      <c r="A723" s="15"/>
    </row>
    <row r="724" spans="1:1">
      <c r="A724" s="15"/>
    </row>
    <row r="725" spans="1:1">
      <c r="A725" s="15"/>
    </row>
    <row r="726" spans="1:1">
      <c r="A726" s="15"/>
    </row>
    <row r="727" spans="1:1">
      <c r="A727" s="15"/>
    </row>
    <row r="728" spans="1:1">
      <c r="A728" s="15"/>
    </row>
    <row r="729" spans="1:1">
      <c r="A729" s="15"/>
    </row>
    <row r="730" spans="1:1">
      <c r="A730" s="15"/>
    </row>
    <row r="731" spans="1:1">
      <c r="A731" s="15"/>
    </row>
    <row r="732" spans="1:1">
      <c r="A732" s="15"/>
    </row>
    <row r="733" spans="1:1">
      <c r="A733" s="15"/>
    </row>
    <row r="734" spans="1:1">
      <c r="A734" s="15"/>
    </row>
    <row r="735" spans="1:1">
      <c r="A735" s="15"/>
    </row>
    <row r="736" spans="1:1">
      <c r="A736" s="15"/>
    </row>
    <row r="737" spans="1:1">
      <c r="A737" s="15"/>
    </row>
    <row r="738" spans="1:1">
      <c r="A738" s="15"/>
    </row>
    <row r="739" spans="1:1">
      <c r="A739" s="15"/>
    </row>
    <row r="740" spans="1:1">
      <c r="A740" s="15"/>
    </row>
    <row r="741" spans="1:1">
      <c r="A741" s="15"/>
    </row>
    <row r="742" spans="1:1">
      <c r="A742" s="15"/>
    </row>
    <row r="743" spans="1:1">
      <c r="A743" s="15"/>
    </row>
    <row r="744" spans="1:1">
      <c r="A744" s="15"/>
    </row>
    <row r="745" spans="1:1">
      <c r="A745" s="15"/>
    </row>
    <row r="746" spans="1:1">
      <c r="A746" s="15"/>
    </row>
    <row r="747" spans="1:1">
      <c r="A747" s="15"/>
    </row>
    <row r="748" spans="1:1">
      <c r="A748" s="15"/>
    </row>
    <row r="749" spans="1:1">
      <c r="A749" s="15"/>
    </row>
    <row r="750" spans="1:1">
      <c r="A750" s="15"/>
    </row>
    <row r="751" spans="1:1">
      <c r="A751" s="15"/>
    </row>
    <row r="752" spans="1:1">
      <c r="A752" s="15"/>
    </row>
    <row r="753" spans="1:1">
      <c r="A753" s="15"/>
    </row>
    <row r="754" spans="1:1">
      <c r="A754" s="15"/>
    </row>
    <row r="755" spans="1:1">
      <c r="A755" s="15"/>
    </row>
    <row r="756" spans="1:1">
      <c r="A756" s="15"/>
    </row>
    <row r="757" spans="1:1">
      <c r="A757" s="15"/>
    </row>
    <row r="758" spans="1:1">
      <c r="A758" s="15"/>
    </row>
    <row r="759" spans="1:1">
      <c r="A759" s="15"/>
    </row>
    <row r="760" spans="1:1">
      <c r="A760" s="15"/>
    </row>
    <row r="761" spans="1:1">
      <c r="A761" s="15"/>
    </row>
    <row r="762" spans="1:1">
      <c r="A762" s="15"/>
    </row>
    <row r="763" spans="1:1">
      <c r="A763" s="15"/>
    </row>
    <row r="764" spans="1:1">
      <c r="A764" s="15"/>
    </row>
    <row r="765" spans="1:1">
      <c r="A765" s="15"/>
    </row>
    <row r="766" spans="1:1">
      <c r="A766" s="15"/>
    </row>
    <row r="767" spans="1:1">
      <c r="A767" s="15"/>
    </row>
    <row r="768" spans="1:1">
      <c r="A768" s="15"/>
    </row>
    <row r="769" spans="1:1">
      <c r="A769" s="15"/>
    </row>
    <row r="770" spans="1:1">
      <c r="A770" s="15"/>
    </row>
    <row r="771" spans="1:1">
      <c r="A771" s="15"/>
    </row>
    <row r="772" spans="1:1">
      <c r="A772" s="15"/>
    </row>
    <row r="773" spans="1:1">
      <c r="A773" s="15"/>
    </row>
    <row r="774" spans="1:1">
      <c r="A774" s="15"/>
    </row>
    <row r="775" spans="1:1">
      <c r="A775" s="15"/>
    </row>
    <row r="776" spans="1:1">
      <c r="A776" s="15"/>
    </row>
    <row r="777" spans="1:1">
      <c r="A777" s="15"/>
    </row>
    <row r="778" spans="1:1">
      <c r="A778" s="15"/>
    </row>
    <row r="779" spans="1:1">
      <c r="A779" s="15"/>
    </row>
    <row r="780" spans="1:1">
      <c r="A780" s="15"/>
    </row>
    <row r="781" spans="1:1">
      <c r="A781" s="15"/>
    </row>
    <row r="782" spans="1:1">
      <c r="A782" s="15"/>
    </row>
    <row r="783" spans="1:1">
      <c r="A783" s="15"/>
    </row>
    <row r="784" spans="1:1">
      <c r="A784" s="15"/>
    </row>
    <row r="785" spans="1:1">
      <c r="A785" s="15"/>
    </row>
    <row r="786" spans="1:1">
      <c r="A786" s="15"/>
    </row>
    <row r="787" spans="1:1">
      <c r="A787" s="15"/>
    </row>
    <row r="788" spans="1:1">
      <c r="A788" s="15"/>
    </row>
    <row r="789" spans="1:1">
      <c r="A789" s="15"/>
    </row>
    <row r="790" spans="1:1">
      <c r="A790" s="15"/>
    </row>
    <row r="791" spans="1:1">
      <c r="A791" s="15"/>
    </row>
    <row r="792" spans="1:1">
      <c r="A792" s="15"/>
    </row>
    <row r="793" spans="1:1">
      <c r="A793" s="15"/>
    </row>
    <row r="794" spans="1:1">
      <c r="A794" s="15"/>
    </row>
    <row r="795" spans="1:1">
      <c r="A795" s="15"/>
    </row>
    <row r="796" spans="1:1">
      <c r="A796" s="15"/>
    </row>
    <row r="797" spans="1:1">
      <c r="A797" s="15"/>
    </row>
    <row r="798" spans="1:1">
      <c r="A798" s="15"/>
    </row>
    <row r="799" spans="1:1">
      <c r="A799" s="15"/>
    </row>
    <row r="800" spans="1:1">
      <c r="A800" s="15"/>
    </row>
    <row r="801" spans="1:1">
      <c r="A801" s="15"/>
    </row>
    <row r="802" spans="1:1">
      <c r="A802" s="15"/>
    </row>
    <row r="803" spans="1:1">
      <c r="A803" s="15"/>
    </row>
    <row r="804" spans="1:1">
      <c r="A804" s="15"/>
    </row>
    <row r="805" spans="1:1">
      <c r="A805" s="15"/>
    </row>
    <row r="806" spans="1:1">
      <c r="A806" s="15"/>
    </row>
    <row r="807" spans="1:1">
      <c r="A807" s="15"/>
    </row>
    <row r="808" spans="1:1">
      <c r="A808" s="15"/>
    </row>
    <row r="809" spans="1:1">
      <c r="A809" s="15"/>
    </row>
    <row r="810" spans="1:1">
      <c r="A810" s="15"/>
    </row>
    <row r="811" spans="1:1">
      <c r="A811" s="15"/>
    </row>
    <row r="812" spans="1:1">
      <c r="A812" s="15"/>
    </row>
    <row r="813" spans="1:1">
      <c r="A813" s="15"/>
    </row>
    <row r="814" spans="1:1">
      <c r="A814" s="15"/>
    </row>
    <row r="815" spans="1:1">
      <c r="A815" s="15"/>
    </row>
    <row r="816" spans="1:1">
      <c r="A816" s="15"/>
    </row>
    <row r="817" spans="1:1">
      <c r="A817" s="15"/>
    </row>
    <row r="818" spans="1:1">
      <c r="A818" s="15"/>
    </row>
    <row r="819" spans="1:1">
      <c r="A819" s="15"/>
    </row>
    <row r="820" spans="1:1">
      <c r="A820" s="15"/>
    </row>
    <row r="821" spans="1:1">
      <c r="A821" s="15"/>
    </row>
    <row r="822" spans="1:1">
      <c r="A822" s="15"/>
    </row>
    <row r="823" spans="1:1">
      <c r="A823" s="15"/>
    </row>
    <row r="824" spans="1:1">
      <c r="A824" s="15"/>
    </row>
    <row r="825" spans="1:1">
      <c r="A825" s="15"/>
    </row>
    <row r="826" spans="1:1">
      <c r="A826" s="15"/>
    </row>
    <row r="827" spans="1:1">
      <c r="A827" s="15"/>
    </row>
    <row r="828" spans="1:1">
      <c r="A828" s="15"/>
    </row>
    <row r="829" spans="1:1">
      <c r="A829" s="15"/>
    </row>
    <row r="830" spans="1:1">
      <c r="A830" s="15"/>
    </row>
    <row r="831" spans="1:1">
      <c r="A831" s="15"/>
    </row>
    <row r="832" spans="1:1">
      <c r="A832" s="15"/>
    </row>
    <row r="833" spans="1:1">
      <c r="A833" s="15"/>
    </row>
    <row r="834" spans="1:1">
      <c r="A834" s="15"/>
    </row>
    <row r="835" spans="1:1">
      <c r="A835" s="15"/>
    </row>
    <row r="836" spans="1:1">
      <c r="A836" s="15"/>
    </row>
    <row r="837" spans="1:1">
      <c r="A837" s="15"/>
    </row>
    <row r="838" spans="1:1">
      <c r="A838" s="15"/>
    </row>
    <row r="839" spans="1:1">
      <c r="A839" s="15"/>
    </row>
    <row r="840" spans="1:1">
      <c r="A840" s="15"/>
    </row>
    <row r="841" spans="1:1">
      <c r="A841" s="15"/>
    </row>
    <row r="842" spans="1:1">
      <c r="A842" s="15"/>
    </row>
    <row r="843" spans="1:1">
      <c r="A843" s="15"/>
    </row>
    <row r="844" spans="1:1">
      <c r="A844" s="15"/>
    </row>
    <row r="845" spans="1:1">
      <c r="A845" s="15"/>
    </row>
    <row r="846" spans="1:1">
      <c r="A846" s="15"/>
    </row>
    <row r="847" spans="1:1">
      <c r="A847" s="15"/>
    </row>
    <row r="848" spans="1:1">
      <c r="A848" s="15"/>
    </row>
    <row r="849" spans="1:1">
      <c r="A849" s="15"/>
    </row>
    <row r="850" spans="1:1">
      <c r="A850" s="15"/>
    </row>
    <row r="851" spans="1:1">
      <c r="A851" s="15"/>
    </row>
    <row r="852" spans="1:1">
      <c r="A852" s="15"/>
    </row>
    <row r="853" spans="1:1">
      <c r="A853" s="15"/>
    </row>
    <row r="854" spans="1:1">
      <c r="A854" s="15"/>
    </row>
    <row r="855" spans="1:1">
      <c r="A855" s="15"/>
    </row>
    <row r="856" spans="1:1">
      <c r="A856" s="15"/>
    </row>
    <row r="857" spans="1:1">
      <c r="A857" s="15"/>
    </row>
    <row r="858" spans="1:1">
      <c r="A858" s="15"/>
    </row>
    <row r="859" spans="1:1">
      <c r="A859" s="15"/>
    </row>
    <row r="860" spans="1:1">
      <c r="A860" s="15"/>
    </row>
    <row r="861" spans="1:1">
      <c r="A861" s="15"/>
    </row>
    <row r="862" spans="1:1">
      <c r="A862" s="15"/>
    </row>
    <row r="863" spans="1:1">
      <c r="A863" s="15"/>
    </row>
    <row r="864" spans="1:1">
      <c r="A864" s="15"/>
    </row>
    <row r="865" spans="1:1">
      <c r="A865" s="15"/>
    </row>
    <row r="866" spans="1:1">
      <c r="A866" s="15"/>
    </row>
    <row r="867" spans="1:1">
      <c r="A867" s="15"/>
    </row>
    <row r="868" spans="1:1">
      <c r="A868" s="15"/>
    </row>
    <row r="869" spans="1:1">
      <c r="A869" s="15"/>
    </row>
    <row r="870" spans="1:1">
      <c r="A870" s="15"/>
    </row>
    <row r="871" spans="1:1">
      <c r="A871" s="15"/>
    </row>
    <row r="872" spans="1:1">
      <c r="A872" s="15"/>
    </row>
    <row r="873" spans="1:1">
      <c r="A873" s="15"/>
    </row>
    <row r="874" spans="1:1">
      <c r="A874" s="15"/>
    </row>
    <row r="875" spans="1:1">
      <c r="A875" s="15"/>
    </row>
    <row r="876" spans="1:1">
      <c r="A876" s="15"/>
    </row>
    <row r="877" spans="1:1">
      <c r="A877" s="15"/>
    </row>
    <row r="878" spans="1:1">
      <c r="A878" s="15"/>
    </row>
    <row r="879" spans="1:1">
      <c r="A879" s="15"/>
    </row>
    <row r="880" spans="1:1">
      <c r="A880" s="15"/>
    </row>
    <row r="881" spans="1:1">
      <c r="A881" s="15"/>
    </row>
    <row r="882" spans="1:1">
      <c r="A882" s="15"/>
    </row>
    <row r="883" spans="1:1">
      <c r="A883" s="15"/>
    </row>
    <row r="884" spans="1:1">
      <c r="A884" s="15"/>
    </row>
    <row r="885" spans="1:1">
      <c r="A885" s="15"/>
    </row>
    <row r="886" spans="1:1">
      <c r="A886" s="15"/>
    </row>
    <row r="887" spans="1:1">
      <c r="A887" s="15"/>
    </row>
    <row r="888" spans="1:1">
      <c r="A888" s="15"/>
    </row>
    <row r="889" spans="1:1">
      <c r="A889" s="15"/>
    </row>
    <row r="890" spans="1:1">
      <c r="A890" s="15"/>
    </row>
    <row r="891" spans="1:1">
      <c r="A891" s="15"/>
    </row>
    <row r="892" spans="1:1">
      <c r="A892" s="15"/>
    </row>
    <row r="893" spans="1:1">
      <c r="A893" s="15"/>
    </row>
    <row r="894" spans="1:1">
      <c r="A894" s="15"/>
    </row>
    <row r="895" spans="1:1">
      <c r="A895" s="15"/>
    </row>
    <row r="896" spans="1:1">
      <c r="A896" s="15"/>
    </row>
    <row r="897" spans="1:1">
      <c r="A897" s="15"/>
    </row>
    <row r="898" spans="1:1">
      <c r="A898" s="15"/>
    </row>
    <row r="899" spans="1:1">
      <c r="A899" s="15"/>
    </row>
    <row r="900" spans="1:1">
      <c r="A900" s="15"/>
    </row>
    <row r="901" spans="1:1">
      <c r="A901" s="15"/>
    </row>
    <row r="902" spans="1:1">
      <c r="A902" s="15"/>
    </row>
    <row r="903" spans="1:1">
      <c r="A903" s="15"/>
    </row>
    <row r="904" spans="1:1">
      <c r="A904" s="15"/>
    </row>
    <row r="905" spans="1:1">
      <c r="A905" s="15"/>
    </row>
    <row r="906" spans="1:1">
      <c r="A906" s="15"/>
    </row>
    <row r="907" spans="1:1">
      <c r="A907" s="15"/>
    </row>
    <row r="908" spans="1:1">
      <c r="A908" s="15"/>
    </row>
    <row r="909" spans="1:1">
      <c r="A909" s="15"/>
    </row>
    <row r="910" spans="1:1">
      <c r="A910" s="15"/>
    </row>
    <row r="911" spans="1:1">
      <c r="A911" s="15"/>
    </row>
    <row r="912" spans="1:1">
      <c r="A912" s="15"/>
    </row>
    <row r="913" spans="1:1">
      <c r="A913" s="15"/>
    </row>
    <row r="914" spans="1:1">
      <c r="A914" s="15"/>
    </row>
    <row r="915" spans="1:1">
      <c r="A915" s="15"/>
    </row>
    <row r="916" spans="1:1">
      <c r="A916" s="15"/>
    </row>
    <row r="917" spans="1:1">
      <c r="A917" s="15"/>
    </row>
    <row r="918" spans="1:1">
      <c r="A918" s="15"/>
    </row>
    <row r="919" spans="1:1">
      <c r="A919" s="15"/>
    </row>
    <row r="920" spans="1:1">
      <c r="A920" s="15"/>
    </row>
    <row r="921" spans="1:1">
      <c r="A921" s="15"/>
    </row>
    <row r="922" spans="1:1">
      <c r="A922" s="15"/>
    </row>
    <row r="923" spans="1:1">
      <c r="A923" s="15"/>
    </row>
    <row r="924" spans="1:1">
      <c r="A924" s="15"/>
    </row>
    <row r="925" spans="1:1">
      <c r="A925" s="15"/>
    </row>
    <row r="926" spans="1:1">
      <c r="A926" s="15"/>
    </row>
    <row r="927" spans="1:1">
      <c r="A927" s="15"/>
    </row>
    <row r="928" spans="1:1">
      <c r="A928" s="15"/>
    </row>
    <row r="929" spans="1:1">
      <c r="A929" s="15"/>
    </row>
    <row r="930" spans="1:1">
      <c r="A930" s="15"/>
    </row>
  </sheetData>
  <autoFilter ref="A1:C1" xr:uid="{00000000-0009-0000-0000-000007000000}"/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9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6.5"/>
  <cols>
    <col min="1" max="2" width="16" customWidth="1"/>
    <col min="3" max="12" width="14" customWidth="1"/>
  </cols>
  <sheetData>
    <row r="1" spans="1:12" ht="27.75">
      <c r="A1" s="143" t="s">
        <v>0</v>
      </c>
      <c r="B1" s="143" t="s">
        <v>1</v>
      </c>
      <c r="C1" s="143" t="s">
        <v>2</v>
      </c>
      <c r="D1" s="143" t="s">
        <v>3</v>
      </c>
      <c r="E1" s="143" t="s">
        <v>4</v>
      </c>
      <c r="F1" s="143" t="s">
        <v>4</v>
      </c>
      <c r="G1" s="143" t="s">
        <v>5</v>
      </c>
      <c r="H1" s="143" t="s">
        <v>6</v>
      </c>
      <c r="I1" s="143" t="s">
        <v>7</v>
      </c>
      <c r="J1" s="143" t="s">
        <v>7</v>
      </c>
      <c r="K1" s="143" t="s">
        <v>8</v>
      </c>
      <c r="L1" s="143" t="s">
        <v>9</v>
      </c>
    </row>
    <row r="2" spans="1:12">
      <c r="A2" s="144" t="s">
        <v>10</v>
      </c>
      <c r="B2" s="144" t="s">
        <v>11</v>
      </c>
      <c r="C2" s="144" t="s">
        <v>12</v>
      </c>
      <c r="D2" s="145">
        <v>512.9</v>
      </c>
      <c r="E2" s="145">
        <v>609</v>
      </c>
      <c r="F2" s="145">
        <v>207.5</v>
      </c>
      <c r="G2" s="145">
        <v>-39.9</v>
      </c>
      <c r="H2" s="145">
        <v>100.5</v>
      </c>
      <c r="I2" s="144" t="s">
        <v>13</v>
      </c>
      <c r="J2" s="144" t="s">
        <v>14</v>
      </c>
      <c r="K2" s="144"/>
      <c r="L2" s="144" t="s">
        <v>13</v>
      </c>
    </row>
    <row r="3" spans="1:12">
      <c r="A3" s="144" t="s">
        <v>15</v>
      </c>
      <c r="B3" s="144" t="s">
        <v>16</v>
      </c>
      <c r="C3" s="144" t="s">
        <v>17</v>
      </c>
      <c r="D3" s="145">
        <v>451.7</v>
      </c>
      <c r="E3" s="145">
        <v>590</v>
      </c>
      <c r="F3" s="145">
        <v>271.3</v>
      </c>
      <c r="G3" s="145">
        <v>-43.4</v>
      </c>
      <c r="H3" s="145">
        <v>99.5</v>
      </c>
      <c r="I3" s="144" t="s">
        <v>13</v>
      </c>
      <c r="J3" s="144" t="s">
        <v>14</v>
      </c>
      <c r="K3" s="144"/>
      <c r="L3" s="144" t="s">
        <v>13</v>
      </c>
    </row>
    <row r="4" spans="1:12">
      <c r="A4" s="144" t="s">
        <v>18</v>
      </c>
      <c r="B4" s="144" t="s">
        <v>19</v>
      </c>
      <c r="C4" s="144" t="s">
        <v>20</v>
      </c>
      <c r="D4" s="145">
        <v>507.6</v>
      </c>
      <c r="E4" s="145">
        <v>697.5</v>
      </c>
      <c r="F4" s="145">
        <v>320.8</v>
      </c>
      <c r="G4" s="145">
        <v>-41</v>
      </c>
      <c r="H4" s="145">
        <v>96.4</v>
      </c>
      <c r="I4" s="144" t="s">
        <v>13</v>
      </c>
      <c r="J4" s="144" t="s">
        <v>14</v>
      </c>
      <c r="K4" s="144"/>
      <c r="L4" s="144" t="s">
        <v>13</v>
      </c>
    </row>
    <row r="5" spans="1:12">
      <c r="A5" s="144" t="s">
        <v>21</v>
      </c>
      <c r="B5" s="144" t="s">
        <v>22</v>
      </c>
      <c r="C5" s="144" t="s">
        <v>23</v>
      </c>
      <c r="D5" s="145">
        <v>466.4</v>
      </c>
      <c r="E5" s="145">
        <v>645.20000000000005</v>
      </c>
      <c r="F5" s="145">
        <v>432.1</v>
      </c>
      <c r="G5" s="145">
        <v>-46.1</v>
      </c>
      <c r="H5" s="145">
        <v>100.7</v>
      </c>
      <c r="I5" s="144" t="s">
        <v>13</v>
      </c>
      <c r="J5" s="144" t="s">
        <v>14</v>
      </c>
      <c r="K5" s="144"/>
      <c r="L5" s="144" t="s">
        <v>13</v>
      </c>
    </row>
    <row r="6" spans="1:12">
      <c r="A6" s="144" t="s">
        <v>24</v>
      </c>
      <c r="B6" s="144" t="s">
        <v>25</v>
      </c>
      <c r="C6" s="144" t="s">
        <v>26</v>
      </c>
      <c r="D6" s="145">
        <v>327.60000000000002</v>
      </c>
      <c r="E6" s="145">
        <v>435.4</v>
      </c>
      <c r="F6" s="145">
        <v>354</v>
      </c>
      <c r="G6" s="145">
        <v>-43.5</v>
      </c>
      <c r="H6" s="145">
        <v>103.4</v>
      </c>
      <c r="I6" s="144" t="s">
        <v>13</v>
      </c>
      <c r="J6" s="144" t="s">
        <v>14</v>
      </c>
      <c r="K6" s="144"/>
      <c r="L6" s="146" t="s">
        <v>14</v>
      </c>
    </row>
    <row r="7" spans="1:12">
      <c r="A7" s="144" t="s">
        <v>27</v>
      </c>
      <c r="B7" s="144" t="s">
        <v>28</v>
      </c>
      <c r="C7" s="144" t="s">
        <v>29</v>
      </c>
      <c r="D7" s="145">
        <v>455.4</v>
      </c>
      <c r="E7" s="145">
        <v>704.6</v>
      </c>
      <c r="F7" s="145">
        <v>479.9</v>
      </c>
      <c r="G7" s="145">
        <v>-36.9</v>
      </c>
      <c r="H7" s="145">
        <v>95.3</v>
      </c>
      <c r="I7" s="144" t="s">
        <v>13</v>
      </c>
      <c r="J7" s="144" t="s">
        <v>13</v>
      </c>
      <c r="K7" s="144"/>
      <c r="L7" s="144" t="s">
        <v>13</v>
      </c>
    </row>
    <row r="8" spans="1:12">
      <c r="A8" s="144" t="s">
        <v>30</v>
      </c>
      <c r="B8" s="144" t="s">
        <v>31</v>
      </c>
      <c r="C8" s="144" t="s">
        <v>32</v>
      </c>
      <c r="D8" s="145">
        <v>474.6</v>
      </c>
      <c r="E8" s="145">
        <v>590.79999999999995</v>
      </c>
      <c r="F8" s="145">
        <v>343.7</v>
      </c>
      <c r="G8" s="145">
        <v>-38.9</v>
      </c>
      <c r="H8" s="145">
        <v>110.3</v>
      </c>
      <c r="I8" s="144" t="s">
        <v>13</v>
      </c>
      <c r="J8" s="144" t="s">
        <v>13</v>
      </c>
      <c r="K8" s="144"/>
      <c r="L8" s="144" t="s">
        <v>13</v>
      </c>
    </row>
    <row r="9" spans="1:12">
      <c r="A9" s="144" t="s">
        <v>33</v>
      </c>
      <c r="B9" s="144" t="s">
        <v>34</v>
      </c>
      <c r="C9" s="144" t="s">
        <v>35</v>
      </c>
      <c r="D9" s="145">
        <v>407</v>
      </c>
      <c r="E9" s="145">
        <v>536.5</v>
      </c>
      <c r="F9" s="145">
        <v>332.2</v>
      </c>
      <c r="G9" s="145">
        <v>-41.5</v>
      </c>
      <c r="H9" s="145">
        <v>116.6</v>
      </c>
      <c r="I9" s="144" t="s">
        <v>13</v>
      </c>
      <c r="J9" s="144" t="s">
        <v>13</v>
      </c>
      <c r="K9" s="144"/>
      <c r="L9" s="144" t="s">
        <v>13</v>
      </c>
    </row>
    <row r="10" spans="1:12">
      <c r="A10" s="144" t="s">
        <v>36</v>
      </c>
      <c r="B10" s="144" t="s">
        <v>37</v>
      </c>
      <c r="C10" s="144" t="s">
        <v>38</v>
      </c>
      <c r="D10" s="145">
        <v>474.4</v>
      </c>
      <c r="E10" s="145">
        <v>628.20000000000005</v>
      </c>
      <c r="F10" s="145">
        <v>309.7</v>
      </c>
      <c r="G10" s="145">
        <v>-42.4</v>
      </c>
      <c r="H10" s="145">
        <v>106.7</v>
      </c>
      <c r="I10" s="144" t="s">
        <v>13</v>
      </c>
      <c r="J10" s="144" t="s">
        <v>13</v>
      </c>
      <c r="K10" s="144"/>
      <c r="L10" s="144" t="s">
        <v>13</v>
      </c>
    </row>
    <row r="11" spans="1:12">
      <c r="A11" s="144" t="s">
        <v>39</v>
      </c>
      <c r="B11" s="144" t="s">
        <v>40</v>
      </c>
      <c r="C11" s="144" t="s">
        <v>41</v>
      </c>
      <c r="D11" s="145">
        <v>436</v>
      </c>
      <c r="E11" s="145">
        <v>670.3</v>
      </c>
      <c r="F11" s="145">
        <v>418.7</v>
      </c>
      <c r="G11" s="145">
        <v>-44.4</v>
      </c>
      <c r="H11" s="145">
        <v>99.8</v>
      </c>
      <c r="I11" s="144" t="s">
        <v>13</v>
      </c>
      <c r="J11" s="144" t="s">
        <v>13</v>
      </c>
      <c r="K11" s="144"/>
      <c r="L11" s="144" t="s">
        <v>13</v>
      </c>
    </row>
    <row r="12" spans="1:12">
      <c r="A12" s="144" t="s">
        <v>42</v>
      </c>
      <c r="B12" s="144" t="s">
        <v>43</v>
      </c>
      <c r="C12" s="144" t="s">
        <v>44</v>
      </c>
      <c r="D12" s="145">
        <v>485.6</v>
      </c>
      <c r="E12" s="145">
        <v>628.29999999999995</v>
      </c>
      <c r="F12" s="145">
        <v>158</v>
      </c>
      <c r="G12" s="145">
        <v>-41.9</v>
      </c>
      <c r="H12" s="145">
        <v>91.2</v>
      </c>
      <c r="I12" s="144" t="s">
        <v>13</v>
      </c>
      <c r="J12" s="144" t="s">
        <v>14</v>
      </c>
      <c r="K12" s="144"/>
      <c r="L12" s="144" t="s">
        <v>13</v>
      </c>
    </row>
    <row r="13" spans="1:12">
      <c r="A13" s="144" t="s">
        <v>45</v>
      </c>
      <c r="B13" s="144" t="s">
        <v>46</v>
      </c>
      <c r="C13" s="144" t="s">
        <v>47</v>
      </c>
      <c r="D13" s="145">
        <v>410.6</v>
      </c>
      <c r="E13" s="145">
        <v>645.9</v>
      </c>
      <c r="F13" s="145">
        <v>645.9</v>
      </c>
      <c r="G13" s="145">
        <v>-38.200000000000003</v>
      </c>
      <c r="H13" s="145">
        <v>104.4</v>
      </c>
      <c r="I13" s="144" t="s">
        <v>13</v>
      </c>
      <c r="J13" s="144" t="s">
        <v>13</v>
      </c>
      <c r="K13" s="144"/>
      <c r="L13" s="144" t="s">
        <v>13</v>
      </c>
    </row>
    <row r="14" spans="1:12">
      <c r="A14" s="144" t="s">
        <v>48</v>
      </c>
      <c r="B14" s="144" t="s">
        <v>49</v>
      </c>
      <c r="C14" s="144" t="s">
        <v>50</v>
      </c>
      <c r="D14" s="145">
        <v>485</v>
      </c>
      <c r="E14" s="145">
        <v>607.70000000000005</v>
      </c>
      <c r="F14" s="145">
        <v>282.60000000000002</v>
      </c>
      <c r="G14" s="145">
        <v>-37.700000000000003</v>
      </c>
      <c r="H14" s="145">
        <v>96.6</v>
      </c>
      <c r="I14" s="144" t="s">
        <v>13</v>
      </c>
      <c r="J14" s="144" t="s">
        <v>13</v>
      </c>
      <c r="K14" s="144"/>
      <c r="L14" s="144" t="s">
        <v>13</v>
      </c>
    </row>
    <row r="15" spans="1:12">
      <c r="A15" s="144" t="s">
        <v>51</v>
      </c>
      <c r="B15" s="144" t="s">
        <v>52</v>
      </c>
      <c r="C15" s="144" t="s">
        <v>53</v>
      </c>
      <c r="D15" s="145">
        <v>469.8</v>
      </c>
      <c r="E15" s="145">
        <v>535.70000000000005</v>
      </c>
      <c r="F15" s="145">
        <v>106.9</v>
      </c>
      <c r="G15" s="145">
        <v>-43.7</v>
      </c>
      <c r="H15" s="145">
        <v>102.7</v>
      </c>
      <c r="I15" s="144" t="s">
        <v>13</v>
      </c>
      <c r="J15" s="144" t="s">
        <v>14</v>
      </c>
      <c r="K15" s="144"/>
      <c r="L15" s="144" t="s">
        <v>13</v>
      </c>
    </row>
    <row r="16" spans="1:12">
      <c r="A16" s="144" t="s">
        <v>54</v>
      </c>
      <c r="B16" s="144" t="s">
        <v>55</v>
      </c>
      <c r="C16" s="144" t="s">
        <v>56</v>
      </c>
      <c r="D16" s="145">
        <v>435.2</v>
      </c>
      <c r="E16" s="145">
        <v>510.5</v>
      </c>
      <c r="F16" s="145">
        <v>408.2</v>
      </c>
      <c r="G16" s="145">
        <v>-45</v>
      </c>
      <c r="H16" s="145">
        <v>100.9</v>
      </c>
      <c r="I16" s="144" t="s">
        <v>13</v>
      </c>
      <c r="J16" s="144" t="s">
        <v>13</v>
      </c>
      <c r="K16" s="144"/>
      <c r="L16" s="144" t="s">
        <v>13</v>
      </c>
    </row>
    <row r="17" spans="1:12">
      <c r="A17" s="144" t="s">
        <v>57</v>
      </c>
      <c r="B17" s="144" t="s">
        <v>58</v>
      </c>
      <c r="C17" s="144" t="s">
        <v>59</v>
      </c>
      <c r="D17" s="145">
        <v>327.5</v>
      </c>
      <c r="E17" s="145">
        <v>508</v>
      </c>
      <c r="F17" s="145">
        <v>508</v>
      </c>
      <c r="G17" s="145">
        <v>-53.3</v>
      </c>
      <c r="H17" s="145">
        <v>94.2</v>
      </c>
      <c r="I17" s="144" t="s">
        <v>13</v>
      </c>
      <c r="J17" s="144" t="s">
        <v>13</v>
      </c>
      <c r="K17" s="144"/>
      <c r="L17" s="146" t="s">
        <v>14</v>
      </c>
    </row>
    <row r="18" spans="1:12">
      <c r="A18" s="144" t="s">
        <v>60</v>
      </c>
      <c r="B18" s="144" t="s">
        <v>61</v>
      </c>
      <c r="C18" s="144" t="s">
        <v>62</v>
      </c>
      <c r="D18" s="145">
        <v>429.2</v>
      </c>
      <c r="E18" s="145">
        <v>587.6</v>
      </c>
      <c r="F18" s="145">
        <v>395.8</v>
      </c>
      <c r="G18" s="145">
        <v>-40.1</v>
      </c>
      <c r="H18" s="145">
        <v>88.7</v>
      </c>
      <c r="I18" s="144" t="s">
        <v>13</v>
      </c>
      <c r="J18" s="144" t="s">
        <v>14</v>
      </c>
      <c r="K18" s="144"/>
      <c r="L18" s="144" t="s">
        <v>13</v>
      </c>
    </row>
    <row r="19" spans="1:12">
      <c r="A19" s="144" t="s">
        <v>63</v>
      </c>
      <c r="B19" s="144" t="s">
        <v>64</v>
      </c>
      <c r="C19" s="144" t="s">
        <v>65</v>
      </c>
      <c r="D19" s="145">
        <v>468.9</v>
      </c>
      <c r="E19" s="145">
        <v>647.5</v>
      </c>
      <c r="F19" s="145">
        <v>431.2</v>
      </c>
      <c r="G19" s="145">
        <v>-41.1</v>
      </c>
      <c r="H19" s="145">
        <v>91.7</v>
      </c>
      <c r="I19" s="144" t="s">
        <v>13</v>
      </c>
      <c r="J19" s="144" t="s">
        <v>14</v>
      </c>
      <c r="K19" s="144"/>
      <c r="L19" s="144" t="s">
        <v>13</v>
      </c>
    </row>
    <row r="20" spans="1:12">
      <c r="A20" s="144" t="s">
        <v>66</v>
      </c>
      <c r="B20" s="144" t="s">
        <v>67</v>
      </c>
      <c r="C20" s="144" t="s">
        <v>68</v>
      </c>
      <c r="D20" s="145">
        <v>501.7</v>
      </c>
      <c r="E20" s="145">
        <v>627.1</v>
      </c>
      <c r="F20" s="145">
        <v>302.10000000000002</v>
      </c>
      <c r="G20" s="145">
        <v>-37.4</v>
      </c>
      <c r="H20" s="145">
        <v>93.8</v>
      </c>
      <c r="I20" s="144" t="s">
        <v>13</v>
      </c>
      <c r="J20" s="144" t="s">
        <v>13</v>
      </c>
      <c r="K20" s="144"/>
      <c r="L20" s="144" t="s">
        <v>13</v>
      </c>
    </row>
    <row r="21" spans="1:12">
      <c r="A21" s="144" t="s">
        <v>69</v>
      </c>
      <c r="B21" s="144" t="s">
        <v>70</v>
      </c>
      <c r="C21" s="144" t="s">
        <v>71</v>
      </c>
      <c r="D21" s="145">
        <v>535.29999999999995</v>
      </c>
      <c r="E21" s="145">
        <v>672.2</v>
      </c>
      <c r="F21" s="145">
        <v>228</v>
      </c>
      <c r="G21" s="145">
        <v>-39.5</v>
      </c>
      <c r="H21" s="145">
        <v>108.5</v>
      </c>
      <c r="I21" s="144" t="s">
        <v>13</v>
      </c>
      <c r="J21" s="144" t="s">
        <v>14</v>
      </c>
      <c r="K21" s="144"/>
      <c r="L21" s="144" t="s">
        <v>13</v>
      </c>
    </row>
    <row r="22" spans="1:12">
      <c r="A22" s="144" t="s">
        <v>72</v>
      </c>
      <c r="B22" s="144" t="s">
        <v>73</v>
      </c>
      <c r="C22" s="144" t="s">
        <v>74</v>
      </c>
      <c r="D22" s="145">
        <v>490.3</v>
      </c>
      <c r="E22" s="145">
        <v>594.9</v>
      </c>
      <c r="F22" s="145">
        <v>216.2</v>
      </c>
      <c r="G22" s="145">
        <v>-40.299999999999997</v>
      </c>
      <c r="H22" s="145">
        <v>104.1</v>
      </c>
      <c r="I22" s="144" t="s">
        <v>13</v>
      </c>
      <c r="J22" s="144" t="s">
        <v>13</v>
      </c>
      <c r="K22" s="144"/>
      <c r="L22" s="144" t="s">
        <v>13</v>
      </c>
    </row>
    <row r="23" spans="1:12">
      <c r="A23" s="144" t="s">
        <v>75</v>
      </c>
      <c r="B23" s="144" t="s">
        <v>76</v>
      </c>
      <c r="C23" s="144" t="s">
        <v>77</v>
      </c>
      <c r="D23" s="145">
        <v>380.6</v>
      </c>
      <c r="E23" s="145">
        <v>505.1</v>
      </c>
      <c r="F23" s="145">
        <v>392.8</v>
      </c>
      <c r="G23" s="145">
        <v>-44.9</v>
      </c>
      <c r="H23" s="145">
        <v>99.9</v>
      </c>
      <c r="I23" s="144" t="s">
        <v>13</v>
      </c>
      <c r="J23" s="144" t="s">
        <v>13</v>
      </c>
      <c r="K23" s="144"/>
      <c r="L23" s="144" t="s">
        <v>13</v>
      </c>
    </row>
    <row r="24" spans="1:12">
      <c r="A24" s="144" t="s">
        <v>78</v>
      </c>
      <c r="B24" s="144" t="s">
        <v>79</v>
      </c>
      <c r="C24" s="144" t="s">
        <v>80</v>
      </c>
      <c r="D24" s="145">
        <v>409.9</v>
      </c>
      <c r="E24" s="145">
        <v>534.20000000000005</v>
      </c>
      <c r="F24" s="145">
        <v>375.6</v>
      </c>
      <c r="G24" s="145">
        <v>-41.6</v>
      </c>
      <c r="H24" s="145">
        <v>96.4</v>
      </c>
      <c r="I24" s="144" t="s">
        <v>13</v>
      </c>
      <c r="J24" s="144" t="s">
        <v>13</v>
      </c>
      <c r="K24" s="144"/>
      <c r="L24" s="144" t="s">
        <v>13</v>
      </c>
    </row>
    <row r="25" spans="1:12">
      <c r="A25" s="144" t="s">
        <v>81</v>
      </c>
      <c r="B25" s="144" t="s">
        <v>82</v>
      </c>
      <c r="C25" s="144" t="s">
        <v>83</v>
      </c>
      <c r="D25" s="145">
        <v>409.9</v>
      </c>
      <c r="E25" s="145">
        <v>495.4</v>
      </c>
      <c r="F25" s="145">
        <v>380.4</v>
      </c>
      <c r="G25" s="145">
        <v>-42.4</v>
      </c>
      <c r="H25" s="145">
        <v>95.5</v>
      </c>
      <c r="I25" s="144" t="s">
        <v>13</v>
      </c>
      <c r="J25" s="144" t="s">
        <v>13</v>
      </c>
      <c r="K25" s="144"/>
      <c r="L25" s="144" t="s">
        <v>13</v>
      </c>
    </row>
    <row r="26" spans="1:12">
      <c r="A26" s="144" t="s">
        <v>84</v>
      </c>
      <c r="B26" s="144" t="s">
        <v>85</v>
      </c>
      <c r="C26" s="144" t="s">
        <v>86</v>
      </c>
      <c r="D26" s="145">
        <v>345.3</v>
      </c>
      <c r="E26" s="145">
        <v>420.2</v>
      </c>
      <c r="F26" s="145">
        <v>321.3</v>
      </c>
      <c r="G26" s="145">
        <v>-47.9</v>
      </c>
      <c r="H26" s="145">
        <v>109.9</v>
      </c>
      <c r="I26" s="144" t="s">
        <v>13</v>
      </c>
      <c r="J26" s="144" t="s">
        <v>13</v>
      </c>
      <c r="K26" s="144"/>
      <c r="L26" s="146" t="s">
        <v>14</v>
      </c>
    </row>
    <row r="27" spans="1:12">
      <c r="A27" s="144" t="s">
        <v>87</v>
      </c>
      <c r="B27" s="144" t="s">
        <v>88</v>
      </c>
      <c r="C27" s="144" t="s">
        <v>89</v>
      </c>
      <c r="D27" s="145">
        <v>457.5</v>
      </c>
      <c r="E27" s="145">
        <v>602.29999999999995</v>
      </c>
      <c r="F27" s="145">
        <v>318.10000000000002</v>
      </c>
      <c r="G27" s="145">
        <v>-42.3</v>
      </c>
      <c r="H27" s="145">
        <v>104.8</v>
      </c>
      <c r="I27" s="144" t="s">
        <v>13</v>
      </c>
      <c r="J27" s="144" t="s">
        <v>13</v>
      </c>
      <c r="K27" s="144"/>
      <c r="L27" s="144" t="s">
        <v>13</v>
      </c>
    </row>
    <row r="28" spans="1:12">
      <c r="A28" s="144" t="s">
        <v>90</v>
      </c>
      <c r="B28" s="144" t="s">
        <v>91</v>
      </c>
      <c r="C28" s="144" t="s">
        <v>92</v>
      </c>
      <c r="D28" s="145">
        <v>445.8</v>
      </c>
      <c r="E28" s="145">
        <v>662.8</v>
      </c>
      <c r="F28" s="145">
        <v>543.1</v>
      </c>
      <c r="G28" s="145">
        <v>-44.6</v>
      </c>
      <c r="H28" s="145">
        <v>93.2</v>
      </c>
      <c r="I28" s="144" t="s">
        <v>13</v>
      </c>
      <c r="J28" s="144" t="s">
        <v>13</v>
      </c>
      <c r="K28" s="144"/>
      <c r="L28" s="144" t="s">
        <v>13</v>
      </c>
    </row>
    <row r="29" spans="1:12">
      <c r="A29" s="144" t="s">
        <v>93</v>
      </c>
      <c r="B29" s="144" t="s">
        <v>94</v>
      </c>
      <c r="C29" s="144" t="s">
        <v>95</v>
      </c>
      <c r="D29" s="145">
        <v>497.5</v>
      </c>
      <c r="E29" s="145">
        <v>565.1</v>
      </c>
      <c r="F29" s="145">
        <v>452.6</v>
      </c>
      <c r="G29" s="145">
        <v>-45.7</v>
      </c>
      <c r="H29" s="145">
        <v>92.3</v>
      </c>
      <c r="I29" s="144" t="s">
        <v>13</v>
      </c>
      <c r="J29" s="144" t="s">
        <v>13</v>
      </c>
      <c r="K29" s="144"/>
      <c r="L29" s="144" t="s">
        <v>13</v>
      </c>
    </row>
    <row r="30" spans="1:12">
      <c r="A30" s="144" t="s">
        <v>96</v>
      </c>
      <c r="B30" s="144" t="s">
        <v>97</v>
      </c>
      <c r="C30" s="144" t="s">
        <v>98</v>
      </c>
      <c r="D30" s="145">
        <v>446.6</v>
      </c>
      <c r="E30" s="145">
        <v>626.70000000000005</v>
      </c>
      <c r="F30" s="145">
        <v>278.8</v>
      </c>
      <c r="G30" s="145">
        <v>-40.799999999999997</v>
      </c>
      <c r="H30" s="145">
        <v>93.8</v>
      </c>
      <c r="I30" s="144" t="s">
        <v>13</v>
      </c>
      <c r="J30" s="144" t="s">
        <v>99</v>
      </c>
      <c r="K30" s="144"/>
      <c r="L30" s="144" t="s">
        <v>13</v>
      </c>
    </row>
    <row r="31" spans="1:12">
      <c r="A31" s="144" t="s">
        <v>100</v>
      </c>
      <c r="B31" s="144" t="s">
        <v>101</v>
      </c>
      <c r="C31" s="144" t="s">
        <v>102</v>
      </c>
      <c r="D31" s="145">
        <v>571.5</v>
      </c>
      <c r="E31" s="145">
        <v>714.7</v>
      </c>
      <c r="F31" s="145">
        <v>263.10000000000002</v>
      </c>
      <c r="G31" s="145">
        <v>-37.4</v>
      </c>
      <c r="H31" s="145">
        <v>85.2</v>
      </c>
      <c r="I31" s="144" t="s">
        <v>13</v>
      </c>
      <c r="J31" s="144" t="s">
        <v>14</v>
      </c>
      <c r="K31" s="144"/>
      <c r="L31" s="144" t="s">
        <v>13</v>
      </c>
    </row>
    <row r="32" spans="1:12">
      <c r="A32" s="144" t="s">
        <v>103</v>
      </c>
      <c r="B32" s="144" t="s">
        <v>104</v>
      </c>
      <c r="C32" s="144" t="s">
        <v>105</v>
      </c>
      <c r="D32" s="145">
        <v>499.3</v>
      </c>
      <c r="E32" s="145">
        <v>600.5</v>
      </c>
      <c r="F32" s="145">
        <v>226.4</v>
      </c>
      <c r="G32" s="145">
        <v>-43.1</v>
      </c>
      <c r="H32" s="145">
        <v>103.5</v>
      </c>
      <c r="I32" s="144" t="s">
        <v>13</v>
      </c>
      <c r="J32" s="144" t="s">
        <v>14</v>
      </c>
      <c r="K32" s="144"/>
      <c r="L32" s="144" t="s">
        <v>13</v>
      </c>
    </row>
    <row r="33" spans="1:12">
      <c r="A33" s="144" t="s">
        <v>106</v>
      </c>
      <c r="B33" s="144" t="s">
        <v>107</v>
      </c>
      <c r="C33" s="144" t="s">
        <v>108</v>
      </c>
      <c r="D33" s="145">
        <v>431</v>
      </c>
      <c r="E33" s="145">
        <v>602.5</v>
      </c>
      <c r="F33" s="145">
        <v>432.1</v>
      </c>
      <c r="G33" s="145">
        <v>-46.3</v>
      </c>
      <c r="H33" s="145">
        <v>92.3</v>
      </c>
      <c r="I33" s="144" t="s">
        <v>13</v>
      </c>
      <c r="J33" s="144" t="s">
        <v>13</v>
      </c>
      <c r="K33" s="144"/>
      <c r="L33" s="144" t="s">
        <v>13</v>
      </c>
    </row>
    <row r="34" spans="1:12">
      <c r="A34" s="144" t="s">
        <v>109</v>
      </c>
      <c r="B34" s="144" t="s">
        <v>110</v>
      </c>
      <c r="C34" s="144" t="s">
        <v>111</v>
      </c>
      <c r="D34" s="145">
        <v>459.4</v>
      </c>
      <c r="E34" s="145">
        <v>559.70000000000005</v>
      </c>
      <c r="F34" s="145">
        <v>133.80000000000001</v>
      </c>
      <c r="G34" s="145">
        <v>-41.9</v>
      </c>
      <c r="H34" s="145">
        <v>102</v>
      </c>
      <c r="I34" s="144" t="s">
        <v>13</v>
      </c>
      <c r="J34" s="144" t="s">
        <v>14</v>
      </c>
      <c r="K34" s="144"/>
      <c r="L34" s="144" t="s">
        <v>13</v>
      </c>
    </row>
    <row r="35" spans="1:12">
      <c r="A35" s="144" t="s">
        <v>112</v>
      </c>
      <c r="B35" s="144" t="s">
        <v>113</v>
      </c>
      <c r="C35" s="144" t="s">
        <v>114</v>
      </c>
      <c r="D35" s="145">
        <v>411.7</v>
      </c>
      <c r="E35" s="145">
        <v>514</v>
      </c>
      <c r="F35" s="145">
        <v>256.2</v>
      </c>
      <c r="G35" s="145">
        <v>-47.6</v>
      </c>
      <c r="H35" s="145">
        <v>93.5</v>
      </c>
      <c r="I35" s="144" t="s">
        <v>13</v>
      </c>
      <c r="J35" s="144" t="s">
        <v>13</v>
      </c>
      <c r="K35" s="144"/>
      <c r="L35" s="144" t="s">
        <v>13</v>
      </c>
    </row>
    <row r="36" spans="1:12">
      <c r="A36" s="144" t="s">
        <v>115</v>
      </c>
      <c r="B36" s="144" t="s">
        <v>116</v>
      </c>
      <c r="C36" s="144" t="s">
        <v>117</v>
      </c>
      <c r="D36" s="145">
        <v>446.8</v>
      </c>
      <c r="E36" s="145">
        <v>681</v>
      </c>
      <c r="F36" s="145">
        <v>591.4</v>
      </c>
      <c r="G36" s="145">
        <v>-40.9</v>
      </c>
      <c r="H36" s="145">
        <v>97.6</v>
      </c>
      <c r="I36" s="144" t="s">
        <v>13</v>
      </c>
      <c r="J36" s="144" t="s">
        <v>13</v>
      </c>
      <c r="K36" s="144"/>
      <c r="L36" s="144" t="s">
        <v>13</v>
      </c>
    </row>
    <row r="37" spans="1:12">
      <c r="A37" s="144" t="s">
        <v>118</v>
      </c>
      <c r="B37" s="144" t="s">
        <v>119</v>
      </c>
      <c r="C37" s="144" t="s">
        <v>120</v>
      </c>
      <c r="D37" s="145">
        <v>480.7</v>
      </c>
      <c r="E37" s="145">
        <v>648.29999999999995</v>
      </c>
      <c r="F37" s="145">
        <v>399.8</v>
      </c>
      <c r="G37" s="145">
        <v>-40.299999999999997</v>
      </c>
      <c r="H37" s="145">
        <v>96.4</v>
      </c>
      <c r="I37" s="144" t="s">
        <v>13</v>
      </c>
      <c r="J37" s="144" t="s">
        <v>14</v>
      </c>
      <c r="K37" s="144"/>
      <c r="L37" s="144" t="s">
        <v>13</v>
      </c>
    </row>
    <row r="38" spans="1:12">
      <c r="A38" s="144" t="s">
        <v>121</v>
      </c>
      <c r="B38" s="144" t="s">
        <v>122</v>
      </c>
      <c r="C38" s="144" t="s">
        <v>123</v>
      </c>
      <c r="D38" s="145">
        <v>471.7</v>
      </c>
      <c r="E38" s="145">
        <v>557.4</v>
      </c>
      <c r="F38" s="145">
        <v>333.9</v>
      </c>
      <c r="G38" s="145">
        <v>-47.8</v>
      </c>
      <c r="H38" s="145">
        <v>91.7</v>
      </c>
      <c r="I38" s="144" t="s">
        <v>13</v>
      </c>
      <c r="J38" s="144" t="s">
        <v>13</v>
      </c>
      <c r="K38" s="144"/>
      <c r="L38" s="144" t="s">
        <v>13</v>
      </c>
    </row>
    <row r="39" spans="1:12">
      <c r="A39" s="144" t="s">
        <v>124</v>
      </c>
      <c r="B39" s="144" t="s">
        <v>125</v>
      </c>
      <c r="C39" s="144" t="s">
        <v>126</v>
      </c>
      <c r="D39" s="145">
        <v>387.2</v>
      </c>
      <c r="E39" s="145">
        <v>574.6</v>
      </c>
      <c r="F39" s="145">
        <v>574.6</v>
      </c>
      <c r="G39" s="145">
        <v>-38.799999999999997</v>
      </c>
      <c r="H39" s="145">
        <v>112.9</v>
      </c>
      <c r="I39" s="144" t="s">
        <v>13</v>
      </c>
      <c r="J39" s="144" t="s">
        <v>13</v>
      </c>
      <c r="K39" s="144"/>
      <c r="L39" s="144" t="s">
        <v>13</v>
      </c>
    </row>
    <row r="40" spans="1:12">
      <c r="A40" s="144" t="s">
        <v>127</v>
      </c>
      <c r="B40" s="144" t="s">
        <v>128</v>
      </c>
      <c r="C40" s="144" t="s">
        <v>129</v>
      </c>
      <c r="D40" s="145">
        <v>354.7</v>
      </c>
      <c r="E40" s="145">
        <v>541.9</v>
      </c>
      <c r="F40" s="145">
        <v>541.9</v>
      </c>
      <c r="G40" s="145">
        <v>-48.7</v>
      </c>
      <c r="H40" s="145">
        <v>90.9</v>
      </c>
      <c r="I40" s="144" t="s">
        <v>13</v>
      </c>
      <c r="J40" s="144" t="s">
        <v>13</v>
      </c>
      <c r="K40" s="144"/>
      <c r="L40" s="146" t="s">
        <v>14</v>
      </c>
    </row>
    <row r="41" spans="1:12">
      <c r="A41" s="144" t="s">
        <v>130</v>
      </c>
      <c r="B41" s="144" t="s">
        <v>131</v>
      </c>
      <c r="C41" s="144" t="s">
        <v>132</v>
      </c>
      <c r="D41" s="145">
        <v>303.3</v>
      </c>
      <c r="E41" s="145">
        <v>461.4</v>
      </c>
      <c r="F41" s="145">
        <v>408.5</v>
      </c>
      <c r="G41" s="145">
        <v>-45.3</v>
      </c>
      <c r="H41" s="145">
        <v>98.7</v>
      </c>
      <c r="I41" s="144" t="s">
        <v>13</v>
      </c>
      <c r="J41" s="144" t="s">
        <v>13</v>
      </c>
      <c r="K41" s="144"/>
      <c r="L41" s="146" t="s">
        <v>14</v>
      </c>
    </row>
    <row r="42" spans="1:12">
      <c r="A42" s="144" t="s">
        <v>133</v>
      </c>
      <c r="B42" s="144" t="s">
        <v>134</v>
      </c>
      <c r="C42" s="144" t="s">
        <v>135</v>
      </c>
      <c r="D42" s="145">
        <v>509.3</v>
      </c>
      <c r="E42" s="145">
        <v>623</v>
      </c>
      <c r="F42" s="145">
        <v>144.9</v>
      </c>
      <c r="G42" s="145">
        <v>-40.9</v>
      </c>
      <c r="H42" s="145">
        <v>101</v>
      </c>
      <c r="I42" s="144" t="s">
        <v>13</v>
      </c>
      <c r="J42" s="144" t="s">
        <v>13</v>
      </c>
      <c r="K42" s="144"/>
      <c r="L42" s="144" t="s">
        <v>13</v>
      </c>
    </row>
    <row r="43" spans="1:12">
      <c r="A43" s="144" t="s">
        <v>136</v>
      </c>
      <c r="B43" s="144" t="s">
        <v>137</v>
      </c>
      <c r="C43" s="144" t="s">
        <v>138</v>
      </c>
      <c r="D43" s="145">
        <v>394.9</v>
      </c>
      <c r="E43" s="145">
        <v>548.4</v>
      </c>
      <c r="F43" s="145">
        <v>379.1</v>
      </c>
      <c r="G43" s="145">
        <v>-44.4</v>
      </c>
      <c r="H43" s="145">
        <v>101.9</v>
      </c>
      <c r="I43" s="144" t="s">
        <v>13</v>
      </c>
      <c r="J43" s="144" t="s">
        <v>13</v>
      </c>
      <c r="K43" s="144"/>
      <c r="L43" s="144" t="s">
        <v>13</v>
      </c>
    </row>
    <row r="44" spans="1:12">
      <c r="A44" s="144" t="s">
        <v>139</v>
      </c>
      <c r="B44" s="144" t="s">
        <v>140</v>
      </c>
      <c r="C44" s="144" t="s">
        <v>141</v>
      </c>
      <c r="D44" s="145">
        <v>405.5</v>
      </c>
      <c r="E44" s="145">
        <v>549.9</v>
      </c>
      <c r="F44" s="145">
        <v>289.5</v>
      </c>
      <c r="G44" s="145">
        <v>-44.7</v>
      </c>
      <c r="H44" s="145">
        <v>98.8</v>
      </c>
      <c r="I44" s="144" t="s">
        <v>13</v>
      </c>
      <c r="J44" s="144" t="s">
        <v>13</v>
      </c>
      <c r="K44" s="144"/>
      <c r="L44" s="144" t="s">
        <v>13</v>
      </c>
    </row>
    <row r="45" spans="1:12">
      <c r="A45" s="144" t="s">
        <v>142</v>
      </c>
      <c r="B45" s="144" t="s">
        <v>143</v>
      </c>
      <c r="C45" s="144" t="s">
        <v>144</v>
      </c>
      <c r="D45" s="145">
        <v>412.3</v>
      </c>
      <c r="E45" s="145">
        <v>585.1</v>
      </c>
      <c r="F45" s="145">
        <v>235.1</v>
      </c>
      <c r="G45" s="145">
        <v>-43.3</v>
      </c>
      <c r="H45" s="145">
        <v>92.5</v>
      </c>
      <c r="I45" s="144" t="s">
        <v>13</v>
      </c>
      <c r="J45" s="144" t="s">
        <v>13</v>
      </c>
      <c r="K45" s="144"/>
      <c r="L45" s="144" t="s">
        <v>13</v>
      </c>
    </row>
    <row r="46" spans="1:12">
      <c r="A46" s="144" t="s">
        <v>145</v>
      </c>
      <c r="B46" s="144" t="s">
        <v>146</v>
      </c>
      <c r="C46" s="144" t="s">
        <v>147</v>
      </c>
      <c r="D46" s="145">
        <v>369.4</v>
      </c>
      <c r="E46" s="145">
        <v>460.9</v>
      </c>
      <c r="F46" s="145">
        <v>233</v>
      </c>
      <c r="G46" s="145">
        <v>-45.9</v>
      </c>
      <c r="H46" s="145">
        <v>96.9</v>
      </c>
      <c r="I46" s="144" t="s">
        <v>13</v>
      </c>
      <c r="J46" s="144" t="s">
        <v>13</v>
      </c>
      <c r="K46" s="144"/>
      <c r="L46" s="146" t="s">
        <v>14</v>
      </c>
    </row>
    <row r="47" spans="1:12">
      <c r="A47" s="144" t="s">
        <v>148</v>
      </c>
      <c r="B47" s="144" t="s">
        <v>149</v>
      </c>
      <c r="C47" s="144" t="s">
        <v>150</v>
      </c>
      <c r="D47" s="145">
        <v>405.8</v>
      </c>
      <c r="E47" s="145">
        <v>406.9</v>
      </c>
      <c r="F47" s="145">
        <v>15.9</v>
      </c>
      <c r="G47" s="145">
        <v>-46.5</v>
      </c>
      <c r="H47" s="145">
        <v>101.9</v>
      </c>
      <c r="I47" s="144" t="s">
        <v>13</v>
      </c>
      <c r="J47" s="144"/>
      <c r="K47" s="144"/>
      <c r="L47" s="144" t="s">
        <v>13</v>
      </c>
    </row>
    <row r="48" spans="1:12">
      <c r="A48" s="144" t="s">
        <v>151</v>
      </c>
      <c r="B48" s="144" t="s">
        <v>152</v>
      </c>
      <c r="C48" s="144" t="s">
        <v>153</v>
      </c>
      <c r="D48" s="145">
        <v>539.9</v>
      </c>
      <c r="E48" s="145">
        <v>673.5</v>
      </c>
      <c r="F48" s="145">
        <v>409.1</v>
      </c>
      <c r="G48" s="145">
        <v>-44.5</v>
      </c>
      <c r="H48" s="145">
        <v>88.5</v>
      </c>
      <c r="I48" s="144" t="s">
        <v>13</v>
      </c>
      <c r="J48" s="144" t="s">
        <v>13</v>
      </c>
      <c r="K48" s="144"/>
      <c r="L48" s="144" t="s">
        <v>13</v>
      </c>
    </row>
    <row r="49" spans="1:12">
      <c r="A49" s="144" t="s">
        <v>154</v>
      </c>
      <c r="B49" s="144" t="s">
        <v>155</v>
      </c>
      <c r="C49" s="144" t="s">
        <v>156</v>
      </c>
      <c r="D49" s="145">
        <v>421.3</v>
      </c>
      <c r="E49" s="145">
        <v>497.4</v>
      </c>
      <c r="F49" s="145">
        <v>302.10000000000002</v>
      </c>
      <c r="G49" s="145">
        <v>-47.8</v>
      </c>
      <c r="H49" s="145">
        <v>96</v>
      </c>
      <c r="I49" s="144" t="s">
        <v>99</v>
      </c>
      <c r="J49" s="144" t="s">
        <v>99</v>
      </c>
      <c r="K49" s="144"/>
      <c r="L49" s="144" t="s">
        <v>13</v>
      </c>
    </row>
    <row r="50" spans="1:12">
      <c r="A50" s="144" t="s">
        <v>157</v>
      </c>
      <c r="B50" s="144" t="s">
        <v>158</v>
      </c>
      <c r="C50" s="144" t="s">
        <v>159</v>
      </c>
      <c r="D50" s="145">
        <v>507.7</v>
      </c>
      <c r="E50" s="145">
        <v>585.9</v>
      </c>
      <c r="F50" s="145">
        <v>58.3</v>
      </c>
      <c r="G50" s="145">
        <v>-38</v>
      </c>
      <c r="H50" s="145">
        <v>106.3</v>
      </c>
      <c r="I50" s="144" t="s">
        <v>13</v>
      </c>
      <c r="J50" s="144" t="s">
        <v>14</v>
      </c>
      <c r="K50" s="144"/>
      <c r="L50" s="144" t="s">
        <v>13</v>
      </c>
    </row>
    <row r="51" spans="1:12">
      <c r="A51" s="144" t="s">
        <v>160</v>
      </c>
      <c r="B51" s="144" t="s">
        <v>161</v>
      </c>
      <c r="C51" s="144" t="s">
        <v>162</v>
      </c>
      <c r="D51" s="145">
        <v>442.7</v>
      </c>
      <c r="E51" s="145">
        <v>537.1</v>
      </c>
      <c r="F51" s="145">
        <v>169.1</v>
      </c>
      <c r="G51" s="145">
        <v>-43.9</v>
      </c>
      <c r="H51" s="145">
        <v>95.4</v>
      </c>
      <c r="I51" s="144" t="s">
        <v>13</v>
      </c>
      <c r="J51" s="144" t="s">
        <v>13</v>
      </c>
      <c r="K51" s="144"/>
      <c r="L51" s="144" t="s">
        <v>13</v>
      </c>
    </row>
    <row r="52" spans="1:12">
      <c r="A52" s="144" t="s">
        <v>163</v>
      </c>
      <c r="B52" s="144" t="s">
        <v>164</v>
      </c>
      <c r="C52" s="144" t="s">
        <v>165</v>
      </c>
      <c r="D52" s="145">
        <v>416.2</v>
      </c>
      <c r="E52" s="145">
        <v>518.1</v>
      </c>
      <c r="F52" s="145">
        <v>482.6</v>
      </c>
      <c r="G52" s="145">
        <v>-46.4</v>
      </c>
      <c r="H52" s="145">
        <v>94.2</v>
      </c>
      <c r="I52" s="144" t="s">
        <v>13</v>
      </c>
      <c r="J52" s="144" t="s">
        <v>13</v>
      </c>
      <c r="K52" s="144"/>
      <c r="L52" s="144" t="s">
        <v>13</v>
      </c>
    </row>
    <row r="53" spans="1:12">
      <c r="A53" s="144" t="s">
        <v>166</v>
      </c>
      <c r="B53" s="144" t="s">
        <v>167</v>
      </c>
      <c r="C53" s="144" t="s">
        <v>168</v>
      </c>
      <c r="D53" s="145">
        <v>374.4</v>
      </c>
      <c r="E53" s="145">
        <v>381.8</v>
      </c>
      <c r="F53" s="145">
        <v>38.9</v>
      </c>
      <c r="G53" s="145">
        <v>-46.3</v>
      </c>
      <c r="H53" s="145">
        <v>108.3</v>
      </c>
      <c r="I53" s="144" t="s">
        <v>13</v>
      </c>
      <c r="J53" s="144" t="s">
        <v>14</v>
      </c>
      <c r="K53" s="144"/>
      <c r="L53" s="146" t="s">
        <v>14</v>
      </c>
    </row>
    <row r="54" spans="1:12">
      <c r="A54" s="144" t="s">
        <v>169</v>
      </c>
      <c r="B54" s="144" t="s">
        <v>170</v>
      </c>
      <c r="C54" s="144" t="s">
        <v>171</v>
      </c>
      <c r="D54" s="145">
        <v>390.3</v>
      </c>
      <c r="E54" s="145">
        <v>399.6</v>
      </c>
      <c r="F54" s="145">
        <v>24.3</v>
      </c>
      <c r="G54" s="145">
        <v>-47.4</v>
      </c>
      <c r="H54" s="145">
        <v>101.4</v>
      </c>
      <c r="I54" s="144" t="s">
        <v>13</v>
      </c>
      <c r="J54" s="144" t="s">
        <v>14</v>
      </c>
      <c r="K54" s="144"/>
      <c r="L54" s="144" t="s">
        <v>13</v>
      </c>
    </row>
    <row r="55" spans="1:12">
      <c r="A55" s="144" t="s">
        <v>172</v>
      </c>
      <c r="B55" s="144" t="s">
        <v>173</v>
      </c>
      <c r="C55" s="144" t="s">
        <v>174</v>
      </c>
      <c r="D55" s="145">
        <v>360</v>
      </c>
      <c r="E55" s="145">
        <v>583.5</v>
      </c>
      <c r="F55" s="145">
        <v>583.5</v>
      </c>
      <c r="G55" s="145">
        <v>-44.4</v>
      </c>
      <c r="H55" s="145">
        <v>110.5</v>
      </c>
      <c r="I55" s="144" t="s">
        <v>99</v>
      </c>
      <c r="J55" s="144" t="s">
        <v>99</v>
      </c>
      <c r="K55" s="144"/>
      <c r="L55" s="146" t="s">
        <v>14</v>
      </c>
    </row>
    <row r="56" spans="1:12">
      <c r="A56" s="144" t="s">
        <v>175</v>
      </c>
      <c r="B56" s="144" t="s">
        <v>176</v>
      </c>
      <c r="C56" s="144" t="s">
        <v>177</v>
      </c>
      <c r="D56" s="145">
        <v>389.4</v>
      </c>
      <c r="E56" s="145">
        <v>486.8</v>
      </c>
      <c r="F56" s="145">
        <v>364.5</v>
      </c>
      <c r="G56" s="145">
        <v>-49.1</v>
      </c>
      <c r="H56" s="145">
        <v>105.7</v>
      </c>
      <c r="I56" s="144" t="s">
        <v>13</v>
      </c>
      <c r="J56" s="144" t="s">
        <v>13</v>
      </c>
      <c r="K56" s="144"/>
      <c r="L56" s="144" t="s">
        <v>13</v>
      </c>
    </row>
    <row r="57" spans="1:12">
      <c r="A57" s="144" t="s">
        <v>178</v>
      </c>
      <c r="B57" s="144" t="s">
        <v>179</v>
      </c>
      <c r="C57" s="144" t="s">
        <v>180</v>
      </c>
      <c r="D57" s="145">
        <v>433.4</v>
      </c>
      <c r="E57" s="145">
        <v>690.9</v>
      </c>
      <c r="F57" s="145">
        <v>510.6</v>
      </c>
      <c r="G57" s="145">
        <v>-43</v>
      </c>
      <c r="H57" s="145">
        <v>102.2</v>
      </c>
      <c r="I57" s="144" t="s">
        <v>13</v>
      </c>
      <c r="J57" s="144" t="s">
        <v>13</v>
      </c>
      <c r="K57" s="144"/>
      <c r="L57" s="144" t="s">
        <v>13</v>
      </c>
    </row>
    <row r="58" spans="1:12">
      <c r="A58" s="144" t="s">
        <v>181</v>
      </c>
      <c r="B58" s="144" t="s">
        <v>182</v>
      </c>
      <c r="C58" s="144" t="s">
        <v>183</v>
      </c>
      <c r="D58" s="145">
        <v>447.1</v>
      </c>
      <c r="E58" s="145">
        <v>655.8</v>
      </c>
      <c r="F58" s="145">
        <v>556.9</v>
      </c>
      <c r="G58" s="145">
        <v>-37.4</v>
      </c>
      <c r="H58" s="145">
        <v>115.9</v>
      </c>
      <c r="I58" s="144" t="s">
        <v>13</v>
      </c>
      <c r="J58" s="144" t="s">
        <v>13</v>
      </c>
      <c r="K58" s="144"/>
      <c r="L58" s="144" t="s">
        <v>13</v>
      </c>
    </row>
    <row r="59" spans="1:12">
      <c r="A59" s="144" t="s">
        <v>184</v>
      </c>
      <c r="B59" s="144" t="s">
        <v>185</v>
      </c>
      <c r="C59" s="144" t="s">
        <v>186</v>
      </c>
      <c r="D59" s="145">
        <v>481.1</v>
      </c>
      <c r="E59" s="145">
        <v>707</v>
      </c>
      <c r="F59" s="145">
        <v>410.1</v>
      </c>
      <c r="G59" s="145">
        <v>-42.8</v>
      </c>
      <c r="H59" s="145">
        <v>98.2</v>
      </c>
      <c r="I59" s="144" t="s">
        <v>13</v>
      </c>
      <c r="J59" s="144" t="s">
        <v>13</v>
      </c>
      <c r="K59" s="144"/>
      <c r="L59" s="144" t="s">
        <v>13</v>
      </c>
    </row>
    <row r="60" spans="1:12">
      <c r="A60" s="144" t="s">
        <v>187</v>
      </c>
      <c r="B60" s="144" t="s">
        <v>188</v>
      </c>
      <c r="C60" s="144" t="s">
        <v>189</v>
      </c>
      <c r="D60" s="145">
        <v>386.3</v>
      </c>
      <c r="E60" s="145">
        <v>554.5</v>
      </c>
      <c r="F60" s="145">
        <v>331.2</v>
      </c>
      <c r="G60" s="145">
        <v>-40.1</v>
      </c>
      <c r="H60" s="145">
        <v>108.3</v>
      </c>
      <c r="I60" s="144" t="s">
        <v>13</v>
      </c>
      <c r="J60" s="144" t="s">
        <v>13</v>
      </c>
      <c r="K60" s="144"/>
      <c r="L60" s="144" t="s">
        <v>13</v>
      </c>
    </row>
    <row r="61" spans="1:12">
      <c r="A61" s="144" t="s">
        <v>190</v>
      </c>
      <c r="B61" s="144" t="s">
        <v>191</v>
      </c>
      <c r="C61" s="144" t="s">
        <v>192</v>
      </c>
      <c r="D61" s="145">
        <v>474.4</v>
      </c>
      <c r="E61" s="145">
        <v>578.6</v>
      </c>
      <c r="F61" s="145">
        <v>86.5</v>
      </c>
      <c r="G61" s="145">
        <v>-42.9</v>
      </c>
      <c r="H61" s="145">
        <v>99.2</v>
      </c>
      <c r="I61" s="144" t="s">
        <v>13</v>
      </c>
      <c r="J61" s="144" t="s">
        <v>14</v>
      </c>
      <c r="K61" s="144"/>
      <c r="L61" s="144" t="s">
        <v>13</v>
      </c>
    </row>
    <row r="62" spans="1:12">
      <c r="A62" s="144" t="s">
        <v>193</v>
      </c>
      <c r="B62" s="144" t="s">
        <v>194</v>
      </c>
      <c r="C62" s="144" t="s">
        <v>195</v>
      </c>
      <c r="D62" s="145">
        <v>327.5</v>
      </c>
      <c r="E62" s="145">
        <v>488</v>
      </c>
      <c r="F62" s="145">
        <v>419.2</v>
      </c>
      <c r="G62" s="145">
        <v>-40.6</v>
      </c>
      <c r="H62" s="145">
        <v>96.7</v>
      </c>
      <c r="I62" s="144" t="s">
        <v>99</v>
      </c>
      <c r="J62" s="144" t="s">
        <v>99</v>
      </c>
      <c r="K62" s="144"/>
      <c r="L62" s="146" t="s">
        <v>14</v>
      </c>
    </row>
    <row r="63" spans="1:12">
      <c r="A63" s="144" t="s">
        <v>196</v>
      </c>
      <c r="B63" s="144" t="s">
        <v>197</v>
      </c>
      <c r="C63" s="144" t="s">
        <v>198</v>
      </c>
      <c r="D63" s="145">
        <v>435.5</v>
      </c>
      <c r="E63" s="145">
        <v>736.7</v>
      </c>
      <c r="F63" s="145">
        <v>544.9</v>
      </c>
      <c r="G63" s="145">
        <v>-41.7</v>
      </c>
      <c r="H63" s="145">
        <v>101.5</v>
      </c>
      <c r="I63" s="144" t="s">
        <v>13</v>
      </c>
      <c r="J63" s="144" t="s">
        <v>13</v>
      </c>
      <c r="K63" s="144"/>
      <c r="L63" s="144" t="s">
        <v>13</v>
      </c>
    </row>
    <row r="64" spans="1:12">
      <c r="A64" s="144" t="s">
        <v>199</v>
      </c>
      <c r="B64" s="144" t="s">
        <v>200</v>
      </c>
      <c r="C64" s="144" t="s">
        <v>201</v>
      </c>
      <c r="D64" s="145">
        <v>380.1</v>
      </c>
      <c r="E64" s="145">
        <v>462.7</v>
      </c>
      <c r="F64" s="145">
        <v>97.1</v>
      </c>
      <c r="G64" s="145">
        <v>-47.8</v>
      </c>
      <c r="H64" s="145">
        <v>99.6</v>
      </c>
      <c r="I64" s="144" t="s">
        <v>13</v>
      </c>
      <c r="J64" s="144" t="s">
        <v>99</v>
      </c>
      <c r="K64" s="144"/>
      <c r="L64" s="144" t="s">
        <v>13</v>
      </c>
    </row>
    <row r="65" spans="1:12">
      <c r="A65" s="144" t="s">
        <v>202</v>
      </c>
      <c r="B65" s="144" t="s">
        <v>203</v>
      </c>
      <c r="C65" s="144" t="s">
        <v>204</v>
      </c>
      <c r="D65" s="145">
        <v>302</v>
      </c>
      <c r="E65" s="145">
        <v>412.6</v>
      </c>
      <c r="F65" s="145">
        <v>191.3</v>
      </c>
      <c r="G65" s="145">
        <v>-43</v>
      </c>
      <c r="H65" s="145">
        <v>106.2</v>
      </c>
      <c r="I65" s="144" t="s">
        <v>99</v>
      </c>
      <c r="J65" s="144" t="s">
        <v>99</v>
      </c>
      <c r="K65" s="144"/>
      <c r="L65" s="146" t="s">
        <v>14</v>
      </c>
    </row>
    <row r="66" spans="1:12">
      <c r="A66" s="144" t="s">
        <v>205</v>
      </c>
      <c r="B66" s="144" t="s">
        <v>206</v>
      </c>
      <c r="C66" s="144" t="s">
        <v>207</v>
      </c>
      <c r="D66" s="145">
        <v>370.3</v>
      </c>
      <c r="E66" s="145">
        <v>595.1</v>
      </c>
      <c r="F66" s="145">
        <v>516.29999999999995</v>
      </c>
      <c r="G66" s="145">
        <v>-39.5</v>
      </c>
      <c r="H66" s="145">
        <v>94.9</v>
      </c>
      <c r="I66" s="144" t="s">
        <v>13</v>
      </c>
      <c r="J66" s="144" t="s">
        <v>99</v>
      </c>
      <c r="K66" s="144"/>
      <c r="L66" s="146" t="s">
        <v>14</v>
      </c>
    </row>
    <row r="67" spans="1:12">
      <c r="A67" s="144" t="s">
        <v>208</v>
      </c>
      <c r="B67" s="144" t="s">
        <v>209</v>
      </c>
      <c r="C67" s="144" t="s">
        <v>210</v>
      </c>
      <c r="D67" s="145">
        <v>290.3</v>
      </c>
      <c r="E67" s="145">
        <v>434.7</v>
      </c>
      <c r="F67" s="145">
        <v>278.5</v>
      </c>
      <c r="G67" s="145">
        <v>-48.5</v>
      </c>
      <c r="H67" s="145">
        <v>106.8</v>
      </c>
      <c r="I67" s="144" t="s">
        <v>13</v>
      </c>
      <c r="J67" s="144" t="s">
        <v>99</v>
      </c>
      <c r="K67" s="144"/>
      <c r="L67" s="146" t="s">
        <v>14</v>
      </c>
    </row>
    <row r="68" spans="1:12">
      <c r="A68" s="144" t="s">
        <v>211</v>
      </c>
      <c r="B68" s="144" t="s">
        <v>212</v>
      </c>
      <c r="C68" s="144" t="s">
        <v>213</v>
      </c>
      <c r="D68" s="145">
        <v>375.7</v>
      </c>
      <c r="E68" s="145">
        <v>551.1</v>
      </c>
      <c r="F68" s="145">
        <v>267</v>
      </c>
      <c r="G68" s="145">
        <v>-41.1</v>
      </c>
      <c r="H68" s="145">
        <v>102</v>
      </c>
      <c r="I68" s="144" t="s">
        <v>13</v>
      </c>
      <c r="J68" s="144" t="s">
        <v>99</v>
      </c>
      <c r="K68" s="144"/>
      <c r="L68" s="144" t="s">
        <v>13</v>
      </c>
    </row>
    <row r="69" spans="1:12">
      <c r="A69" s="144" t="s">
        <v>214</v>
      </c>
      <c r="B69" s="144" t="s">
        <v>215</v>
      </c>
      <c r="C69" s="144" t="s">
        <v>216</v>
      </c>
      <c r="D69" s="145">
        <v>295.89999999999998</v>
      </c>
      <c r="E69" s="145">
        <v>380.3</v>
      </c>
      <c r="F69" s="145">
        <v>153.1</v>
      </c>
      <c r="G69" s="145">
        <v>-44.7</v>
      </c>
      <c r="H69" s="145">
        <v>90</v>
      </c>
      <c r="I69" s="144" t="s">
        <v>99</v>
      </c>
      <c r="J69" s="144" t="s">
        <v>99</v>
      </c>
      <c r="K69" s="144"/>
      <c r="L69" s="146" t="s">
        <v>14</v>
      </c>
    </row>
    <row r="70" spans="1:12">
      <c r="A70" s="144" t="s">
        <v>217</v>
      </c>
      <c r="B70" s="144" t="s">
        <v>218</v>
      </c>
      <c r="C70" s="144" t="s">
        <v>219</v>
      </c>
      <c r="D70" s="145">
        <v>426.5</v>
      </c>
      <c r="E70" s="145">
        <v>518.1</v>
      </c>
      <c r="F70" s="145">
        <v>386.9</v>
      </c>
      <c r="G70" s="145">
        <v>-47.1</v>
      </c>
      <c r="H70" s="145">
        <v>89.8</v>
      </c>
      <c r="I70" s="144" t="s">
        <v>13</v>
      </c>
      <c r="J70" s="144" t="s">
        <v>14</v>
      </c>
      <c r="K70" s="144"/>
      <c r="L70" s="144" t="s">
        <v>13</v>
      </c>
    </row>
    <row r="71" spans="1:12">
      <c r="A71" s="144" t="s">
        <v>220</v>
      </c>
      <c r="B71" s="144" t="s">
        <v>221</v>
      </c>
      <c r="C71" s="144" t="s">
        <v>222</v>
      </c>
      <c r="D71" s="145">
        <v>331.6</v>
      </c>
      <c r="E71" s="145">
        <v>403.9</v>
      </c>
      <c r="F71" s="145">
        <v>231.8</v>
      </c>
      <c r="G71" s="145">
        <v>-45.6</v>
      </c>
      <c r="H71" s="145">
        <v>134.6</v>
      </c>
      <c r="I71" s="144" t="s">
        <v>13</v>
      </c>
      <c r="J71" s="144" t="s">
        <v>14</v>
      </c>
      <c r="K71" s="144"/>
      <c r="L71" s="146" t="s">
        <v>14</v>
      </c>
    </row>
    <row r="72" spans="1:12">
      <c r="A72" s="144" t="s">
        <v>223</v>
      </c>
      <c r="B72" s="144" t="s">
        <v>224</v>
      </c>
      <c r="C72" s="144" t="s">
        <v>225</v>
      </c>
      <c r="D72" s="145">
        <v>320.89999999999998</v>
      </c>
      <c r="E72" s="145">
        <v>437.8</v>
      </c>
      <c r="F72" s="145">
        <v>314.89999999999998</v>
      </c>
      <c r="G72" s="145">
        <v>-46.6</v>
      </c>
      <c r="H72" s="145">
        <v>109.1</v>
      </c>
      <c r="I72" s="144" t="s">
        <v>13</v>
      </c>
      <c r="J72" s="144" t="s">
        <v>99</v>
      </c>
      <c r="K72" s="144"/>
      <c r="L72" s="146" t="s">
        <v>14</v>
      </c>
    </row>
    <row r="73" spans="1:12">
      <c r="A73" s="144" t="s">
        <v>226</v>
      </c>
      <c r="B73" s="144" t="s">
        <v>227</v>
      </c>
      <c r="C73" s="144" t="s">
        <v>228</v>
      </c>
      <c r="D73" s="145">
        <v>384.4</v>
      </c>
      <c r="E73" s="145">
        <v>486.3</v>
      </c>
      <c r="F73" s="145">
        <v>470.1</v>
      </c>
      <c r="G73" s="145">
        <v>-39.5</v>
      </c>
      <c r="H73" s="145">
        <v>91.4</v>
      </c>
      <c r="I73" s="144" t="s">
        <v>13</v>
      </c>
      <c r="J73" s="144" t="s">
        <v>99</v>
      </c>
      <c r="K73" s="144"/>
      <c r="L73" s="144" t="s">
        <v>13</v>
      </c>
    </row>
    <row r="74" spans="1:12">
      <c r="A74" s="144" t="s">
        <v>229</v>
      </c>
      <c r="B74" s="144" t="s">
        <v>230</v>
      </c>
      <c r="C74" s="144" t="s">
        <v>231</v>
      </c>
      <c r="D74" s="145">
        <v>361.4</v>
      </c>
      <c r="E74" s="145">
        <v>460.6</v>
      </c>
      <c r="F74" s="145">
        <v>133.5</v>
      </c>
      <c r="G74" s="145">
        <v>-44.9</v>
      </c>
      <c r="H74" s="145">
        <v>100.8</v>
      </c>
      <c r="I74" s="144" t="s">
        <v>13</v>
      </c>
      <c r="J74" s="144" t="s">
        <v>99</v>
      </c>
      <c r="K74" s="144"/>
      <c r="L74" s="146" t="s">
        <v>14</v>
      </c>
    </row>
    <row r="75" spans="1:12">
      <c r="A75" s="144" t="s">
        <v>232</v>
      </c>
      <c r="B75" s="144" t="s">
        <v>233</v>
      </c>
      <c r="C75" s="144" t="s">
        <v>234</v>
      </c>
      <c r="D75" s="145">
        <v>281.2</v>
      </c>
      <c r="E75" s="145">
        <v>386.8</v>
      </c>
      <c r="F75" s="145">
        <v>193</v>
      </c>
      <c r="G75" s="145">
        <v>-46.6</v>
      </c>
      <c r="H75" s="145">
        <v>83</v>
      </c>
      <c r="I75" s="144" t="s">
        <v>13</v>
      </c>
      <c r="J75" s="144" t="s">
        <v>99</v>
      </c>
      <c r="K75" s="144"/>
      <c r="L75" s="146" t="s">
        <v>14</v>
      </c>
    </row>
    <row r="76" spans="1:12">
      <c r="A76" s="144" t="s">
        <v>235</v>
      </c>
      <c r="B76" s="144" t="s">
        <v>236</v>
      </c>
      <c r="C76" s="144" t="s">
        <v>237</v>
      </c>
      <c r="D76" s="145">
        <v>426.1</v>
      </c>
      <c r="E76" s="145">
        <v>570.4</v>
      </c>
      <c r="F76" s="145">
        <v>448.3</v>
      </c>
      <c r="G76" s="145">
        <v>-42.6</v>
      </c>
      <c r="H76" s="145">
        <v>108.4</v>
      </c>
      <c r="I76" s="144" t="s">
        <v>13</v>
      </c>
      <c r="J76" s="144" t="s">
        <v>99</v>
      </c>
      <c r="K76" s="144"/>
      <c r="L76" s="144" t="s">
        <v>13</v>
      </c>
    </row>
    <row r="77" spans="1:12">
      <c r="A77" s="144" t="s">
        <v>238</v>
      </c>
      <c r="B77" s="144" t="s">
        <v>239</v>
      </c>
      <c r="C77" s="144" t="s">
        <v>240</v>
      </c>
      <c r="D77" s="145">
        <v>365.3</v>
      </c>
      <c r="E77" s="145">
        <v>397.3</v>
      </c>
      <c r="F77" s="145">
        <v>222.3</v>
      </c>
      <c r="G77" s="145">
        <v>-45.2</v>
      </c>
      <c r="H77" s="145">
        <v>98.6</v>
      </c>
      <c r="I77" s="144" t="s">
        <v>13</v>
      </c>
      <c r="J77" s="144" t="s">
        <v>14</v>
      </c>
      <c r="K77" s="144"/>
      <c r="L77" s="146" t="s">
        <v>14</v>
      </c>
    </row>
    <row r="78" spans="1:12">
      <c r="A78" s="144" t="s">
        <v>241</v>
      </c>
      <c r="B78" s="144" t="s">
        <v>242</v>
      </c>
      <c r="C78" s="144" t="s">
        <v>243</v>
      </c>
      <c r="D78" s="145">
        <v>327.5</v>
      </c>
      <c r="E78" s="145">
        <v>374.4</v>
      </c>
      <c r="F78" s="145">
        <v>239.6</v>
      </c>
      <c r="G78" s="145">
        <v>-49.2</v>
      </c>
      <c r="H78" s="145">
        <v>99.5</v>
      </c>
      <c r="I78" s="144" t="s">
        <v>13</v>
      </c>
      <c r="J78" s="144" t="s">
        <v>99</v>
      </c>
      <c r="K78" s="144"/>
      <c r="L78" s="146" t="s">
        <v>14</v>
      </c>
    </row>
    <row r="79" spans="1:12">
      <c r="A79" s="144" t="s">
        <v>244</v>
      </c>
      <c r="B79" s="144" t="s">
        <v>245</v>
      </c>
      <c r="C79" s="144" t="s">
        <v>246</v>
      </c>
      <c r="D79" s="145">
        <v>363.1</v>
      </c>
      <c r="E79" s="145">
        <v>471.8</v>
      </c>
      <c r="F79" s="145">
        <v>249</v>
      </c>
      <c r="G79" s="145">
        <v>-47.2</v>
      </c>
      <c r="H79" s="145">
        <v>110.3</v>
      </c>
      <c r="I79" s="144" t="s">
        <v>13</v>
      </c>
      <c r="J79" s="144" t="s">
        <v>99</v>
      </c>
      <c r="K79" s="144"/>
      <c r="L79" s="146" t="s">
        <v>14</v>
      </c>
    </row>
    <row r="80" spans="1:12">
      <c r="A80" s="144" t="s">
        <v>247</v>
      </c>
      <c r="B80" s="144" t="s">
        <v>248</v>
      </c>
      <c r="C80" s="144" t="s">
        <v>249</v>
      </c>
      <c r="D80" s="145">
        <v>337.4</v>
      </c>
      <c r="E80" s="145">
        <v>380.7</v>
      </c>
      <c r="F80" s="145">
        <v>264.3</v>
      </c>
      <c r="G80" s="145">
        <v>-43.4</v>
      </c>
      <c r="H80" s="145">
        <v>96.9</v>
      </c>
      <c r="I80" s="144" t="s">
        <v>13</v>
      </c>
      <c r="J80" s="144" t="s">
        <v>99</v>
      </c>
      <c r="K80" s="144"/>
      <c r="L80" s="146" t="s">
        <v>14</v>
      </c>
    </row>
    <row r="81" spans="1:12">
      <c r="A81" s="144" t="s">
        <v>250</v>
      </c>
      <c r="B81" s="144" t="s">
        <v>251</v>
      </c>
      <c r="C81" s="144" t="s">
        <v>252</v>
      </c>
      <c r="D81" s="145">
        <v>292.5</v>
      </c>
      <c r="E81" s="145">
        <v>389.6</v>
      </c>
      <c r="F81" s="145">
        <v>335</v>
      </c>
      <c r="G81" s="145">
        <v>-47.3</v>
      </c>
      <c r="H81" s="145">
        <v>95.7</v>
      </c>
      <c r="I81" s="144" t="s">
        <v>13</v>
      </c>
      <c r="J81" s="144" t="s">
        <v>99</v>
      </c>
      <c r="K81" s="144"/>
      <c r="L81" s="146" t="s">
        <v>14</v>
      </c>
    </row>
    <row r="82" spans="1:12">
      <c r="A82" s="144" t="s">
        <v>253</v>
      </c>
      <c r="B82" s="144" t="s">
        <v>254</v>
      </c>
      <c r="C82" s="144" t="s">
        <v>255</v>
      </c>
      <c r="D82" s="145">
        <v>380.1</v>
      </c>
      <c r="E82" s="145">
        <v>562.1</v>
      </c>
      <c r="F82" s="145">
        <v>433.6</v>
      </c>
      <c r="G82" s="145">
        <v>-41</v>
      </c>
      <c r="H82" s="145">
        <v>100.2</v>
      </c>
      <c r="I82" s="144" t="s">
        <v>13</v>
      </c>
      <c r="J82" s="144" t="s">
        <v>99</v>
      </c>
      <c r="K82" s="144"/>
      <c r="L82" s="144" t="s">
        <v>13</v>
      </c>
    </row>
    <row r="83" spans="1:12">
      <c r="A83" s="144" t="s">
        <v>256</v>
      </c>
      <c r="B83" s="144" t="s">
        <v>257</v>
      </c>
      <c r="C83" s="144" t="s">
        <v>258</v>
      </c>
      <c r="D83" s="145">
        <v>276</v>
      </c>
      <c r="E83" s="145">
        <v>440.1</v>
      </c>
      <c r="F83" s="145">
        <v>375.8</v>
      </c>
      <c r="G83" s="145">
        <v>-44.6</v>
      </c>
      <c r="H83" s="145">
        <v>92.3</v>
      </c>
      <c r="I83" s="144" t="s">
        <v>13</v>
      </c>
      <c r="J83" s="144" t="s">
        <v>99</v>
      </c>
      <c r="K83" s="144"/>
      <c r="L83" s="146" t="s">
        <v>14</v>
      </c>
    </row>
    <row r="84" spans="1:12">
      <c r="A84" s="144" t="s">
        <v>259</v>
      </c>
      <c r="B84" s="144" t="s">
        <v>260</v>
      </c>
      <c r="C84" s="144" t="s">
        <v>261</v>
      </c>
      <c r="D84" s="145">
        <v>240.2</v>
      </c>
      <c r="E84" s="145">
        <v>297.10000000000002</v>
      </c>
      <c r="F84" s="145">
        <v>238.7</v>
      </c>
      <c r="G84" s="145">
        <v>-44.3</v>
      </c>
      <c r="H84" s="145">
        <v>96.2</v>
      </c>
      <c r="I84" s="144" t="s">
        <v>13</v>
      </c>
      <c r="J84" s="144" t="s">
        <v>99</v>
      </c>
      <c r="K84" s="144"/>
      <c r="L84" s="146" t="s">
        <v>14</v>
      </c>
    </row>
    <row r="85" spans="1:12">
      <c r="A85" s="144" t="s">
        <v>262</v>
      </c>
      <c r="B85" s="144" t="s">
        <v>263</v>
      </c>
      <c r="C85" s="144" t="s">
        <v>264</v>
      </c>
      <c r="D85" s="145">
        <v>309.2</v>
      </c>
      <c r="E85" s="145">
        <v>456.7</v>
      </c>
      <c r="F85" s="145">
        <v>396.9</v>
      </c>
      <c r="G85" s="145">
        <v>-47.9</v>
      </c>
      <c r="H85" s="145">
        <v>104.5</v>
      </c>
      <c r="I85" s="144" t="s">
        <v>13</v>
      </c>
      <c r="J85" s="144" t="s">
        <v>99</v>
      </c>
      <c r="K85" s="144"/>
      <c r="L85" s="146" t="s">
        <v>14</v>
      </c>
    </row>
    <row r="86" spans="1:12">
      <c r="A86" s="144" t="s">
        <v>265</v>
      </c>
      <c r="B86" s="144" t="s">
        <v>266</v>
      </c>
      <c r="C86" s="144" t="s">
        <v>267</v>
      </c>
      <c r="D86" s="145">
        <v>344</v>
      </c>
      <c r="E86" s="145">
        <v>490.8</v>
      </c>
      <c r="F86" s="145">
        <v>386.5</v>
      </c>
      <c r="G86" s="145">
        <v>-42.5</v>
      </c>
      <c r="H86" s="145">
        <v>99.3</v>
      </c>
      <c r="I86" s="144" t="s">
        <v>13</v>
      </c>
      <c r="J86" s="144" t="s">
        <v>99</v>
      </c>
      <c r="K86" s="144"/>
      <c r="L86" s="146" t="s">
        <v>14</v>
      </c>
    </row>
    <row r="87" spans="1:12">
      <c r="A87" s="144" t="s">
        <v>268</v>
      </c>
      <c r="B87" s="144" t="s">
        <v>269</v>
      </c>
      <c r="C87" s="144" t="s">
        <v>270</v>
      </c>
      <c r="D87" s="145">
        <v>523.29999999999995</v>
      </c>
      <c r="E87" s="145">
        <v>602.1</v>
      </c>
      <c r="F87" s="145">
        <v>43.9</v>
      </c>
      <c r="G87" s="145">
        <v>-45.8</v>
      </c>
      <c r="H87" s="145">
        <v>86.6</v>
      </c>
      <c r="I87" s="144" t="s">
        <v>13</v>
      </c>
      <c r="J87" s="144" t="s">
        <v>14</v>
      </c>
      <c r="K87" s="144"/>
      <c r="L87" s="144" t="s">
        <v>13</v>
      </c>
    </row>
    <row r="88" spans="1:12">
      <c r="A88" s="144" t="s">
        <v>271</v>
      </c>
      <c r="B88" s="144" t="s">
        <v>272</v>
      </c>
      <c r="C88" s="144" t="s">
        <v>273</v>
      </c>
      <c r="D88" s="145">
        <v>674.8</v>
      </c>
      <c r="E88" s="145">
        <v>757.2</v>
      </c>
      <c r="F88" s="145">
        <v>52.2</v>
      </c>
      <c r="G88" s="145">
        <v>-37.200000000000003</v>
      </c>
      <c r="H88" s="145">
        <v>107.9</v>
      </c>
      <c r="I88" s="144" t="s">
        <v>13</v>
      </c>
      <c r="J88" s="144" t="s">
        <v>14</v>
      </c>
      <c r="K88" s="144"/>
      <c r="L88" s="144" t="s">
        <v>13</v>
      </c>
    </row>
    <row r="89" spans="1:12">
      <c r="A89" s="144" t="s">
        <v>274</v>
      </c>
      <c r="B89" s="144" t="s">
        <v>275</v>
      </c>
      <c r="C89" s="144" t="s">
        <v>276</v>
      </c>
      <c r="D89" s="145">
        <v>552.1</v>
      </c>
      <c r="E89" s="145">
        <v>624.9</v>
      </c>
      <c r="F89" s="145">
        <v>45.2</v>
      </c>
      <c r="G89" s="145">
        <v>-41.5</v>
      </c>
      <c r="H89" s="145">
        <v>100</v>
      </c>
      <c r="I89" s="144" t="s">
        <v>13</v>
      </c>
      <c r="J89" s="144" t="s">
        <v>14</v>
      </c>
      <c r="K89" s="144"/>
      <c r="L89" s="144" t="s">
        <v>13</v>
      </c>
    </row>
    <row r="90" spans="1:12">
      <c r="A90" s="144" t="s">
        <v>277</v>
      </c>
      <c r="B90" s="144" t="s">
        <v>278</v>
      </c>
      <c r="C90" s="144" t="s">
        <v>279</v>
      </c>
      <c r="D90" s="145">
        <v>379.3</v>
      </c>
      <c r="E90" s="145">
        <v>396.6</v>
      </c>
      <c r="F90" s="145">
        <v>52.6</v>
      </c>
      <c r="G90" s="145">
        <v>-45.8</v>
      </c>
      <c r="H90" s="145">
        <v>92.9</v>
      </c>
      <c r="I90" s="144" t="s">
        <v>13</v>
      </c>
      <c r="J90" s="144" t="s">
        <v>14</v>
      </c>
      <c r="K90" s="144"/>
      <c r="L90" s="144" t="s">
        <v>13</v>
      </c>
    </row>
    <row r="91" spans="1:12">
      <c r="A91" s="144" t="s">
        <v>280</v>
      </c>
      <c r="B91" s="144" t="s">
        <v>281</v>
      </c>
      <c r="C91" s="144" t="s">
        <v>282</v>
      </c>
      <c r="D91" s="145">
        <v>432.8</v>
      </c>
      <c r="E91" s="145">
        <v>641</v>
      </c>
      <c r="F91" s="145">
        <v>465.2</v>
      </c>
      <c r="G91" s="145">
        <v>-43.7</v>
      </c>
      <c r="H91" s="145">
        <v>97.5</v>
      </c>
      <c r="I91" s="144" t="s">
        <v>13</v>
      </c>
      <c r="J91" s="144" t="s">
        <v>14</v>
      </c>
      <c r="K91" s="144"/>
      <c r="L91" s="144" t="s">
        <v>13</v>
      </c>
    </row>
    <row r="92" spans="1:12">
      <c r="A92" s="144" t="s">
        <v>283</v>
      </c>
      <c r="B92" s="144" t="s">
        <v>284</v>
      </c>
      <c r="C92" s="144" t="s">
        <v>285</v>
      </c>
      <c r="D92" s="145">
        <v>400.6</v>
      </c>
      <c r="E92" s="145">
        <v>578.1</v>
      </c>
      <c r="F92" s="145">
        <v>578.1</v>
      </c>
      <c r="G92" s="145">
        <v>-44.4</v>
      </c>
      <c r="H92" s="145">
        <v>100.8</v>
      </c>
      <c r="I92" s="144" t="s">
        <v>13</v>
      </c>
      <c r="J92" s="144" t="s">
        <v>13</v>
      </c>
      <c r="K92" s="144"/>
      <c r="L92" s="144" t="s">
        <v>13</v>
      </c>
    </row>
    <row r="93" spans="1:12">
      <c r="A93" s="144" t="s">
        <v>286</v>
      </c>
      <c r="B93" s="144" t="s">
        <v>287</v>
      </c>
      <c r="C93" s="144" t="s">
        <v>288</v>
      </c>
      <c r="D93" s="145">
        <v>147.80000000000001</v>
      </c>
      <c r="E93" s="145">
        <v>160.4</v>
      </c>
      <c r="F93" s="145">
        <v>160.4</v>
      </c>
      <c r="G93" s="145">
        <v>-42.4</v>
      </c>
      <c r="H93" s="145">
        <v>80.3</v>
      </c>
      <c r="I93" s="144" t="s">
        <v>14</v>
      </c>
      <c r="J93" s="144" t="s">
        <v>14</v>
      </c>
      <c r="K93" s="144"/>
      <c r="L93" s="146" t="s">
        <v>14</v>
      </c>
    </row>
    <row r="94" spans="1:12">
      <c r="A94" s="144" t="s">
        <v>289</v>
      </c>
      <c r="B94" s="144" t="s">
        <v>290</v>
      </c>
      <c r="C94" s="144" t="s">
        <v>291</v>
      </c>
      <c r="D94" s="145">
        <v>424</v>
      </c>
      <c r="E94" s="145">
        <v>471.6</v>
      </c>
      <c r="F94" s="145">
        <v>119.9</v>
      </c>
      <c r="G94" s="145">
        <v>-37.700000000000003</v>
      </c>
      <c r="H94" s="145">
        <v>97.8</v>
      </c>
      <c r="I94" s="144" t="s">
        <v>13</v>
      </c>
      <c r="J94" s="144" t="s">
        <v>14</v>
      </c>
      <c r="K94" s="144"/>
      <c r="L94" s="144" t="s">
        <v>13</v>
      </c>
    </row>
    <row r="95" spans="1:12">
      <c r="A95" s="144" t="s">
        <v>292</v>
      </c>
      <c r="B95" s="144" t="s">
        <v>293</v>
      </c>
      <c r="C95" s="144" t="s">
        <v>294</v>
      </c>
      <c r="D95" s="145">
        <v>426.5</v>
      </c>
      <c r="E95" s="145">
        <v>603.20000000000005</v>
      </c>
      <c r="F95" s="145">
        <v>345.1</v>
      </c>
      <c r="G95" s="145">
        <v>-39.700000000000003</v>
      </c>
      <c r="H95" s="145">
        <v>104.6</v>
      </c>
      <c r="I95" s="144" t="s">
        <v>13</v>
      </c>
      <c r="J95" s="144" t="s">
        <v>13</v>
      </c>
      <c r="K95" s="144"/>
      <c r="L95" s="144" t="s">
        <v>13</v>
      </c>
    </row>
    <row r="96" spans="1:12">
      <c r="A96" s="144" t="s">
        <v>295</v>
      </c>
      <c r="B96" s="144" t="s">
        <v>296</v>
      </c>
      <c r="C96" s="144" t="s">
        <v>297</v>
      </c>
      <c r="D96" s="145">
        <v>414.8</v>
      </c>
      <c r="E96" s="145">
        <v>604</v>
      </c>
      <c r="F96" s="145">
        <v>415.2</v>
      </c>
      <c r="G96" s="145">
        <v>-40</v>
      </c>
      <c r="H96" s="145">
        <v>110.5</v>
      </c>
      <c r="I96" s="144" t="s">
        <v>14</v>
      </c>
      <c r="J96" s="144" t="s">
        <v>14</v>
      </c>
      <c r="K96" s="144"/>
      <c r="L96" s="144" t="s">
        <v>13</v>
      </c>
    </row>
    <row r="97" spans="1:12">
      <c r="A97" s="144" t="s">
        <v>298</v>
      </c>
      <c r="B97" s="144" t="s">
        <v>299</v>
      </c>
      <c r="C97" s="144" t="s">
        <v>300</v>
      </c>
      <c r="D97" s="145">
        <v>592.1</v>
      </c>
      <c r="E97" s="145">
        <v>672.5</v>
      </c>
      <c r="F97" s="145">
        <v>22.6</v>
      </c>
      <c r="G97" s="145">
        <v>-36.700000000000003</v>
      </c>
      <c r="H97" s="145">
        <v>98.8</v>
      </c>
      <c r="I97" s="144" t="s">
        <v>301</v>
      </c>
      <c r="J97" s="144" t="s">
        <v>301</v>
      </c>
      <c r="K97" s="144"/>
      <c r="L97" s="144" t="s">
        <v>13</v>
      </c>
    </row>
    <row r="98" spans="1:12">
      <c r="A98" s="144" t="s">
        <v>302</v>
      </c>
      <c r="B98" s="144" t="s">
        <v>303</v>
      </c>
      <c r="C98" s="144" t="s">
        <v>304</v>
      </c>
      <c r="D98" s="145">
        <v>439.3</v>
      </c>
      <c r="E98" s="145">
        <v>553.4</v>
      </c>
      <c r="F98" s="145">
        <v>220.9</v>
      </c>
      <c r="G98" s="145">
        <v>-42.6</v>
      </c>
      <c r="H98" s="145">
        <v>111.7</v>
      </c>
      <c r="I98" s="144" t="s">
        <v>13</v>
      </c>
      <c r="J98" s="144" t="s">
        <v>14</v>
      </c>
      <c r="K98" s="144"/>
      <c r="L98" s="144" t="s">
        <v>13</v>
      </c>
    </row>
    <row r="99" spans="1:12">
      <c r="A99" s="144" t="s">
        <v>305</v>
      </c>
      <c r="B99" s="144" t="s">
        <v>306</v>
      </c>
      <c r="C99" s="144" t="s">
        <v>307</v>
      </c>
      <c r="D99" s="145">
        <v>447.9</v>
      </c>
      <c r="E99" s="145">
        <v>588.5</v>
      </c>
      <c r="F99" s="145">
        <v>105.4</v>
      </c>
      <c r="G99" s="145">
        <v>-40.4</v>
      </c>
      <c r="H99" s="145">
        <v>106.4</v>
      </c>
      <c r="I99" s="144" t="s">
        <v>14</v>
      </c>
      <c r="J99" s="144" t="s">
        <v>14</v>
      </c>
      <c r="K99" s="144"/>
      <c r="L99" s="144" t="s">
        <v>13</v>
      </c>
    </row>
    <row r="100" spans="1:12">
      <c r="A100" s="144" t="s">
        <v>308</v>
      </c>
      <c r="B100" s="144" t="s">
        <v>309</v>
      </c>
      <c r="C100" s="144" t="s">
        <v>310</v>
      </c>
      <c r="D100" s="145">
        <v>480.8</v>
      </c>
      <c r="E100" s="145">
        <v>633</v>
      </c>
      <c r="F100" s="145">
        <v>316.60000000000002</v>
      </c>
      <c r="G100" s="145">
        <v>-36.299999999999997</v>
      </c>
      <c r="H100" s="145">
        <v>91.5</v>
      </c>
      <c r="I100" s="144" t="s">
        <v>13</v>
      </c>
      <c r="J100" s="144" t="s">
        <v>14</v>
      </c>
      <c r="K100" s="144"/>
      <c r="L100" s="144" t="s">
        <v>13</v>
      </c>
    </row>
    <row r="101" spans="1:12">
      <c r="A101" s="144" t="s">
        <v>311</v>
      </c>
      <c r="B101" s="144" t="s">
        <v>312</v>
      </c>
      <c r="C101" s="144" t="s">
        <v>313</v>
      </c>
      <c r="D101" s="145">
        <v>458.8</v>
      </c>
      <c r="E101" s="145">
        <v>612.5</v>
      </c>
      <c r="F101" s="145">
        <v>483.4</v>
      </c>
      <c r="G101" s="145">
        <v>-42.4</v>
      </c>
      <c r="H101" s="145">
        <v>103.6</v>
      </c>
      <c r="I101" s="144" t="s">
        <v>13</v>
      </c>
      <c r="J101" s="144" t="s">
        <v>13</v>
      </c>
      <c r="K101" s="144"/>
      <c r="L101" s="144" t="s">
        <v>13</v>
      </c>
    </row>
    <row r="102" spans="1:12">
      <c r="A102" s="144" t="s">
        <v>314</v>
      </c>
      <c r="B102" s="144" t="s">
        <v>315</v>
      </c>
      <c r="C102" s="144" t="s">
        <v>316</v>
      </c>
      <c r="D102" s="145">
        <v>367.7</v>
      </c>
      <c r="E102" s="145">
        <v>567.20000000000005</v>
      </c>
      <c r="F102" s="145">
        <v>567.20000000000005</v>
      </c>
      <c r="G102" s="145">
        <v>-39.299999999999997</v>
      </c>
      <c r="H102" s="145">
        <v>100.1</v>
      </c>
      <c r="I102" s="144" t="s">
        <v>13</v>
      </c>
      <c r="J102" s="144" t="s">
        <v>13</v>
      </c>
      <c r="K102" s="144"/>
      <c r="L102" s="146" t="s">
        <v>14</v>
      </c>
    </row>
    <row r="103" spans="1:12">
      <c r="A103" s="144" t="s">
        <v>317</v>
      </c>
      <c r="B103" s="144" t="s">
        <v>318</v>
      </c>
      <c r="C103" s="144" t="s">
        <v>319</v>
      </c>
      <c r="D103" s="145">
        <v>499.2</v>
      </c>
      <c r="E103" s="145">
        <v>588.1</v>
      </c>
      <c r="F103" s="145">
        <v>185.7</v>
      </c>
      <c r="G103" s="145">
        <v>-43.9</v>
      </c>
      <c r="H103" s="145">
        <v>110.4</v>
      </c>
      <c r="I103" s="144" t="s">
        <v>13</v>
      </c>
      <c r="J103" s="144" t="s">
        <v>14</v>
      </c>
      <c r="K103" s="144"/>
      <c r="L103" s="144" t="s">
        <v>13</v>
      </c>
    </row>
    <row r="104" spans="1:12">
      <c r="A104" s="144" t="s">
        <v>320</v>
      </c>
      <c r="B104" s="144" t="s">
        <v>321</v>
      </c>
      <c r="C104" s="144" t="s">
        <v>322</v>
      </c>
      <c r="D104" s="145">
        <v>409.1</v>
      </c>
      <c r="E104" s="145">
        <v>509.8</v>
      </c>
      <c r="F104" s="145">
        <v>344.9</v>
      </c>
      <c r="G104" s="145">
        <v>-49.1</v>
      </c>
      <c r="H104" s="145">
        <v>92.8</v>
      </c>
      <c r="I104" s="144" t="s">
        <v>13</v>
      </c>
      <c r="J104" s="144" t="s">
        <v>99</v>
      </c>
      <c r="K104" s="144"/>
      <c r="L104" s="144" t="s">
        <v>13</v>
      </c>
    </row>
    <row r="105" spans="1:12">
      <c r="A105" s="144" t="s">
        <v>323</v>
      </c>
      <c r="B105" s="144" t="s">
        <v>324</v>
      </c>
      <c r="C105" s="144" t="s">
        <v>325</v>
      </c>
      <c r="D105" s="145">
        <v>492</v>
      </c>
      <c r="E105" s="145">
        <v>640.4</v>
      </c>
      <c r="F105" s="145">
        <v>168.7</v>
      </c>
      <c r="G105" s="145">
        <v>-39.9</v>
      </c>
      <c r="H105" s="145">
        <v>97.8</v>
      </c>
      <c r="I105" s="144" t="s">
        <v>13</v>
      </c>
      <c r="J105" s="144" t="s">
        <v>14</v>
      </c>
      <c r="K105" s="144"/>
      <c r="L105" s="144" t="s">
        <v>13</v>
      </c>
    </row>
    <row r="106" spans="1:12">
      <c r="A106" s="144" t="s">
        <v>326</v>
      </c>
      <c r="B106" s="144" t="s">
        <v>327</v>
      </c>
      <c r="C106" s="144" t="s">
        <v>328</v>
      </c>
      <c r="D106" s="145">
        <v>590.5</v>
      </c>
      <c r="E106" s="145">
        <v>733.6</v>
      </c>
      <c r="F106" s="145">
        <v>49.7</v>
      </c>
      <c r="G106" s="145">
        <v>-33.799999999999997</v>
      </c>
      <c r="H106" s="145">
        <v>101</v>
      </c>
      <c r="I106" s="144" t="s">
        <v>13</v>
      </c>
      <c r="J106" s="144" t="s">
        <v>14</v>
      </c>
      <c r="K106" s="144"/>
      <c r="L106" s="144" t="s">
        <v>13</v>
      </c>
    </row>
    <row r="107" spans="1:12">
      <c r="A107" s="144" t="s">
        <v>329</v>
      </c>
      <c r="B107" s="144" t="s">
        <v>330</v>
      </c>
      <c r="C107" s="144" t="s">
        <v>331</v>
      </c>
      <c r="D107" s="145">
        <v>429.8</v>
      </c>
      <c r="E107" s="145">
        <v>610.4</v>
      </c>
      <c r="F107" s="145">
        <v>610.4</v>
      </c>
      <c r="G107" s="145">
        <v>-41.7</v>
      </c>
      <c r="H107" s="145">
        <v>105.9</v>
      </c>
      <c r="I107" s="144" t="s">
        <v>14</v>
      </c>
      <c r="J107" s="144" t="s">
        <v>14</v>
      </c>
      <c r="K107" s="144"/>
      <c r="L107" s="144" t="s">
        <v>13</v>
      </c>
    </row>
    <row r="108" spans="1:12">
      <c r="A108" s="144" t="s">
        <v>332</v>
      </c>
      <c r="B108" s="144" t="s">
        <v>333</v>
      </c>
      <c r="C108" s="144" t="s">
        <v>334</v>
      </c>
      <c r="D108" s="145">
        <v>485.6</v>
      </c>
      <c r="E108" s="145">
        <v>628.6</v>
      </c>
      <c r="F108" s="145">
        <v>216</v>
      </c>
      <c r="G108" s="145">
        <v>-42</v>
      </c>
      <c r="H108" s="145">
        <v>95.5</v>
      </c>
      <c r="I108" s="144" t="s">
        <v>13</v>
      </c>
      <c r="J108" s="144" t="s">
        <v>13</v>
      </c>
      <c r="K108" s="144"/>
      <c r="L108" s="144" t="s">
        <v>13</v>
      </c>
    </row>
    <row r="109" spans="1:12">
      <c r="A109" s="144" t="s">
        <v>335</v>
      </c>
      <c r="B109" s="144" t="s">
        <v>336</v>
      </c>
      <c r="C109" s="144" t="s">
        <v>337</v>
      </c>
      <c r="D109" s="145">
        <v>389.1</v>
      </c>
      <c r="E109" s="145">
        <v>522.4</v>
      </c>
      <c r="F109" s="145">
        <v>344.3</v>
      </c>
      <c r="G109" s="145">
        <v>-45.7</v>
      </c>
      <c r="H109" s="145">
        <v>107.3</v>
      </c>
      <c r="I109" s="144" t="s">
        <v>13</v>
      </c>
      <c r="J109" s="144" t="s">
        <v>14</v>
      </c>
      <c r="K109" s="144"/>
      <c r="L109" s="144" t="s">
        <v>13</v>
      </c>
    </row>
    <row r="110" spans="1:12">
      <c r="A110" s="144" t="s">
        <v>338</v>
      </c>
      <c r="B110" s="144" t="s">
        <v>339</v>
      </c>
      <c r="C110" s="144" t="s">
        <v>340</v>
      </c>
      <c r="D110" s="145">
        <v>416.5</v>
      </c>
      <c r="E110" s="145">
        <v>534.5</v>
      </c>
      <c r="F110" s="145">
        <v>89.4</v>
      </c>
      <c r="G110" s="145">
        <v>-37.700000000000003</v>
      </c>
      <c r="H110" s="145">
        <v>98.6</v>
      </c>
      <c r="I110" s="144" t="s">
        <v>13</v>
      </c>
      <c r="J110" s="144" t="s">
        <v>99</v>
      </c>
      <c r="K110" s="144"/>
      <c r="L110" s="144" t="s">
        <v>13</v>
      </c>
    </row>
    <row r="111" spans="1:12">
      <c r="A111" s="144" t="s">
        <v>341</v>
      </c>
      <c r="B111" s="144" t="s">
        <v>342</v>
      </c>
      <c r="C111" s="144" t="s">
        <v>343</v>
      </c>
      <c r="D111" s="145">
        <v>703.9</v>
      </c>
      <c r="E111" s="145">
        <v>873.4</v>
      </c>
      <c r="F111" s="145">
        <v>13.5</v>
      </c>
      <c r="G111" s="145">
        <v>-35.799999999999997</v>
      </c>
      <c r="H111" s="145">
        <v>100.4</v>
      </c>
      <c r="I111" s="144" t="s">
        <v>13</v>
      </c>
      <c r="J111" s="144" t="s">
        <v>301</v>
      </c>
      <c r="K111" s="144"/>
      <c r="L111" s="144" t="s">
        <v>13</v>
      </c>
    </row>
    <row r="112" spans="1:12">
      <c r="A112" s="144" t="s">
        <v>344</v>
      </c>
      <c r="B112" s="144" t="s">
        <v>345</v>
      </c>
      <c r="C112" s="144" t="s">
        <v>346</v>
      </c>
      <c r="D112" s="145">
        <v>486.4</v>
      </c>
      <c r="E112" s="145">
        <v>687.3</v>
      </c>
      <c r="F112" s="145">
        <v>447</v>
      </c>
      <c r="G112" s="145">
        <v>-36.700000000000003</v>
      </c>
      <c r="H112" s="145">
        <v>96.4</v>
      </c>
      <c r="I112" s="144" t="s">
        <v>13</v>
      </c>
      <c r="J112" s="144" t="s">
        <v>13</v>
      </c>
      <c r="K112" s="144"/>
      <c r="L112" s="144" t="s">
        <v>13</v>
      </c>
    </row>
    <row r="113" spans="1:12">
      <c r="A113" s="144" t="s">
        <v>347</v>
      </c>
      <c r="B113" s="144" t="s">
        <v>348</v>
      </c>
      <c r="C113" s="144" t="s">
        <v>349</v>
      </c>
      <c r="D113" s="145">
        <v>457.8</v>
      </c>
      <c r="E113" s="145">
        <v>538.5</v>
      </c>
      <c r="F113" s="145">
        <v>357.6</v>
      </c>
      <c r="G113" s="145">
        <v>-39.799999999999997</v>
      </c>
      <c r="H113" s="145">
        <v>116.3</v>
      </c>
      <c r="I113" s="144" t="s">
        <v>13</v>
      </c>
      <c r="J113" s="144" t="s">
        <v>13</v>
      </c>
      <c r="K113" s="144"/>
      <c r="L113" s="144" t="s">
        <v>13</v>
      </c>
    </row>
    <row r="114" spans="1:12">
      <c r="A114" s="144" t="s">
        <v>350</v>
      </c>
      <c r="B114" s="144" t="s">
        <v>351</v>
      </c>
      <c r="C114" s="144" t="s">
        <v>352</v>
      </c>
      <c r="D114" s="145">
        <v>491.7</v>
      </c>
      <c r="E114" s="145">
        <v>552.4</v>
      </c>
      <c r="F114" s="145">
        <v>167.4</v>
      </c>
      <c r="G114" s="145">
        <v>-37.4</v>
      </c>
      <c r="H114" s="145">
        <v>103.3</v>
      </c>
      <c r="I114" s="144" t="s">
        <v>14</v>
      </c>
      <c r="J114" s="144" t="s">
        <v>14</v>
      </c>
      <c r="K114" s="144"/>
      <c r="L114" s="144" t="s">
        <v>13</v>
      </c>
    </row>
    <row r="115" spans="1:12">
      <c r="A115" s="144" t="s">
        <v>353</v>
      </c>
      <c r="B115" s="144" t="s">
        <v>354</v>
      </c>
      <c r="C115" s="144" t="s">
        <v>355</v>
      </c>
      <c r="D115" s="145">
        <v>434.7</v>
      </c>
      <c r="E115" s="145">
        <v>623.70000000000005</v>
      </c>
      <c r="F115" s="145">
        <v>580</v>
      </c>
      <c r="G115" s="145">
        <v>-43.5</v>
      </c>
      <c r="H115" s="145">
        <v>100.6</v>
      </c>
      <c r="I115" s="144" t="s">
        <v>13</v>
      </c>
      <c r="J115" s="144" t="s">
        <v>13</v>
      </c>
      <c r="K115" s="144"/>
      <c r="L115" s="144" t="s">
        <v>13</v>
      </c>
    </row>
    <row r="116" spans="1:12">
      <c r="A116" s="144" t="s">
        <v>356</v>
      </c>
      <c r="B116" s="144" t="s">
        <v>357</v>
      </c>
      <c r="C116" s="144" t="s">
        <v>358</v>
      </c>
      <c r="D116" s="145">
        <v>445.5</v>
      </c>
      <c r="E116" s="145">
        <v>552.9</v>
      </c>
      <c r="F116" s="145">
        <v>259.3</v>
      </c>
      <c r="G116" s="145">
        <v>-37.700000000000003</v>
      </c>
      <c r="H116" s="145">
        <v>101.2</v>
      </c>
      <c r="I116" s="144" t="s">
        <v>13</v>
      </c>
      <c r="J116" s="144" t="s">
        <v>14</v>
      </c>
      <c r="K116" s="144"/>
      <c r="L116" s="144" t="s">
        <v>13</v>
      </c>
    </row>
    <row r="117" spans="1:12">
      <c r="A117" s="144" t="s">
        <v>359</v>
      </c>
      <c r="B117" s="144" t="s">
        <v>360</v>
      </c>
      <c r="C117" s="144" t="s">
        <v>361</v>
      </c>
      <c r="D117" s="145">
        <v>460.5</v>
      </c>
      <c r="E117" s="145">
        <v>569.4</v>
      </c>
      <c r="F117" s="145">
        <v>121.4</v>
      </c>
      <c r="G117" s="145">
        <v>-38.299999999999997</v>
      </c>
      <c r="H117" s="145">
        <v>101.7</v>
      </c>
      <c r="I117" s="144" t="s">
        <v>13</v>
      </c>
      <c r="J117" s="144" t="s">
        <v>14</v>
      </c>
      <c r="K117" s="144"/>
      <c r="L117" s="144" t="s">
        <v>13</v>
      </c>
    </row>
    <row r="118" spans="1:12">
      <c r="A118" s="144" t="s">
        <v>362</v>
      </c>
      <c r="B118" s="144" t="s">
        <v>363</v>
      </c>
      <c r="C118" s="144" t="s">
        <v>364</v>
      </c>
      <c r="D118" s="145">
        <v>452.5</v>
      </c>
      <c r="E118" s="145">
        <v>535.9</v>
      </c>
      <c r="F118" s="145">
        <v>268.60000000000002</v>
      </c>
      <c r="G118" s="145">
        <v>-42</v>
      </c>
      <c r="H118" s="145">
        <v>91.1</v>
      </c>
      <c r="I118" s="144" t="s">
        <v>13</v>
      </c>
      <c r="J118" s="144" t="s">
        <v>14</v>
      </c>
      <c r="K118" s="144"/>
      <c r="L118" s="144" t="s">
        <v>13</v>
      </c>
    </row>
    <row r="119" spans="1:12">
      <c r="A119" s="144" t="s">
        <v>365</v>
      </c>
      <c r="B119" s="144" t="s">
        <v>366</v>
      </c>
      <c r="C119" s="144" t="s">
        <v>367</v>
      </c>
      <c r="D119" s="145">
        <v>502.3</v>
      </c>
      <c r="E119" s="145">
        <v>753.2</v>
      </c>
      <c r="F119" s="145">
        <v>98.8</v>
      </c>
      <c r="G119" s="145">
        <v>-34.9</v>
      </c>
      <c r="H119" s="145">
        <v>106.8</v>
      </c>
      <c r="I119" s="144" t="s">
        <v>14</v>
      </c>
      <c r="J119" s="144" t="s">
        <v>14</v>
      </c>
      <c r="K119" s="144"/>
      <c r="L119" s="144" t="s">
        <v>13</v>
      </c>
    </row>
    <row r="120" spans="1:12">
      <c r="A120" s="144" t="s">
        <v>368</v>
      </c>
      <c r="B120" s="144" t="s">
        <v>369</v>
      </c>
      <c r="C120" s="144" t="s">
        <v>370</v>
      </c>
      <c r="D120" s="145">
        <v>482</v>
      </c>
      <c r="E120" s="145">
        <v>635.79999999999995</v>
      </c>
      <c r="F120" s="145">
        <v>254.9</v>
      </c>
      <c r="G120" s="145">
        <v>-41.3</v>
      </c>
      <c r="H120" s="145">
        <v>114.8</v>
      </c>
      <c r="I120" s="144" t="s">
        <v>13</v>
      </c>
      <c r="J120" s="144" t="s">
        <v>13</v>
      </c>
      <c r="K120" s="144"/>
      <c r="L120" s="144" t="s">
        <v>13</v>
      </c>
    </row>
    <row r="121" spans="1:12">
      <c r="A121" s="144" t="s">
        <v>371</v>
      </c>
      <c r="B121" s="144" t="s">
        <v>372</v>
      </c>
      <c r="C121" s="144" t="s">
        <v>373</v>
      </c>
      <c r="D121" s="145">
        <v>578.5</v>
      </c>
      <c r="E121" s="145">
        <v>740</v>
      </c>
      <c r="F121" s="145">
        <v>25.7</v>
      </c>
      <c r="G121" s="145">
        <v>-35</v>
      </c>
      <c r="H121" s="145">
        <v>91.6</v>
      </c>
      <c r="I121" s="144" t="s">
        <v>13</v>
      </c>
      <c r="J121" s="144" t="s">
        <v>14</v>
      </c>
      <c r="K121" s="144"/>
      <c r="L121" s="144" t="s">
        <v>13</v>
      </c>
    </row>
    <row r="122" spans="1:12">
      <c r="A122" s="144" t="s">
        <v>374</v>
      </c>
      <c r="B122" s="144" t="s">
        <v>375</v>
      </c>
      <c r="C122" s="144" t="s">
        <v>376</v>
      </c>
      <c r="D122" s="145">
        <v>497.1</v>
      </c>
      <c r="E122" s="145">
        <v>542.5</v>
      </c>
      <c r="F122" s="145">
        <v>60.2</v>
      </c>
      <c r="G122" s="145">
        <v>-40.799999999999997</v>
      </c>
      <c r="H122" s="145">
        <v>92.6</v>
      </c>
      <c r="I122" s="144" t="s">
        <v>13</v>
      </c>
      <c r="J122" s="144" t="s">
        <v>14</v>
      </c>
      <c r="K122" s="144"/>
      <c r="L122" s="144" t="s">
        <v>13</v>
      </c>
    </row>
    <row r="123" spans="1:12">
      <c r="A123" s="144" t="s">
        <v>377</v>
      </c>
      <c r="B123" s="144" t="s">
        <v>378</v>
      </c>
      <c r="C123" s="144" t="s">
        <v>379</v>
      </c>
      <c r="D123" s="145">
        <v>408.8</v>
      </c>
      <c r="E123" s="145">
        <v>430.1</v>
      </c>
      <c r="F123" s="145">
        <v>14.8</v>
      </c>
      <c r="G123" s="145">
        <v>-44.8</v>
      </c>
      <c r="H123" s="145">
        <v>95</v>
      </c>
      <c r="I123" s="144" t="s">
        <v>13</v>
      </c>
      <c r="J123" s="144"/>
      <c r="K123" s="144"/>
      <c r="L123" s="144" t="s">
        <v>13</v>
      </c>
    </row>
    <row r="124" spans="1:12">
      <c r="A124" s="144" t="s">
        <v>380</v>
      </c>
      <c r="B124" s="144" t="s">
        <v>381</v>
      </c>
      <c r="C124" s="144" t="s">
        <v>382</v>
      </c>
      <c r="D124" s="145">
        <v>470.7</v>
      </c>
      <c r="E124" s="145">
        <v>583</v>
      </c>
      <c r="F124" s="145">
        <v>180.1</v>
      </c>
      <c r="G124" s="145">
        <v>-45.2</v>
      </c>
      <c r="H124" s="145">
        <v>99.7</v>
      </c>
      <c r="I124" s="144" t="s">
        <v>13</v>
      </c>
      <c r="J124" s="144" t="s">
        <v>14</v>
      </c>
      <c r="K124" s="144"/>
      <c r="L124" s="144" t="s">
        <v>13</v>
      </c>
    </row>
    <row r="125" spans="1:12">
      <c r="A125" s="144" t="s">
        <v>383</v>
      </c>
      <c r="B125" s="144" t="s">
        <v>384</v>
      </c>
      <c r="C125" s="144" t="s">
        <v>385</v>
      </c>
      <c r="D125" s="145">
        <v>414.5</v>
      </c>
      <c r="E125" s="145">
        <v>578</v>
      </c>
      <c r="F125" s="145">
        <v>342.6</v>
      </c>
      <c r="G125" s="145">
        <v>-37.700000000000003</v>
      </c>
      <c r="H125" s="145">
        <v>98</v>
      </c>
      <c r="I125" s="144" t="s">
        <v>13</v>
      </c>
      <c r="J125" s="144" t="s">
        <v>13</v>
      </c>
      <c r="K125" s="144"/>
      <c r="L125" s="144" t="s">
        <v>13</v>
      </c>
    </row>
    <row r="126" spans="1:12">
      <c r="A126" s="144" t="s">
        <v>386</v>
      </c>
      <c r="B126" s="144" t="s">
        <v>387</v>
      </c>
      <c r="C126" s="144" t="s">
        <v>388</v>
      </c>
      <c r="D126" s="145">
        <v>415.1</v>
      </c>
      <c r="E126" s="145">
        <v>469.9</v>
      </c>
      <c r="F126" s="145">
        <v>118.5</v>
      </c>
      <c r="G126" s="145">
        <v>-42.9</v>
      </c>
      <c r="H126" s="145">
        <v>104.3</v>
      </c>
      <c r="I126" s="144" t="s">
        <v>13</v>
      </c>
      <c r="J126" s="144" t="s">
        <v>13</v>
      </c>
      <c r="K126" s="144"/>
      <c r="L126" s="144" t="s">
        <v>13</v>
      </c>
    </row>
    <row r="127" spans="1:12">
      <c r="A127" s="144" t="s">
        <v>389</v>
      </c>
      <c r="B127" s="144" t="s">
        <v>390</v>
      </c>
      <c r="C127" s="144" t="s">
        <v>391</v>
      </c>
      <c r="D127" s="145">
        <v>597.9</v>
      </c>
      <c r="E127" s="145">
        <v>706.7</v>
      </c>
      <c r="F127" s="145">
        <v>64.5</v>
      </c>
      <c r="G127" s="145">
        <v>-35.6</v>
      </c>
      <c r="H127" s="145">
        <v>98.5</v>
      </c>
      <c r="I127" s="144" t="s">
        <v>13</v>
      </c>
      <c r="J127" s="144" t="s">
        <v>301</v>
      </c>
      <c r="K127" s="144"/>
      <c r="L127" s="144" t="s">
        <v>13</v>
      </c>
    </row>
    <row r="128" spans="1:12">
      <c r="A128" s="144" t="s">
        <v>392</v>
      </c>
      <c r="B128" s="144" t="s">
        <v>393</v>
      </c>
      <c r="C128" s="144" t="s">
        <v>394</v>
      </c>
      <c r="D128" s="145">
        <v>480.9</v>
      </c>
      <c r="E128" s="145">
        <v>629.79999999999995</v>
      </c>
      <c r="F128" s="145">
        <v>483.7</v>
      </c>
      <c r="G128" s="145">
        <v>-40.9</v>
      </c>
      <c r="H128" s="145">
        <v>107.1</v>
      </c>
      <c r="I128" s="144" t="s">
        <v>99</v>
      </c>
      <c r="J128" s="144" t="s">
        <v>99</v>
      </c>
      <c r="K128" s="144"/>
      <c r="L128" s="144" t="s">
        <v>13</v>
      </c>
    </row>
    <row r="129" spans="1:12">
      <c r="A129" s="144" t="s">
        <v>395</v>
      </c>
      <c r="B129" s="144" t="s">
        <v>396</v>
      </c>
      <c r="C129" s="144" t="s">
        <v>397</v>
      </c>
      <c r="D129" s="145">
        <v>375.5</v>
      </c>
      <c r="E129" s="145">
        <v>528</v>
      </c>
      <c r="F129" s="145">
        <v>374.6</v>
      </c>
      <c r="G129" s="145">
        <v>-39.200000000000003</v>
      </c>
      <c r="H129" s="145">
        <v>96.6</v>
      </c>
      <c r="I129" s="144" t="s">
        <v>13</v>
      </c>
      <c r="J129" s="144" t="s">
        <v>99</v>
      </c>
      <c r="K129" s="144"/>
      <c r="L129" s="144" t="s">
        <v>13</v>
      </c>
    </row>
    <row r="130" spans="1:12">
      <c r="A130" s="144" t="s">
        <v>398</v>
      </c>
      <c r="B130" s="144" t="s">
        <v>399</v>
      </c>
      <c r="C130" s="144" t="s">
        <v>400</v>
      </c>
      <c r="D130" s="145">
        <v>499.4</v>
      </c>
      <c r="E130" s="145">
        <v>675</v>
      </c>
      <c r="F130" s="145">
        <v>83.9</v>
      </c>
      <c r="G130" s="145">
        <v>-42.6</v>
      </c>
      <c r="H130" s="145">
        <v>98.1</v>
      </c>
      <c r="I130" s="144" t="s">
        <v>13</v>
      </c>
      <c r="J130" s="144" t="s">
        <v>99</v>
      </c>
      <c r="K130" s="144"/>
      <c r="L130" s="144" t="s">
        <v>13</v>
      </c>
    </row>
    <row r="131" spans="1:12">
      <c r="A131" s="144" t="s">
        <v>401</v>
      </c>
      <c r="B131" s="144" t="s">
        <v>402</v>
      </c>
      <c r="C131" s="144" t="s">
        <v>403</v>
      </c>
      <c r="D131" s="145">
        <v>420.1</v>
      </c>
      <c r="E131" s="145">
        <v>561.1</v>
      </c>
      <c r="F131" s="145">
        <v>166</v>
      </c>
      <c r="G131" s="145">
        <v>-40.4</v>
      </c>
      <c r="H131" s="145">
        <v>109.9</v>
      </c>
      <c r="I131" s="144" t="s">
        <v>13</v>
      </c>
      <c r="J131" s="144" t="s">
        <v>14</v>
      </c>
      <c r="K131" s="144"/>
      <c r="L131" s="144" t="s">
        <v>13</v>
      </c>
    </row>
    <row r="132" spans="1:12">
      <c r="A132" s="144" t="s">
        <v>404</v>
      </c>
      <c r="B132" s="144" t="s">
        <v>405</v>
      </c>
      <c r="C132" s="144" t="s">
        <v>406</v>
      </c>
      <c r="D132" s="145">
        <v>334.6</v>
      </c>
      <c r="E132" s="145">
        <v>487.5</v>
      </c>
      <c r="F132" s="145">
        <v>360.8</v>
      </c>
      <c r="G132" s="145">
        <v>-45.2</v>
      </c>
      <c r="H132" s="145">
        <v>94.4</v>
      </c>
      <c r="I132" s="144" t="s">
        <v>13</v>
      </c>
      <c r="J132" s="144" t="s">
        <v>99</v>
      </c>
      <c r="K132" s="144"/>
      <c r="L132" s="146" t="s">
        <v>14</v>
      </c>
    </row>
    <row r="133" spans="1:12">
      <c r="A133" s="144" t="s">
        <v>407</v>
      </c>
      <c r="B133" s="144" t="s">
        <v>408</v>
      </c>
      <c r="C133" s="144" t="s">
        <v>409</v>
      </c>
      <c r="D133" s="145">
        <v>321.3</v>
      </c>
      <c r="E133" s="145">
        <v>330.1</v>
      </c>
      <c r="F133" s="145">
        <v>68.099999999999994</v>
      </c>
      <c r="G133" s="145">
        <v>-47.9</v>
      </c>
      <c r="H133" s="145">
        <v>87.2</v>
      </c>
      <c r="I133" s="144" t="s">
        <v>13</v>
      </c>
      <c r="J133" s="144" t="s">
        <v>14</v>
      </c>
      <c r="K133" s="144"/>
      <c r="L133" s="146" t="s">
        <v>14</v>
      </c>
    </row>
    <row r="134" spans="1:12">
      <c r="A134" s="144" t="s">
        <v>410</v>
      </c>
      <c r="B134" s="144" t="s">
        <v>411</v>
      </c>
      <c r="C134" s="144" t="s">
        <v>412</v>
      </c>
      <c r="D134" s="145">
        <v>385.1</v>
      </c>
      <c r="E134" s="145">
        <v>485.6</v>
      </c>
      <c r="F134" s="145">
        <v>322.5</v>
      </c>
      <c r="G134" s="145">
        <v>-41.9</v>
      </c>
      <c r="H134" s="145">
        <v>98.5</v>
      </c>
      <c r="I134" s="144" t="s">
        <v>13</v>
      </c>
      <c r="J134" s="144" t="s">
        <v>99</v>
      </c>
      <c r="K134" s="144"/>
      <c r="L134" s="144" t="s">
        <v>13</v>
      </c>
    </row>
    <row r="135" spans="1:12">
      <c r="A135" s="144" t="s">
        <v>413</v>
      </c>
      <c r="B135" s="144" t="s">
        <v>414</v>
      </c>
      <c r="C135" s="144" t="s">
        <v>415</v>
      </c>
      <c r="D135" s="145">
        <v>362.7</v>
      </c>
      <c r="E135" s="145">
        <v>522.70000000000005</v>
      </c>
      <c r="F135" s="145">
        <v>461.4</v>
      </c>
      <c r="G135" s="145">
        <v>-40.9</v>
      </c>
      <c r="H135" s="145">
        <v>99.8</v>
      </c>
      <c r="I135" s="144" t="s">
        <v>99</v>
      </c>
      <c r="J135" s="144" t="s">
        <v>99</v>
      </c>
      <c r="K135" s="144"/>
      <c r="L135" s="146" t="s">
        <v>14</v>
      </c>
    </row>
    <row r="136" spans="1:12">
      <c r="A136" s="144" t="s">
        <v>416</v>
      </c>
      <c r="B136" s="144" t="s">
        <v>417</v>
      </c>
      <c r="C136" s="144" t="s">
        <v>418</v>
      </c>
      <c r="D136" s="145">
        <v>406.6</v>
      </c>
      <c r="E136" s="145">
        <v>560.70000000000005</v>
      </c>
      <c r="F136" s="145">
        <v>451.1</v>
      </c>
      <c r="G136" s="145">
        <v>-41</v>
      </c>
      <c r="H136" s="145">
        <v>97.8</v>
      </c>
      <c r="I136" s="144" t="s">
        <v>99</v>
      </c>
      <c r="J136" s="144" t="s">
        <v>99</v>
      </c>
      <c r="K136" s="144"/>
      <c r="L136" s="144" t="s">
        <v>13</v>
      </c>
    </row>
    <row r="137" spans="1:12">
      <c r="A137" s="144" t="s">
        <v>419</v>
      </c>
      <c r="B137" s="144" t="s">
        <v>420</v>
      </c>
      <c r="C137" s="144" t="s">
        <v>421</v>
      </c>
      <c r="D137" s="145">
        <v>370.8</v>
      </c>
      <c r="E137" s="145">
        <v>392.4</v>
      </c>
      <c r="F137" s="145">
        <v>217.7</v>
      </c>
      <c r="G137" s="145">
        <v>-42.8</v>
      </c>
      <c r="H137" s="145">
        <v>106.6</v>
      </c>
      <c r="I137" s="144" t="s">
        <v>13</v>
      </c>
      <c r="J137" s="144" t="s">
        <v>99</v>
      </c>
      <c r="K137" s="144"/>
      <c r="L137" s="146" t="s">
        <v>14</v>
      </c>
    </row>
    <row r="138" spans="1:12">
      <c r="A138" s="144" t="s">
        <v>422</v>
      </c>
      <c r="B138" s="144" t="s">
        <v>423</v>
      </c>
      <c r="C138" s="144" t="s">
        <v>424</v>
      </c>
      <c r="D138" s="145">
        <v>443.9</v>
      </c>
      <c r="E138" s="145">
        <v>608.70000000000005</v>
      </c>
      <c r="F138" s="145">
        <v>333.1</v>
      </c>
      <c r="G138" s="145">
        <v>-40</v>
      </c>
      <c r="H138" s="145">
        <v>93</v>
      </c>
      <c r="I138" s="144" t="s">
        <v>13</v>
      </c>
      <c r="J138" s="144" t="s">
        <v>14</v>
      </c>
      <c r="K138" s="144"/>
      <c r="L138" s="144" t="s">
        <v>13</v>
      </c>
    </row>
    <row r="139" spans="1:12">
      <c r="A139" s="144" t="s">
        <v>425</v>
      </c>
      <c r="B139" s="144" t="s">
        <v>426</v>
      </c>
      <c r="C139" s="144" t="s">
        <v>427</v>
      </c>
      <c r="D139" s="145">
        <v>439.5</v>
      </c>
      <c r="E139" s="145">
        <v>614.1</v>
      </c>
      <c r="F139" s="145">
        <v>466.6</v>
      </c>
      <c r="G139" s="145">
        <v>-40.1</v>
      </c>
      <c r="H139" s="145">
        <v>98.6</v>
      </c>
      <c r="I139" s="144" t="s">
        <v>13</v>
      </c>
      <c r="J139" s="144" t="s">
        <v>99</v>
      </c>
      <c r="K139" s="144"/>
      <c r="L139" s="144" t="s">
        <v>13</v>
      </c>
    </row>
    <row r="140" spans="1:12">
      <c r="A140" s="144" t="s">
        <v>428</v>
      </c>
      <c r="B140" s="144" t="s">
        <v>429</v>
      </c>
      <c r="C140" s="144" t="s">
        <v>430</v>
      </c>
      <c r="D140" s="145">
        <v>481</v>
      </c>
      <c r="E140" s="145">
        <v>700.7</v>
      </c>
      <c r="F140" s="145">
        <v>235.7</v>
      </c>
      <c r="G140" s="145">
        <v>-36.799999999999997</v>
      </c>
      <c r="H140" s="145">
        <v>106.2</v>
      </c>
      <c r="I140" s="144" t="s">
        <v>13</v>
      </c>
      <c r="J140" s="144" t="s">
        <v>301</v>
      </c>
      <c r="K140" s="144"/>
      <c r="L140" s="144" t="s">
        <v>13</v>
      </c>
    </row>
    <row r="141" spans="1:12">
      <c r="A141" s="144" t="s">
        <v>431</v>
      </c>
      <c r="B141" s="144" t="s">
        <v>432</v>
      </c>
      <c r="C141" s="144" t="s">
        <v>433</v>
      </c>
      <c r="D141" s="145">
        <v>357.3</v>
      </c>
      <c r="E141" s="145">
        <v>611.20000000000005</v>
      </c>
      <c r="F141" s="145">
        <v>502</v>
      </c>
      <c r="G141" s="145">
        <v>-43</v>
      </c>
      <c r="H141" s="145">
        <v>81.599999999999994</v>
      </c>
      <c r="I141" s="144" t="s">
        <v>13</v>
      </c>
      <c r="J141" s="144" t="s">
        <v>99</v>
      </c>
      <c r="K141" s="144"/>
      <c r="L141" s="146" t="s">
        <v>14</v>
      </c>
    </row>
    <row r="142" spans="1:12">
      <c r="A142" s="144" t="s">
        <v>434</v>
      </c>
      <c r="B142" s="144" t="s">
        <v>435</v>
      </c>
      <c r="C142" s="144" t="s">
        <v>436</v>
      </c>
      <c r="D142" s="145">
        <v>552.5</v>
      </c>
      <c r="E142" s="145">
        <v>718.1</v>
      </c>
      <c r="F142" s="145">
        <v>70.599999999999994</v>
      </c>
      <c r="G142" s="145">
        <v>-36.200000000000003</v>
      </c>
      <c r="H142" s="145">
        <v>113.6</v>
      </c>
      <c r="I142" s="144" t="s">
        <v>13</v>
      </c>
      <c r="J142" s="144" t="s">
        <v>99</v>
      </c>
      <c r="K142" s="144"/>
      <c r="L142" s="144" t="s">
        <v>13</v>
      </c>
    </row>
    <row r="143" spans="1:12">
      <c r="A143" s="144" t="s">
        <v>437</v>
      </c>
      <c r="B143" s="144" t="s">
        <v>438</v>
      </c>
      <c r="C143" s="144" t="s">
        <v>439</v>
      </c>
      <c r="D143" s="145">
        <v>481.2</v>
      </c>
      <c r="E143" s="145">
        <v>578.5</v>
      </c>
      <c r="F143" s="145">
        <v>183.4</v>
      </c>
      <c r="G143" s="145">
        <v>-40.6</v>
      </c>
      <c r="H143" s="145">
        <v>96.8</v>
      </c>
      <c r="I143" s="144" t="s">
        <v>99</v>
      </c>
      <c r="J143" s="144" t="s">
        <v>99</v>
      </c>
      <c r="K143" s="144"/>
      <c r="L143" s="144" t="s">
        <v>13</v>
      </c>
    </row>
    <row r="144" spans="1:12">
      <c r="A144" s="144" t="s">
        <v>440</v>
      </c>
      <c r="B144" s="144" t="s">
        <v>441</v>
      </c>
      <c r="C144" s="144" t="s">
        <v>442</v>
      </c>
      <c r="D144" s="145">
        <v>329.5</v>
      </c>
      <c r="E144" s="145">
        <v>460.8</v>
      </c>
      <c r="F144" s="145">
        <v>460.8</v>
      </c>
      <c r="G144" s="145">
        <v>-45.6</v>
      </c>
      <c r="H144" s="145">
        <v>99.9</v>
      </c>
      <c r="I144" s="144" t="s">
        <v>99</v>
      </c>
      <c r="J144" s="144" t="s">
        <v>99</v>
      </c>
      <c r="K144" s="144"/>
      <c r="L144" s="146" t="s">
        <v>14</v>
      </c>
    </row>
    <row r="145" spans="1:12">
      <c r="A145" s="144" t="s">
        <v>443</v>
      </c>
      <c r="B145" s="144" t="s">
        <v>444</v>
      </c>
      <c r="C145" s="144" t="s">
        <v>445</v>
      </c>
      <c r="D145" s="145">
        <v>315.2</v>
      </c>
      <c r="E145" s="145">
        <v>453.9</v>
      </c>
      <c r="F145" s="145">
        <v>379.9</v>
      </c>
      <c r="G145" s="145">
        <v>-38.799999999999997</v>
      </c>
      <c r="H145" s="145">
        <v>94.9</v>
      </c>
      <c r="I145" s="144" t="s">
        <v>99</v>
      </c>
      <c r="J145" s="144" t="s">
        <v>99</v>
      </c>
      <c r="K145" s="144"/>
      <c r="L145" s="146" t="s">
        <v>14</v>
      </c>
    </row>
    <row r="146" spans="1:12">
      <c r="A146" s="144" t="s">
        <v>446</v>
      </c>
      <c r="B146" s="144" t="s">
        <v>447</v>
      </c>
      <c r="C146" s="144" t="s">
        <v>448</v>
      </c>
      <c r="D146" s="145">
        <v>359.6</v>
      </c>
      <c r="E146" s="145">
        <v>454.3</v>
      </c>
      <c r="F146" s="145">
        <v>299.7</v>
      </c>
      <c r="G146" s="145">
        <v>-47</v>
      </c>
      <c r="H146" s="145">
        <v>106.3</v>
      </c>
      <c r="I146" s="144" t="s">
        <v>13</v>
      </c>
      <c r="J146" s="144" t="s">
        <v>99</v>
      </c>
      <c r="K146" s="144"/>
      <c r="L146" s="146" t="s">
        <v>14</v>
      </c>
    </row>
    <row r="147" spans="1:12">
      <c r="A147" s="144" t="s">
        <v>449</v>
      </c>
      <c r="B147" s="144" t="s">
        <v>450</v>
      </c>
      <c r="C147" s="144" t="s">
        <v>451</v>
      </c>
      <c r="D147" s="145">
        <v>389.5</v>
      </c>
      <c r="E147" s="145">
        <v>541.5</v>
      </c>
      <c r="F147" s="145">
        <v>386.5</v>
      </c>
      <c r="G147" s="145">
        <v>-43.9</v>
      </c>
      <c r="H147" s="145">
        <v>102.5</v>
      </c>
      <c r="I147" s="144" t="s">
        <v>13</v>
      </c>
      <c r="J147" s="144" t="s">
        <v>13</v>
      </c>
      <c r="K147" s="144"/>
      <c r="L147" s="144" t="s">
        <v>13</v>
      </c>
    </row>
    <row r="148" spans="1:12">
      <c r="A148" s="144" t="s">
        <v>452</v>
      </c>
      <c r="B148" s="144" t="s">
        <v>453</v>
      </c>
      <c r="C148" s="144" t="s">
        <v>454</v>
      </c>
      <c r="D148" s="145">
        <v>401.3</v>
      </c>
      <c r="E148" s="145">
        <v>484.4</v>
      </c>
      <c r="F148" s="145">
        <v>332</v>
      </c>
      <c r="G148" s="145">
        <v>-40.1</v>
      </c>
      <c r="H148" s="145">
        <v>102.2</v>
      </c>
      <c r="I148" s="144" t="s">
        <v>13</v>
      </c>
      <c r="J148" s="144" t="s">
        <v>99</v>
      </c>
      <c r="K148" s="144"/>
      <c r="L148" s="144" t="s">
        <v>13</v>
      </c>
    </row>
    <row r="149" spans="1:12">
      <c r="A149" s="144" t="s">
        <v>455</v>
      </c>
      <c r="B149" s="144" t="s">
        <v>456</v>
      </c>
      <c r="C149" s="144" t="s">
        <v>457</v>
      </c>
      <c r="D149" s="145">
        <v>390.2</v>
      </c>
      <c r="E149" s="145">
        <v>543.1</v>
      </c>
      <c r="F149" s="145">
        <v>441.5</v>
      </c>
      <c r="G149" s="145">
        <v>-41.6</v>
      </c>
      <c r="H149" s="145">
        <v>94.1</v>
      </c>
      <c r="I149" s="144" t="s">
        <v>13</v>
      </c>
      <c r="J149" s="144" t="s">
        <v>99</v>
      </c>
      <c r="K149" s="144"/>
      <c r="L149" s="144" t="s">
        <v>13</v>
      </c>
    </row>
    <row r="150" spans="1:12">
      <c r="A150" s="144" t="s">
        <v>458</v>
      </c>
      <c r="B150" s="144" t="s">
        <v>459</v>
      </c>
      <c r="C150" s="144" t="s">
        <v>460</v>
      </c>
      <c r="D150" s="145">
        <v>342.8</v>
      </c>
      <c r="E150" s="145">
        <v>349.1</v>
      </c>
      <c r="F150" s="145">
        <v>86.4</v>
      </c>
      <c r="G150" s="145">
        <v>-48</v>
      </c>
      <c r="H150" s="145">
        <v>98</v>
      </c>
      <c r="I150" s="144" t="s">
        <v>13</v>
      </c>
      <c r="J150" s="144" t="s">
        <v>14</v>
      </c>
      <c r="K150" s="144"/>
      <c r="L150" s="146" t="s">
        <v>14</v>
      </c>
    </row>
    <row r="151" spans="1:12">
      <c r="A151" s="144" t="s">
        <v>461</v>
      </c>
      <c r="B151" s="144" t="s">
        <v>462</v>
      </c>
      <c r="C151" s="144" t="s">
        <v>463</v>
      </c>
      <c r="D151" s="145">
        <v>497.9</v>
      </c>
      <c r="E151" s="145">
        <v>594.70000000000005</v>
      </c>
      <c r="F151" s="145">
        <v>128.9</v>
      </c>
      <c r="G151" s="145">
        <v>-34.700000000000003</v>
      </c>
      <c r="H151" s="145">
        <v>82</v>
      </c>
      <c r="I151" s="144" t="s">
        <v>13</v>
      </c>
      <c r="J151" s="144" t="s">
        <v>13</v>
      </c>
      <c r="K151" s="144"/>
      <c r="L151" s="144" t="s">
        <v>13</v>
      </c>
    </row>
    <row r="152" spans="1:12">
      <c r="A152" s="144" t="s">
        <v>464</v>
      </c>
      <c r="B152" s="144" t="s">
        <v>465</v>
      </c>
      <c r="C152" s="144" t="s">
        <v>466</v>
      </c>
      <c r="D152" s="145">
        <v>442</v>
      </c>
      <c r="E152" s="145">
        <v>702.4</v>
      </c>
      <c r="F152" s="145">
        <v>113</v>
      </c>
      <c r="G152" s="145">
        <v>-32.1</v>
      </c>
      <c r="H152" s="145">
        <v>91.4</v>
      </c>
      <c r="I152" s="144" t="s">
        <v>13</v>
      </c>
      <c r="J152" s="144" t="s">
        <v>14</v>
      </c>
      <c r="K152" s="144"/>
      <c r="L152" s="144" t="s">
        <v>13</v>
      </c>
    </row>
    <row r="153" spans="1:12">
      <c r="A153" s="144" t="s">
        <v>467</v>
      </c>
      <c r="B153" s="144" t="s">
        <v>468</v>
      </c>
      <c r="C153" s="144" t="s">
        <v>469</v>
      </c>
      <c r="D153" s="145">
        <v>439.7</v>
      </c>
      <c r="E153" s="145">
        <v>552.5</v>
      </c>
      <c r="F153" s="145">
        <v>483.8</v>
      </c>
      <c r="G153" s="145">
        <v>-44.7</v>
      </c>
      <c r="H153" s="145">
        <v>100.3</v>
      </c>
      <c r="I153" s="144" t="s">
        <v>13</v>
      </c>
      <c r="J153" s="144" t="s">
        <v>99</v>
      </c>
      <c r="K153" s="144"/>
      <c r="L153" s="144" t="s">
        <v>13</v>
      </c>
    </row>
    <row r="154" spans="1:12">
      <c r="A154" s="144" t="s">
        <v>470</v>
      </c>
      <c r="B154" s="144" t="s">
        <v>471</v>
      </c>
      <c r="C154" s="144" t="s">
        <v>472</v>
      </c>
      <c r="D154" s="145">
        <v>342.4</v>
      </c>
      <c r="E154" s="145">
        <v>479.9</v>
      </c>
      <c r="F154" s="145">
        <v>346.2</v>
      </c>
      <c r="G154" s="145">
        <v>-41.2</v>
      </c>
      <c r="H154" s="145">
        <v>95.9</v>
      </c>
      <c r="I154" s="144" t="s">
        <v>13</v>
      </c>
      <c r="J154" s="144" t="s">
        <v>99</v>
      </c>
      <c r="K154" s="144"/>
      <c r="L154" s="146" t="s">
        <v>14</v>
      </c>
    </row>
    <row r="155" spans="1:12">
      <c r="A155" s="144" t="s">
        <v>473</v>
      </c>
      <c r="B155" s="144" t="s">
        <v>474</v>
      </c>
      <c r="C155" s="144" t="s">
        <v>475</v>
      </c>
      <c r="D155" s="145">
        <v>268</v>
      </c>
      <c r="E155" s="145">
        <v>403.1</v>
      </c>
      <c r="F155" s="145">
        <v>403.1</v>
      </c>
      <c r="G155" s="145">
        <v>-48.1</v>
      </c>
      <c r="H155" s="145">
        <v>97.6</v>
      </c>
      <c r="I155" s="144" t="s">
        <v>99</v>
      </c>
      <c r="J155" s="144" t="s">
        <v>99</v>
      </c>
      <c r="K155" s="144"/>
      <c r="L155" s="146" t="s">
        <v>14</v>
      </c>
    </row>
    <row r="156" spans="1:12">
      <c r="A156" s="144" t="s">
        <v>476</v>
      </c>
      <c r="B156" s="144" t="s">
        <v>477</v>
      </c>
      <c r="C156" s="144" t="s">
        <v>478</v>
      </c>
      <c r="D156" s="145">
        <v>319.39999999999998</v>
      </c>
      <c r="E156" s="145">
        <v>423</v>
      </c>
      <c r="F156" s="145">
        <v>187.9</v>
      </c>
      <c r="G156" s="145">
        <v>-38.799999999999997</v>
      </c>
      <c r="H156" s="145">
        <v>96.1</v>
      </c>
      <c r="I156" s="144" t="s">
        <v>13</v>
      </c>
      <c r="J156" s="144" t="s">
        <v>99</v>
      </c>
      <c r="K156" s="144"/>
      <c r="L156" s="146" t="s">
        <v>14</v>
      </c>
    </row>
    <row r="157" spans="1:12">
      <c r="A157" s="144" t="s">
        <v>479</v>
      </c>
      <c r="B157" s="144" t="s">
        <v>480</v>
      </c>
      <c r="C157" s="144" t="s">
        <v>481</v>
      </c>
      <c r="D157" s="145">
        <v>194.7</v>
      </c>
      <c r="E157" s="145">
        <v>290.89999999999998</v>
      </c>
      <c r="F157" s="145">
        <v>158.5</v>
      </c>
      <c r="G157" s="145">
        <v>-48.9</v>
      </c>
      <c r="H157" s="145">
        <v>105</v>
      </c>
      <c r="I157" s="144" t="s">
        <v>13</v>
      </c>
      <c r="J157" s="144" t="s">
        <v>99</v>
      </c>
      <c r="K157" s="144"/>
      <c r="L157" s="146" t="s">
        <v>14</v>
      </c>
    </row>
    <row r="158" spans="1:12">
      <c r="A158" s="144" t="s">
        <v>482</v>
      </c>
      <c r="B158" s="144" t="s">
        <v>483</v>
      </c>
      <c r="C158" s="144" t="s">
        <v>484</v>
      </c>
      <c r="D158" s="145">
        <v>440.5</v>
      </c>
      <c r="E158" s="145">
        <v>459.3</v>
      </c>
      <c r="F158" s="145">
        <v>87.8</v>
      </c>
      <c r="G158" s="145">
        <v>-41.6</v>
      </c>
      <c r="H158" s="145">
        <v>96.7</v>
      </c>
      <c r="I158" s="144" t="s">
        <v>13</v>
      </c>
      <c r="J158" s="144" t="s">
        <v>99</v>
      </c>
      <c r="K158" s="144"/>
      <c r="L158" s="144" t="s">
        <v>13</v>
      </c>
    </row>
    <row r="159" spans="1:12">
      <c r="A159" s="144" t="s">
        <v>485</v>
      </c>
      <c r="B159" s="144" t="s">
        <v>486</v>
      </c>
      <c r="C159" s="144" t="s">
        <v>487</v>
      </c>
      <c r="D159" s="145">
        <v>401.5</v>
      </c>
      <c r="E159" s="145">
        <v>559.70000000000005</v>
      </c>
      <c r="F159" s="145">
        <v>333.8</v>
      </c>
      <c r="G159" s="145">
        <v>-41.2</v>
      </c>
      <c r="H159" s="145">
        <v>99</v>
      </c>
      <c r="I159" s="144" t="s">
        <v>13</v>
      </c>
      <c r="J159" s="144" t="s">
        <v>13</v>
      </c>
      <c r="K159" s="144"/>
      <c r="L159" s="144" t="s">
        <v>13</v>
      </c>
    </row>
    <row r="160" spans="1:12">
      <c r="A160" s="144" t="s">
        <v>488</v>
      </c>
      <c r="B160" s="144" t="s">
        <v>489</v>
      </c>
      <c r="C160" s="144" t="s">
        <v>490</v>
      </c>
      <c r="D160" s="145">
        <v>561.79999999999995</v>
      </c>
      <c r="E160" s="145">
        <v>654</v>
      </c>
      <c r="F160" s="145">
        <v>175.2</v>
      </c>
      <c r="G160" s="145">
        <v>-44.2</v>
      </c>
      <c r="H160" s="145">
        <v>113</v>
      </c>
      <c r="I160" s="144" t="s">
        <v>13</v>
      </c>
      <c r="J160" s="144" t="s">
        <v>99</v>
      </c>
      <c r="K160" s="144"/>
      <c r="L160" s="144" t="s">
        <v>13</v>
      </c>
    </row>
    <row r="161" spans="1:12">
      <c r="A161" s="144" t="s">
        <v>491</v>
      </c>
      <c r="B161" s="144" t="s">
        <v>492</v>
      </c>
      <c r="C161" s="144" t="s">
        <v>493</v>
      </c>
      <c r="D161" s="145">
        <v>443.6</v>
      </c>
      <c r="E161" s="145">
        <v>552.9</v>
      </c>
      <c r="F161" s="145">
        <v>387.3</v>
      </c>
      <c r="G161" s="145">
        <v>-43.5</v>
      </c>
      <c r="H161" s="145">
        <v>91</v>
      </c>
      <c r="I161" s="144" t="s">
        <v>13</v>
      </c>
      <c r="J161" s="144" t="s">
        <v>14</v>
      </c>
      <c r="K161" s="144"/>
      <c r="L161" s="144" t="s">
        <v>13</v>
      </c>
    </row>
    <row r="162" spans="1:12">
      <c r="A162" s="144" t="s">
        <v>494</v>
      </c>
      <c r="B162" s="144" t="s">
        <v>495</v>
      </c>
      <c r="C162" s="144" t="s">
        <v>496</v>
      </c>
      <c r="D162" s="145">
        <v>469.7</v>
      </c>
      <c r="E162" s="145">
        <v>558.79999999999995</v>
      </c>
      <c r="F162" s="145">
        <v>326</v>
      </c>
      <c r="G162" s="145">
        <v>-41.8</v>
      </c>
      <c r="H162" s="145">
        <v>96.6</v>
      </c>
      <c r="I162" s="144" t="s">
        <v>99</v>
      </c>
      <c r="J162" s="144" t="s">
        <v>99</v>
      </c>
      <c r="K162" s="144"/>
      <c r="L162" s="144" t="s">
        <v>13</v>
      </c>
    </row>
    <row r="163" spans="1:12">
      <c r="A163" s="144" t="s">
        <v>497</v>
      </c>
      <c r="B163" s="144" t="s">
        <v>498</v>
      </c>
      <c r="C163" s="144" t="s">
        <v>499</v>
      </c>
      <c r="D163" s="145">
        <v>312.60000000000002</v>
      </c>
      <c r="E163" s="145">
        <v>414.2</v>
      </c>
      <c r="F163" s="145">
        <v>340.1</v>
      </c>
      <c r="G163" s="145">
        <v>-48.7</v>
      </c>
      <c r="H163" s="145">
        <v>103.1</v>
      </c>
      <c r="I163" s="144" t="s">
        <v>13</v>
      </c>
      <c r="J163" s="144" t="s">
        <v>99</v>
      </c>
      <c r="K163" s="144"/>
      <c r="L163" s="146" t="s">
        <v>14</v>
      </c>
    </row>
    <row r="164" spans="1:12">
      <c r="A164" s="144" t="s">
        <v>500</v>
      </c>
      <c r="B164" s="144" t="s">
        <v>501</v>
      </c>
      <c r="C164" s="144" t="s">
        <v>502</v>
      </c>
      <c r="D164" s="145">
        <v>386.7</v>
      </c>
      <c r="E164" s="145">
        <v>556.70000000000005</v>
      </c>
      <c r="F164" s="145">
        <v>462.5</v>
      </c>
      <c r="G164" s="145">
        <v>-42</v>
      </c>
      <c r="H164" s="145">
        <v>108</v>
      </c>
      <c r="I164" s="144" t="s">
        <v>13</v>
      </c>
      <c r="J164" s="144" t="s">
        <v>99</v>
      </c>
      <c r="K164" s="144"/>
      <c r="L164" s="144" t="s">
        <v>13</v>
      </c>
    </row>
    <row r="165" spans="1:12">
      <c r="A165" s="144" t="s">
        <v>503</v>
      </c>
      <c r="B165" s="144" t="s">
        <v>504</v>
      </c>
      <c r="C165" s="144" t="s">
        <v>505</v>
      </c>
      <c r="D165" s="145">
        <v>410.8</v>
      </c>
      <c r="E165" s="145">
        <v>582.29999999999995</v>
      </c>
      <c r="F165" s="145">
        <v>487.3</v>
      </c>
      <c r="G165" s="145">
        <v>-41.1</v>
      </c>
      <c r="H165" s="145">
        <v>94.3</v>
      </c>
      <c r="I165" s="144" t="s">
        <v>13</v>
      </c>
      <c r="J165" s="144" t="s">
        <v>99</v>
      </c>
      <c r="K165" s="144"/>
      <c r="L165" s="144" t="s">
        <v>13</v>
      </c>
    </row>
    <row r="166" spans="1:12">
      <c r="A166" s="144" t="s">
        <v>506</v>
      </c>
      <c r="B166" s="144" t="s">
        <v>507</v>
      </c>
      <c r="C166" s="144" t="s">
        <v>508</v>
      </c>
      <c r="D166" s="145">
        <v>333.8</v>
      </c>
      <c r="E166" s="145">
        <v>453.3</v>
      </c>
      <c r="F166" s="145">
        <v>309.3</v>
      </c>
      <c r="G166" s="145">
        <v>-42.1</v>
      </c>
      <c r="H166" s="145">
        <v>99.6</v>
      </c>
      <c r="I166" s="144" t="s">
        <v>13</v>
      </c>
      <c r="J166" s="144" t="s">
        <v>99</v>
      </c>
      <c r="K166" s="144"/>
      <c r="L166" s="146" t="s">
        <v>14</v>
      </c>
    </row>
    <row r="167" spans="1:12">
      <c r="A167" s="144" t="s">
        <v>509</v>
      </c>
      <c r="B167" s="144" t="s">
        <v>510</v>
      </c>
      <c r="C167" s="144" t="s">
        <v>511</v>
      </c>
      <c r="D167" s="145">
        <v>467.8</v>
      </c>
      <c r="E167" s="145">
        <v>600.70000000000005</v>
      </c>
      <c r="F167" s="145">
        <v>543.29999999999995</v>
      </c>
      <c r="G167" s="145">
        <v>-39.700000000000003</v>
      </c>
      <c r="H167" s="145">
        <v>93.3</v>
      </c>
      <c r="I167" s="144" t="s">
        <v>13</v>
      </c>
      <c r="J167" s="144" t="s">
        <v>99</v>
      </c>
      <c r="K167" s="144"/>
      <c r="L167" s="144" t="s">
        <v>13</v>
      </c>
    </row>
    <row r="168" spans="1:12">
      <c r="A168" s="144" t="s">
        <v>512</v>
      </c>
      <c r="B168" s="144" t="s">
        <v>513</v>
      </c>
      <c r="C168" s="144" t="s">
        <v>514</v>
      </c>
      <c r="D168" s="145">
        <v>384.8</v>
      </c>
      <c r="E168" s="145">
        <v>456.1</v>
      </c>
      <c r="F168" s="145">
        <v>272.7</v>
      </c>
      <c r="G168" s="145">
        <v>-44.3</v>
      </c>
      <c r="H168" s="145">
        <v>98.4</v>
      </c>
      <c r="I168" s="144" t="s">
        <v>13</v>
      </c>
      <c r="J168" s="144" t="s">
        <v>99</v>
      </c>
      <c r="K168" s="144"/>
      <c r="L168" s="144" t="s">
        <v>13</v>
      </c>
    </row>
    <row r="169" spans="1:12">
      <c r="A169" s="144" t="s">
        <v>515</v>
      </c>
      <c r="B169" s="144" t="s">
        <v>516</v>
      </c>
      <c r="C169" s="144" t="s">
        <v>517</v>
      </c>
      <c r="D169" s="145">
        <v>441.7</v>
      </c>
      <c r="E169" s="145">
        <v>670.8</v>
      </c>
      <c r="F169" s="145">
        <v>114</v>
      </c>
      <c r="G169" s="145">
        <v>-36.799999999999997</v>
      </c>
      <c r="H169" s="145">
        <v>88.8</v>
      </c>
      <c r="I169" s="144" t="s">
        <v>13</v>
      </c>
      <c r="J169" s="144" t="s">
        <v>14</v>
      </c>
      <c r="K169" s="144"/>
      <c r="L169" s="144" t="s">
        <v>13</v>
      </c>
    </row>
    <row r="170" spans="1:12">
      <c r="A170" s="144" t="s">
        <v>518</v>
      </c>
      <c r="B170" s="144" t="s">
        <v>519</v>
      </c>
      <c r="C170" s="144" t="s">
        <v>520</v>
      </c>
      <c r="D170" s="145">
        <v>428.5</v>
      </c>
      <c r="E170" s="145">
        <v>604.6</v>
      </c>
      <c r="F170" s="145">
        <v>456.4</v>
      </c>
      <c r="G170" s="145">
        <v>-42.7</v>
      </c>
      <c r="H170" s="145">
        <v>107.7</v>
      </c>
      <c r="I170" s="144" t="s">
        <v>13</v>
      </c>
      <c r="J170" s="144" t="s">
        <v>99</v>
      </c>
      <c r="K170" s="144"/>
      <c r="L170" s="144" t="s">
        <v>13</v>
      </c>
    </row>
    <row r="171" spans="1:12">
      <c r="A171" s="144" t="s">
        <v>521</v>
      </c>
      <c r="B171" s="144" t="s">
        <v>522</v>
      </c>
      <c r="C171" s="144" t="s">
        <v>523</v>
      </c>
      <c r="D171" s="145">
        <v>545.70000000000005</v>
      </c>
      <c r="E171" s="145">
        <v>735.8</v>
      </c>
      <c r="F171" s="145">
        <v>245.5</v>
      </c>
      <c r="G171" s="145">
        <v>-35</v>
      </c>
      <c r="H171" s="145">
        <v>111.8</v>
      </c>
      <c r="I171" s="144" t="s">
        <v>13</v>
      </c>
      <c r="J171" s="144" t="s">
        <v>13</v>
      </c>
      <c r="K171" s="144"/>
      <c r="L171" s="144" t="s">
        <v>13</v>
      </c>
    </row>
    <row r="172" spans="1:12">
      <c r="A172" s="144" t="s">
        <v>524</v>
      </c>
      <c r="B172" s="144" t="s">
        <v>525</v>
      </c>
      <c r="C172" s="144" t="s">
        <v>526</v>
      </c>
      <c r="D172" s="145">
        <v>444.3</v>
      </c>
      <c r="E172" s="145">
        <v>582.20000000000005</v>
      </c>
      <c r="F172" s="145">
        <v>163.5</v>
      </c>
      <c r="G172" s="145">
        <v>-47.8</v>
      </c>
      <c r="H172" s="145">
        <v>86.6</v>
      </c>
      <c r="I172" s="144" t="s">
        <v>13</v>
      </c>
      <c r="J172" s="144" t="s">
        <v>13</v>
      </c>
      <c r="K172" s="144"/>
      <c r="L172" s="144" t="s">
        <v>13</v>
      </c>
    </row>
    <row r="173" spans="1:12">
      <c r="A173" s="144" t="s">
        <v>527</v>
      </c>
      <c r="B173" s="144" t="s">
        <v>528</v>
      </c>
      <c r="C173" s="144" t="s">
        <v>529</v>
      </c>
      <c r="D173" s="145">
        <v>375.3</v>
      </c>
      <c r="E173" s="145">
        <v>458.4</v>
      </c>
      <c r="F173" s="145">
        <v>314.3</v>
      </c>
      <c r="G173" s="145">
        <v>-48.7</v>
      </c>
      <c r="H173" s="145">
        <v>87.3</v>
      </c>
      <c r="I173" s="144" t="s">
        <v>13</v>
      </c>
      <c r="J173" s="144" t="s">
        <v>13</v>
      </c>
      <c r="K173" s="144"/>
      <c r="L173" s="144" t="s">
        <v>13</v>
      </c>
    </row>
    <row r="174" spans="1:12">
      <c r="A174" s="144" t="s">
        <v>530</v>
      </c>
      <c r="B174" s="144" t="s">
        <v>531</v>
      </c>
      <c r="C174" s="144" t="s">
        <v>532</v>
      </c>
      <c r="D174" s="145">
        <v>621.4</v>
      </c>
      <c r="E174" s="145">
        <v>695.4</v>
      </c>
      <c r="F174" s="145">
        <v>29.8</v>
      </c>
      <c r="G174" s="145">
        <v>-37.9</v>
      </c>
      <c r="H174" s="145">
        <v>98.5</v>
      </c>
      <c r="I174" s="144" t="s">
        <v>13</v>
      </c>
      <c r="J174" s="144" t="s">
        <v>14</v>
      </c>
      <c r="K174" s="144"/>
      <c r="L174" s="144" t="s">
        <v>13</v>
      </c>
    </row>
    <row r="175" spans="1:12">
      <c r="A175" s="144" t="s">
        <v>533</v>
      </c>
      <c r="B175" s="144" t="s">
        <v>534</v>
      </c>
      <c r="C175" s="144" t="s">
        <v>535</v>
      </c>
      <c r="D175" s="145">
        <v>390.6</v>
      </c>
      <c r="E175" s="145">
        <v>515.29999999999995</v>
      </c>
      <c r="F175" s="145">
        <v>306.60000000000002</v>
      </c>
      <c r="G175" s="145">
        <v>-41.3</v>
      </c>
      <c r="H175" s="145">
        <v>99.4</v>
      </c>
      <c r="I175" s="144" t="s">
        <v>13</v>
      </c>
      <c r="J175" s="144" t="s">
        <v>14</v>
      </c>
      <c r="K175" s="144"/>
      <c r="L175" s="144" t="s">
        <v>13</v>
      </c>
    </row>
    <row r="176" spans="1:12">
      <c r="A176" s="144" t="s">
        <v>536</v>
      </c>
      <c r="B176" s="144" t="s">
        <v>537</v>
      </c>
      <c r="C176" s="144" t="s">
        <v>538</v>
      </c>
      <c r="D176" s="145">
        <v>298.89999999999998</v>
      </c>
      <c r="E176" s="145">
        <v>429.4</v>
      </c>
      <c r="F176" s="145">
        <v>315.5</v>
      </c>
      <c r="G176" s="145">
        <v>-42.7</v>
      </c>
      <c r="H176" s="145">
        <v>93.7</v>
      </c>
      <c r="I176" s="144" t="s">
        <v>13</v>
      </c>
      <c r="J176" s="144" t="s">
        <v>99</v>
      </c>
      <c r="K176" s="144"/>
      <c r="L176" s="146" t="s">
        <v>14</v>
      </c>
    </row>
    <row r="177" spans="1:12">
      <c r="A177" s="144" t="s">
        <v>539</v>
      </c>
      <c r="B177" s="144" t="s">
        <v>540</v>
      </c>
      <c r="C177" s="144" t="s">
        <v>541</v>
      </c>
      <c r="D177" s="145">
        <v>379.2</v>
      </c>
      <c r="E177" s="145">
        <v>451.2</v>
      </c>
      <c r="F177" s="145">
        <v>408</v>
      </c>
      <c r="G177" s="145">
        <v>-45.5</v>
      </c>
      <c r="H177" s="145">
        <v>98.9</v>
      </c>
      <c r="I177" s="144" t="s">
        <v>13</v>
      </c>
      <c r="J177" s="144" t="s">
        <v>99</v>
      </c>
      <c r="K177" s="144"/>
      <c r="L177" s="144" t="s">
        <v>13</v>
      </c>
    </row>
    <row r="178" spans="1:12">
      <c r="A178" s="144" t="s">
        <v>542</v>
      </c>
      <c r="B178" s="144" t="s">
        <v>543</v>
      </c>
      <c r="C178" s="144" t="s">
        <v>544</v>
      </c>
      <c r="D178" s="145">
        <v>526.6</v>
      </c>
      <c r="E178" s="145">
        <v>661.6</v>
      </c>
      <c r="F178" s="145">
        <v>279.7</v>
      </c>
      <c r="G178" s="145">
        <v>-38.6</v>
      </c>
      <c r="H178" s="145">
        <v>84.5</v>
      </c>
      <c r="I178" s="144" t="s">
        <v>13</v>
      </c>
      <c r="J178" s="144" t="s">
        <v>13</v>
      </c>
      <c r="K178" s="144"/>
      <c r="L178" s="144" t="s">
        <v>13</v>
      </c>
    </row>
    <row r="179" spans="1:12">
      <c r="A179" s="144" t="s">
        <v>545</v>
      </c>
      <c r="B179" s="144" t="s">
        <v>546</v>
      </c>
      <c r="C179" s="144" t="s">
        <v>547</v>
      </c>
      <c r="D179" s="145">
        <v>445.6</v>
      </c>
      <c r="E179" s="145">
        <v>633.70000000000005</v>
      </c>
      <c r="F179" s="145">
        <v>500.1</v>
      </c>
      <c r="G179" s="145">
        <v>-40.700000000000003</v>
      </c>
      <c r="H179" s="145">
        <v>87.7</v>
      </c>
      <c r="I179" s="144" t="s">
        <v>99</v>
      </c>
      <c r="J179" s="144" t="s">
        <v>99</v>
      </c>
      <c r="K179" s="144"/>
      <c r="L179" s="144" t="s">
        <v>13</v>
      </c>
    </row>
    <row r="180" spans="1:12">
      <c r="A180" s="144" t="s">
        <v>548</v>
      </c>
      <c r="B180" s="144" t="s">
        <v>549</v>
      </c>
      <c r="C180" s="144" t="s">
        <v>550</v>
      </c>
      <c r="D180" s="145">
        <v>476.4</v>
      </c>
      <c r="E180" s="145">
        <v>609.29999999999995</v>
      </c>
      <c r="F180" s="145">
        <v>416.2</v>
      </c>
      <c r="G180" s="145">
        <v>-41</v>
      </c>
      <c r="H180" s="145">
        <v>103.8</v>
      </c>
      <c r="I180" s="144" t="s">
        <v>13</v>
      </c>
      <c r="J180" s="144" t="s">
        <v>13</v>
      </c>
      <c r="K180" s="144"/>
      <c r="L180" s="144" t="s">
        <v>13</v>
      </c>
    </row>
    <row r="181" spans="1:12">
      <c r="A181" s="144" t="s">
        <v>551</v>
      </c>
      <c r="B181" s="144" t="s">
        <v>552</v>
      </c>
      <c r="C181" s="144" t="s">
        <v>553</v>
      </c>
      <c r="D181" s="145">
        <v>581</v>
      </c>
      <c r="E181" s="145">
        <v>703</v>
      </c>
      <c r="F181" s="145">
        <v>20.9</v>
      </c>
      <c r="G181" s="145">
        <v>-38.299999999999997</v>
      </c>
      <c r="H181" s="145">
        <v>101.9</v>
      </c>
      <c r="I181" s="144" t="s">
        <v>13</v>
      </c>
      <c r="J181" s="144" t="s">
        <v>14</v>
      </c>
      <c r="K181" s="144"/>
      <c r="L181" s="144" t="s">
        <v>13</v>
      </c>
    </row>
    <row r="182" spans="1:12">
      <c r="A182" s="144" t="s">
        <v>554</v>
      </c>
      <c r="B182" s="144" t="s">
        <v>555</v>
      </c>
      <c r="C182" s="144" t="s">
        <v>556</v>
      </c>
      <c r="D182" s="145">
        <v>496.6</v>
      </c>
      <c r="E182" s="145">
        <v>655.5</v>
      </c>
      <c r="F182" s="145">
        <v>60</v>
      </c>
      <c r="G182" s="145">
        <v>-34.299999999999997</v>
      </c>
      <c r="H182" s="145">
        <v>101.1</v>
      </c>
      <c r="I182" s="144" t="s">
        <v>13</v>
      </c>
      <c r="J182" s="144" t="s">
        <v>301</v>
      </c>
      <c r="K182" s="144"/>
      <c r="L182" s="144" t="s">
        <v>13</v>
      </c>
    </row>
    <row r="183" spans="1:12">
      <c r="A183" s="144" t="s">
        <v>557</v>
      </c>
      <c r="B183" s="144" t="s">
        <v>558</v>
      </c>
      <c r="C183" s="144" t="s">
        <v>559</v>
      </c>
      <c r="D183" s="145">
        <v>446.9</v>
      </c>
      <c r="E183" s="145">
        <v>663.5</v>
      </c>
      <c r="F183" s="145">
        <v>513.79999999999995</v>
      </c>
      <c r="G183" s="145">
        <v>-41.9</v>
      </c>
      <c r="H183" s="145">
        <v>99.7</v>
      </c>
      <c r="I183" s="144" t="s">
        <v>13</v>
      </c>
      <c r="J183" s="144" t="s">
        <v>13</v>
      </c>
      <c r="K183" s="144"/>
      <c r="L183" s="144" t="s">
        <v>13</v>
      </c>
    </row>
    <row r="184" spans="1:12">
      <c r="A184" s="144" t="s">
        <v>560</v>
      </c>
      <c r="B184" s="144" t="s">
        <v>561</v>
      </c>
      <c r="C184" s="144" t="s">
        <v>562</v>
      </c>
      <c r="D184" s="145">
        <v>524.79999999999995</v>
      </c>
      <c r="E184" s="145">
        <v>611.4</v>
      </c>
      <c r="F184" s="145">
        <v>139</v>
      </c>
      <c r="G184" s="145">
        <v>-38</v>
      </c>
      <c r="H184" s="145">
        <v>112.2</v>
      </c>
      <c r="I184" s="144" t="s">
        <v>13</v>
      </c>
      <c r="J184" s="144" t="s">
        <v>14</v>
      </c>
      <c r="K184" s="144"/>
      <c r="L184" s="144" t="s">
        <v>13</v>
      </c>
    </row>
    <row r="185" spans="1:12">
      <c r="A185" s="144" t="s">
        <v>563</v>
      </c>
      <c r="B185" s="144" t="s">
        <v>564</v>
      </c>
      <c r="C185" s="144" t="s">
        <v>565</v>
      </c>
      <c r="D185" s="145">
        <v>415.8</v>
      </c>
      <c r="E185" s="145">
        <v>598</v>
      </c>
      <c r="F185" s="145">
        <v>462.7</v>
      </c>
      <c r="G185" s="145">
        <v>-40.6</v>
      </c>
      <c r="H185" s="145">
        <v>95.1</v>
      </c>
      <c r="I185" s="144" t="s">
        <v>13</v>
      </c>
      <c r="J185" s="144" t="s">
        <v>99</v>
      </c>
      <c r="K185" s="144"/>
      <c r="L185" s="144" t="s">
        <v>13</v>
      </c>
    </row>
    <row r="186" spans="1:12">
      <c r="A186" s="144" t="s">
        <v>566</v>
      </c>
      <c r="B186" s="144" t="s">
        <v>567</v>
      </c>
      <c r="C186" s="144" t="s">
        <v>568</v>
      </c>
      <c r="D186" s="145">
        <v>640.1</v>
      </c>
      <c r="E186" s="145">
        <v>747</v>
      </c>
      <c r="F186" s="145">
        <v>51</v>
      </c>
      <c r="G186" s="145">
        <v>-38.299999999999997</v>
      </c>
      <c r="H186" s="145">
        <v>94.4</v>
      </c>
      <c r="I186" s="144" t="s">
        <v>13</v>
      </c>
      <c r="J186" s="144" t="s">
        <v>14</v>
      </c>
      <c r="K186" s="144"/>
      <c r="L186" s="144" t="s">
        <v>13</v>
      </c>
    </row>
    <row r="187" spans="1:12">
      <c r="A187" s="144" t="s">
        <v>569</v>
      </c>
      <c r="B187" s="144" t="s">
        <v>570</v>
      </c>
      <c r="C187" s="144" t="s">
        <v>571</v>
      </c>
      <c r="D187" s="145">
        <v>465.5</v>
      </c>
      <c r="E187" s="145">
        <v>470.4</v>
      </c>
      <c r="F187" s="145">
        <v>350.5</v>
      </c>
      <c r="G187" s="145">
        <v>-46.1</v>
      </c>
      <c r="H187" s="145">
        <v>111.2</v>
      </c>
      <c r="I187" s="144" t="s">
        <v>13</v>
      </c>
      <c r="J187" s="144" t="s">
        <v>13</v>
      </c>
      <c r="K187" s="144"/>
      <c r="L187" s="144" t="s">
        <v>13</v>
      </c>
    </row>
    <row r="188" spans="1:12">
      <c r="A188" s="144" t="s">
        <v>572</v>
      </c>
      <c r="B188" s="144" t="s">
        <v>573</v>
      </c>
      <c r="C188" s="144" t="s">
        <v>574</v>
      </c>
      <c r="D188" s="145">
        <v>371.5</v>
      </c>
      <c r="E188" s="145">
        <v>601.29999999999995</v>
      </c>
      <c r="F188" s="145">
        <v>354.1</v>
      </c>
      <c r="G188" s="145">
        <v>-37.799999999999997</v>
      </c>
      <c r="H188" s="145">
        <v>108.4</v>
      </c>
      <c r="I188" s="144" t="s">
        <v>13</v>
      </c>
      <c r="J188" s="144" t="s">
        <v>13</v>
      </c>
      <c r="K188" s="144"/>
      <c r="L188" s="146" t="s">
        <v>14</v>
      </c>
    </row>
    <row r="189" spans="1:12">
      <c r="A189" s="144" t="s">
        <v>575</v>
      </c>
      <c r="B189" s="144" t="s">
        <v>576</v>
      </c>
      <c r="C189" s="144" t="s">
        <v>577</v>
      </c>
      <c r="D189" s="145">
        <v>764.3</v>
      </c>
      <c r="E189" s="145">
        <v>801.5</v>
      </c>
      <c r="F189" s="145">
        <v>737</v>
      </c>
      <c r="G189" s="145">
        <v>-39.4</v>
      </c>
      <c r="H189" s="145">
        <v>108.9</v>
      </c>
      <c r="I189" s="144" t="s">
        <v>13</v>
      </c>
      <c r="J189" s="144" t="s">
        <v>13</v>
      </c>
      <c r="K189" s="144"/>
      <c r="L189" s="144" t="s">
        <v>13</v>
      </c>
    </row>
    <row r="190" spans="1:12">
      <c r="A190" s="144" t="s">
        <v>578</v>
      </c>
      <c r="B190" s="144" t="s">
        <v>579</v>
      </c>
      <c r="C190" s="144" t="s">
        <v>580</v>
      </c>
      <c r="D190" s="145">
        <v>443.6</v>
      </c>
      <c r="E190" s="145">
        <v>375.4</v>
      </c>
      <c r="F190" s="145">
        <v>375.4</v>
      </c>
      <c r="G190" s="145">
        <v>-44</v>
      </c>
      <c r="H190" s="145">
        <v>99.1</v>
      </c>
      <c r="I190" s="144" t="s">
        <v>13</v>
      </c>
      <c r="J190" s="144" t="s">
        <v>13</v>
      </c>
      <c r="K190" s="144"/>
      <c r="L190" s="144" t="s">
        <v>13</v>
      </c>
    </row>
  </sheetData>
  <autoFilter ref="A1:L190" xr:uid="{00000000-0009-0000-0000-000008000000}"/>
  <phoneticPr fontId="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16"/>
  <sheetViews>
    <sheetView workbookViewId="0">
      <pane xSplit="2" ySplit="1" topLeftCell="C2" activePane="bottomRight" state="frozen"/>
      <selection pane="topRight"/>
      <selection pane="bottomLeft"/>
      <selection pane="bottomRight" activeCell="C12" sqref="C12"/>
    </sheetView>
  </sheetViews>
  <sheetFormatPr defaultRowHeight="16.5"/>
  <cols>
    <col min="1" max="2" width="16" customWidth="1"/>
    <col min="3" max="8" width="14" customWidth="1"/>
  </cols>
  <sheetData>
    <row r="1" spans="1:8">
      <c r="A1" s="143" t="s">
        <v>1</v>
      </c>
      <c r="B1" s="143" t="s">
        <v>0</v>
      </c>
      <c r="C1" s="143" t="s">
        <v>839</v>
      </c>
      <c r="D1" s="143" t="s">
        <v>840</v>
      </c>
      <c r="E1" s="143" t="s">
        <v>5</v>
      </c>
      <c r="F1" s="143" t="s">
        <v>6</v>
      </c>
      <c r="G1" s="143" t="s">
        <v>979</v>
      </c>
      <c r="H1" s="143" t="s">
        <v>980</v>
      </c>
    </row>
    <row r="2" spans="1:8">
      <c r="A2" s="144" t="s">
        <v>11</v>
      </c>
      <c r="B2" s="144" t="s">
        <v>10</v>
      </c>
      <c r="C2" s="145">
        <v>478.3</v>
      </c>
      <c r="D2" s="145">
        <v>398.4</v>
      </c>
      <c r="E2" s="145">
        <v>-37.1</v>
      </c>
      <c r="F2" s="145">
        <v>101.4</v>
      </c>
      <c r="G2" s="144" t="s">
        <v>13</v>
      </c>
      <c r="H2" s="144" t="s">
        <v>13</v>
      </c>
    </row>
    <row r="3" spans="1:8">
      <c r="A3" s="144" t="s">
        <v>616</v>
      </c>
      <c r="B3" s="144" t="s">
        <v>615</v>
      </c>
      <c r="C3" s="144"/>
      <c r="D3" s="144"/>
      <c r="E3" s="144"/>
      <c r="F3" s="144"/>
      <c r="G3" s="144"/>
      <c r="H3" s="144"/>
    </row>
    <row r="4" spans="1:8">
      <c r="A4" s="144" t="s">
        <v>16</v>
      </c>
      <c r="B4" s="144" t="s">
        <v>15</v>
      </c>
      <c r="C4" s="145">
        <v>589.29999999999995</v>
      </c>
      <c r="D4" s="145">
        <v>545.1</v>
      </c>
      <c r="E4" s="145">
        <v>-38</v>
      </c>
      <c r="F4" s="145">
        <v>89.3</v>
      </c>
      <c r="G4" s="144" t="s">
        <v>13</v>
      </c>
      <c r="H4" s="144" t="s">
        <v>13</v>
      </c>
    </row>
    <row r="5" spans="1:8">
      <c r="A5" s="144" t="s">
        <v>19</v>
      </c>
      <c r="B5" s="144" t="s">
        <v>18</v>
      </c>
      <c r="C5" s="145">
        <v>545.29999999999995</v>
      </c>
      <c r="D5" s="145">
        <v>690.3</v>
      </c>
      <c r="E5" s="145">
        <v>-35.700000000000003</v>
      </c>
      <c r="F5" s="145">
        <v>110.8</v>
      </c>
      <c r="G5" s="144" t="s">
        <v>13</v>
      </c>
      <c r="H5" s="144" t="s">
        <v>13</v>
      </c>
    </row>
    <row r="6" spans="1:8">
      <c r="A6" s="144" t="s">
        <v>22</v>
      </c>
      <c r="B6" s="144" t="s">
        <v>21</v>
      </c>
      <c r="C6" s="145">
        <v>601.6</v>
      </c>
      <c r="D6" s="145">
        <v>655</v>
      </c>
      <c r="E6" s="145">
        <v>-35.9</v>
      </c>
      <c r="F6" s="145">
        <v>101.8</v>
      </c>
      <c r="G6" s="144" t="s">
        <v>13</v>
      </c>
      <c r="H6" s="144" t="s">
        <v>13</v>
      </c>
    </row>
    <row r="7" spans="1:8">
      <c r="A7" s="144" t="s">
        <v>25</v>
      </c>
      <c r="B7" s="144" t="s">
        <v>24</v>
      </c>
      <c r="C7" s="145">
        <v>584.70000000000005</v>
      </c>
      <c r="D7" s="145">
        <v>412.3</v>
      </c>
      <c r="E7" s="145">
        <v>-32.1</v>
      </c>
      <c r="F7" s="145">
        <v>94.7</v>
      </c>
      <c r="G7" s="144" t="s">
        <v>13</v>
      </c>
      <c r="H7" s="144" t="s">
        <v>13</v>
      </c>
    </row>
    <row r="8" spans="1:8">
      <c r="A8" s="144" t="s">
        <v>28</v>
      </c>
      <c r="B8" s="144" t="s">
        <v>27</v>
      </c>
      <c r="C8" s="145">
        <v>609</v>
      </c>
      <c r="D8" s="145">
        <v>792.5</v>
      </c>
      <c r="E8" s="145">
        <v>-33.799999999999997</v>
      </c>
      <c r="F8" s="145">
        <v>88.9</v>
      </c>
      <c r="G8" s="144" t="s">
        <v>13</v>
      </c>
      <c r="H8" s="144" t="s">
        <v>13</v>
      </c>
    </row>
    <row r="9" spans="1:8">
      <c r="A9" s="144" t="s">
        <v>31</v>
      </c>
      <c r="B9" s="144" t="s">
        <v>30</v>
      </c>
      <c r="C9" s="145">
        <v>547.1</v>
      </c>
      <c r="D9" s="145">
        <v>504.6</v>
      </c>
      <c r="E9" s="145">
        <v>-34.4</v>
      </c>
      <c r="F9" s="145">
        <v>139.19999999999999</v>
      </c>
      <c r="G9" s="144" t="s">
        <v>13</v>
      </c>
      <c r="H9" s="144" t="s">
        <v>13</v>
      </c>
    </row>
    <row r="10" spans="1:8">
      <c r="A10" s="144" t="s">
        <v>34</v>
      </c>
      <c r="B10" s="144" t="s">
        <v>33</v>
      </c>
      <c r="C10" s="145">
        <v>120.7</v>
      </c>
      <c r="D10" s="145">
        <v>125.5</v>
      </c>
      <c r="E10" s="145">
        <v>-41.7</v>
      </c>
      <c r="F10" s="145">
        <v>86.9</v>
      </c>
      <c r="G10" s="146" t="s">
        <v>14</v>
      </c>
      <c r="H10" s="146" t="s">
        <v>14</v>
      </c>
    </row>
    <row r="11" spans="1:8">
      <c r="A11" s="144" t="s">
        <v>37</v>
      </c>
      <c r="B11" s="144" t="s">
        <v>36</v>
      </c>
      <c r="C11" s="145">
        <v>666.6</v>
      </c>
      <c r="D11" s="145">
        <v>501.7</v>
      </c>
      <c r="E11" s="145">
        <v>-39</v>
      </c>
      <c r="F11" s="145">
        <v>89.6</v>
      </c>
      <c r="G11" s="144" t="s">
        <v>13</v>
      </c>
      <c r="H11" s="144" t="s">
        <v>13</v>
      </c>
    </row>
    <row r="12" spans="1:8">
      <c r="A12" s="144" t="s">
        <v>40</v>
      </c>
      <c r="B12" s="144" t="s">
        <v>39</v>
      </c>
      <c r="C12" s="145">
        <v>580.79999999999995</v>
      </c>
      <c r="D12" s="145">
        <v>483.7</v>
      </c>
      <c r="E12" s="145">
        <v>-40.799999999999997</v>
      </c>
      <c r="F12" s="145">
        <v>95.1</v>
      </c>
      <c r="G12" s="144" t="s">
        <v>13</v>
      </c>
      <c r="H12" s="144" t="s">
        <v>13</v>
      </c>
    </row>
    <row r="13" spans="1:8">
      <c r="A13" s="144" t="s">
        <v>43</v>
      </c>
      <c r="B13" s="144" t="s">
        <v>42</v>
      </c>
      <c r="C13" s="145">
        <v>620</v>
      </c>
      <c r="D13" s="145">
        <v>450.3</v>
      </c>
      <c r="E13" s="145">
        <v>-36.4</v>
      </c>
      <c r="F13" s="145">
        <v>93.8</v>
      </c>
      <c r="G13" s="144" t="s">
        <v>13</v>
      </c>
      <c r="H13" s="144" t="s">
        <v>13</v>
      </c>
    </row>
    <row r="14" spans="1:8">
      <c r="A14" s="144" t="s">
        <v>824</v>
      </c>
      <c r="B14" s="144" t="s">
        <v>823</v>
      </c>
      <c r="C14" s="144"/>
      <c r="D14" s="144"/>
      <c r="E14" s="144"/>
      <c r="F14" s="144"/>
      <c r="G14" s="144"/>
      <c r="H14" s="144"/>
    </row>
    <row r="15" spans="1:8">
      <c r="A15" s="144" t="s">
        <v>828</v>
      </c>
      <c r="B15" s="144" t="s">
        <v>827</v>
      </c>
      <c r="C15" s="144"/>
      <c r="D15" s="144"/>
      <c r="E15" s="144"/>
      <c r="F15" s="144"/>
      <c r="G15" s="144"/>
      <c r="H15" s="144"/>
    </row>
    <row r="16" spans="1:8">
      <c r="A16" s="144" t="s">
        <v>46</v>
      </c>
      <c r="B16" s="144" t="s">
        <v>45</v>
      </c>
      <c r="C16" s="145">
        <v>527.70000000000005</v>
      </c>
      <c r="D16" s="145">
        <v>649.70000000000005</v>
      </c>
      <c r="E16" s="145">
        <v>-34.299999999999997</v>
      </c>
      <c r="F16" s="145">
        <v>76.2</v>
      </c>
      <c r="G16" s="144" t="s">
        <v>13</v>
      </c>
      <c r="H16" s="144" t="s">
        <v>13</v>
      </c>
    </row>
    <row r="17" spans="1:8">
      <c r="A17" s="144" t="s">
        <v>596</v>
      </c>
      <c r="B17" s="144" t="s">
        <v>595</v>
      </c>
      <c r="C17" s="144"/>
      <c r="D17" s="144"/>
      <c r="E17" s="144"/>
      <c r="F17" s="144"/>
      <c r="G17" s="144"/>
      <c r="H17" s="144"/>
    </row>
    <row r="18" spans="1:8">
      <c r="A18" s="144" t="s">
        <v>626</v>
      </c>
      <c r="B18" s="144" t="s">
        <v>625</v>
      </c>
      <c r="C18" s="144"/>
      <c r="D18" s="144"/>
      <c r="E18" s="144"/>
      <c r="F18" s="144"/>
      <c r="G18" s="144"/>
      <c r="H18" s="144"/>
    </row>
    <row r="19" spans="1:8">
      <c r="A19" s="144" t="s">
        <v>49</v>
      </c>
      <c r="B19" s="144" t="s">
        <v>48</v>
      </c>
      <c r="C19" s="145">
        <v>516.6</v>
      </c>
      <c r="D19" s="145">
        <v>735.6</v>
      </c>
      <c r="E19" s="145">
        <v>-31.1</v>
      </c>
      <c r="F19" s="145">
        <v>101.5</v>
      </c>
      <c r="G19" s="144" t="s">
        <v>13</v>
      </c>
      <c r="H19" s="144" t="s">
        <v>13</v>
      </c>
    </row>
    <row r="20" spans="1:8">
      <c r="A20" s="144" t="s">
        <v>706</v>
      </c>
      <c r="B20" s="144" t="s">
        <v>705</v>
      </c>
      <c r="C20" s="144"/>
      <c r="D20" s="144"/>
      <c r="E20" s="144"/>
      <c r="F20" s="144"/>
      <c r="G20" s="144"/>
      <c r="H20" s="144"/>
    </row>
    <row r="21" spans="1:8">
      <c r="A21" s="144" t="s">
        <v>772</v>
      </c>
      <c r="B21" s="144" t="s">
        <v>771</v>
      </c>
      <c r="C21" s="144"/>
      <c r="D21" s="144"/>
      <c r="E21" s="144"/>
      <c r="F21" s="144"/>
      <c r="G21" s="144"/>
      <c r="H21" s="144"/>
    </row>
    <row r="22" spans="1:8">
      <c r="A22" s="144" t="s">
        <v>52</v>
      </c>
      <c r="B22" s="144" t="s">
        <v>51</v>
      </c>
      <c r="C22" s="145">
        <v>456.7</v>
      </c>
      <c r="D22" s="145">
        <v>452.6</v>
      </c>
      <c r="E22" s="145">
        <v>-36.799999999999997</v>
      </c>
      <c r="F22" s="145">
        <v>99.1</v>
      </c>
      <c r="G22" s="144" t="s">
        <v>13</v>
      </c>
      <c r="H22" s="144" t="s">
        <v>13</v>
      </c>
    </row>
    <row r="23" spans="1:8">
      <c r="A23" s="144" t="s">
        <v>55</v>
      </c>
      <c r="B23" s="144" t="s">
        <v>54</v>
      </c>
      <c r="C23" s="145">
        <v>356.8</v>
      </c>
      <c r="D23" s="145">
        <v>403.1</v>
      </c>
      <c r="E23" s="145">
        <v>-37.200000000000003</v>
      </c>
      <c r="F23" s="145">
        <v>71.099999999999994</v>
      </c>
      <c r="G23" s="146" t="s">
        <v>14</v>
      </c>
      <c r="H23" s="144" t="s">
        <v>13</v>
      </c>
    </row>
    <row r="24" spans="1:8">
      <c r="A24" s="144" t="s">
        <v>58</v>
      </c>
      <c r="B24" s="144" t="s">
        <v>57</v>
      </c>
      <c r="C24" s="145">
        <v>439.3</v>
      </c>
      <c r="D24" s="145">
        <v>514.79999999999995</v>
      </c>
      <c r="E24" s="145">
        <v>-48.7</v>
      </c>
      <c r="F24" s="145">
        <v>107</v>
      </c>
      <c r="G24" s="144" t="s">
        <v>13</v>
      </c>
      <c r="H24" s="144" t="s">
        <v>13</v>
      </c>
    </row>
    <row r="25" spans="1:8">
      <c r="A25" s="144" t="s">
        <v>806</v>
      </c>
      <c r="B25" s="144" t="s">
        <v>805</v>
      </c>
      <c r="C25" s="144"/>
      <c r="D25" s="144"/>
      <c r="E25" s="144"/>
      <c r="F25" s="144"/>
      <c r="G25" s="144"/>
      <c r="H25" s="144"/>
    </row>
    <row r="26" spans="1:8">
      <c r="A26" s="144" t="s">
        <v>61</v>
      </c>
      <c r="B26" s="144" t="s">
        <v>60</v>
      </c>
      <c r="C26" s="145">
        <v>436.8</v>
      </c>
      <c r="D26" s="145">
        <v>413.7</v>
      </c>
      <c r="E26" s="145">
        <v>-40.200000000000003</v>
      </c>
      <c r="F26" s="145">
        <v>70.2</v>
      </c>
      <c r="G26" s="144" t="s">
        <v>13</v>
      </c>
      <c r="H26" s="144" t="s">
        <v>13</v>
      </c>
    </row>
    <row r="27" spans="1:8">
      <c r="A27" s="144" t="s">
        <v>64</v>
      </c>
      <c r="B27" s="144" t="s">
        <v>63</v>
      </c>
      <c r="C27" s="145">
        <v>671.8</v>
      </c>
      <c r="D27" s="145">
        <v>537.1</v>
      </c>
      <c r="E27" s="145">
        <v>-29.1</v>
      </c>
      <c r="F27" s="145">
        <v>93.9</v>
      </c>
      <c r="G27" s="144" t="s">
        <v>13</v>
      </c>
      <c r="H27" s="144" t="s">
        <v>13</v>
      </c>
    </row>
    <row r="28" spans="1:8">
      <c r="A28" s="144" t="s">
        <v>67</v>
      </c>
      <c r="B28" s="144" t="s">
        <v>66</v>
      </c>
      <c r="C28" s="145">
        <v>517.79999999999995</v>
      </c>
      <c r="D28" s="145">
        <v>421.7</v>
      </c>
      <c r="E28" s="145">
        <v>-36.299999999999997</v>
      </c>
      <c r="F28" s="145">
        <v>70.900000000000006</v>
      </c>
      <c r="G28" s="144" t="s">
        <v>13</v>
      </c>
      <c r="H28" s="144" t="s">
        <v>13</v>
      </c>
    </row>
    <row r="29" spans="1:8">
      <c r="A29" s="144" t="s">
        <v>70</v>
      </c>
      <c r="B29" s="144" t="s">
        <v>69</v>
      </c>
      <c r="C29" s="145">
        <v>648.6</v>
      </c>
      <c r="D29" s="145">
        <v>610.29999999999995</v>
      </c>
      <c r="E29" s="145">
        <v>-36.700000000000003</v>
      </c>
      <c r="F29" s="145">
        <v>92.2</v>
      </c>
      <c r="G29" s="144" t="s">
        <v>13</v>
      </c>
      <c r="H29" s="144" t="s">
        <v>13</v>
      </c>
    </row>
    <row r="30" spans="1:8">
      <c r="A30" s="144" t="s">
        <v>73</v>
      </c>
      <c r="B30" s="144" t="s">
        <v>72</v>
      </c>
      <c r="C30" s="145">
        <v>595.5</v>
      </c>
      <c r="D30" s="145">
        <v>672</v>
      </c>
      <c r="E30" s="145">
        <v>-33.6</v>
      </c>
      <c r="F30" s="145">
        <v>104.8</v>
      </c>
      <c r="G30" s="144" t="s">
        <v>13</v>
      </c>
      <c r="H30" s="144" t="s">
        <v>13</v>
      </c>
    </row>
    <row r="31" spans="1:8">
      <c r="A31" s="144" t="s">
        <v>820</v>
      </c>
      <c r="B31" s="144" t="s">
        <v>819</v>
      </c>
      <c r="C31" s="144"/>
      <c r="D31" s="144"/>
      <c r="E31" s="144"/>
      <c r="F31" s="144"/>
      <c r="G31" s="144"/>
      <c r="H31" s="144"/>
    </row>
    <row r="32" spans="1:8">
      <c r="A32" s="144" t="s">
        <v>76</v>
      </c>
      <c r="B32" s="144" t="s">
        <v>75</v>
      </c>
      <c r="C32" s="145">
        <v>453.8</v>
      </c>
      <c r="D32" s="145">
        <v>453.4</v>
      </c>
      <c r="E32" s="145">
        <v>-37.700000000000003</v>
      </c>
      <c r="F32" s="145">
        <v>119.2</v>
      </c>
      <c r="G32" s="144" t="s">
        <v>13</v>
      </c>
      <c r="H32" s="144" t="s">
        <v>13</v>
      </c>
    </row>
    <row r="33" spans="1:8">
      <c r="A33" s="144" t="s">
        <v>826</v>
      </c>
      <c r="B33" s="144" t="s">
        <v>825</v>
      </c>
      <c r="C33" s="144"/>
      <c r="D33" s="144"/>
      <c r="E33" s="144"/>
      <c r="F33" s="144"/>
      <c r="G33" s="144"/>
      <c r="H33" s="144"/>
    </row>
    <row r="34" spans="1:8">
      <c r="A34" s="144" t="s">
        <v>728</v>
      </c>
      <c r="B34" s="144" t="s">
        <v>727</v>
      </c>
      <c r="C34" s="144"/>
      <c r="D34" s="144"/>
      <c r="E34" s="144"/>
      <c r="F34" s="144"/>
      <c r="G34" s="144"/>
      <c r="H34" s="144"/>
    </row>
    <row r="35" spans="1:8">
      <c r="A35" s="144" t="s">
        <v>662</v>
      </c>
      <c r="B35" s="144" t="s">
        <v>661</v>
      </c>
      <c r="C35" s="144"/>
      <c r="D35" s="144"/>
      <c r="E35" s="144"/>
      <c r="F35" s="144"/>
      <c r="G35" s="144"/>
      <c r="H35" s="144"/>
    </row>
    <row r="36" spans="1:8">
      <c r="A36" s="144" t="s">
        <v>79</v>
      </c>
      <c r="B36" s="144" t="s">
        <v>78</v>
      </c>
      <c r="C36" s="145">
        <v>484.8</v>
      </c>
      <c r="D36" s="145">
        <v>363.8</v>
      </c>
      <c r="E36" s="145">
        <v>-41.8</v>
      </c>
      <c r="F36" s="145">
        <v>103.6</v>
      </c>
      <c r="G36" s="144" t="s">
        <v>13</v>
      </c>
      <c r="H36" s="146" t="s">
        <v>14</v>
      </c>
    </row>
    <row r="37" spans="1:8">
      <c r="A37" s="144" t="s">
        <v>710</v>
      </c>
      <c r="B37" s="144" t="s">
        <v>709</v>
      </c>
      <c r="C37" s="144"/>
      <c r="D37" s="144"/>
      <c r="E37" s="144"/>
      <c r="F37" s="144"/>
      <c r="G37" s="144"/>
      <c r="H37" s="144"/>
    </row>
    <row r="38" spans="1:8">
      <c r="A38" s="144" t="s">
        <v>746</v>
      </c>
      <c r="B38" s="144" t="s">
        <v>745</v>
      </c>
      <c r="C38" s="144"/>
      <c r="D38" s="144"/>
      <c r="E38" s="144"/>
      <c r="F38" s="144"/>
      <c r="G38" s="144"/>
      <c r="H38" s="144"/>
    </row>
    <row r="39" spans="1:8">
      <c r="A39" s="144" t="s">
        <v>714</v>
      </c>
      <c r="B39" s="144" t="s">
        <v>713</v>
      </c>
      <c r="C39" s="144"/>
      <c r="D39" s="144"/>
      <c r="E39" s="144"/>
      <c r="F39" s="144"/>
      <c r="G39" s="144"/>
      <c r="H39" s="144"/>
    </row>
    <row r="40" spans="1:8">
      <c r="A40" s="144" t="s">
        <v>82</v>
      </c>
      <c r="B40" s="144" t="s">
        <v>81</v>
      </c>
      <c r="C40" s="145">
        <v>408.8</v>
      </c>
      <c r="D40" s="145">
        <v>416.6</v>
      </c>
      <c r="E40" s="145">
        <v>-43.2</v>
      </c>
      <c r="F40" s="145">
        <v>93.2</v>
      </c>
      <c r="G40" s="144" t="s">
        <v>13</v>
      </c>
      <c r="H40" s="144" t="s">
        <v>13</v>
      </c>
    </row>
    <row r="41" spans="1:8">
      <c r="A41" s="144" t="s">
        <v>85</v>
      </c>
      <c r="B41" s="144" t="s">
        <v>84</v>
      </c>
      <c r="C41" s="145">
        <v>324.2</v>
      </c>
      <c r="D41" s="145">
        <v>411.8</v>
      </c>
      <c r="E41" s="145">
        <v>-47.6</v>
      </c>
      <c r="F41" s="145">
        <v>110.2</v>
      </c>
      <c r="G41" s="146" t="s">
        <v>14</v>
      </c>
      <c r="H41" s="144" t="s">
        <v>13</v>
      </c>
    </row>
    <row r="42" spans="1:8">
      <c r="A42" s="144" t="s">
        <v>780</v>
      </c>
      <c r="B42" s="144" t="s">
        <v>779</v>
      </c>
      <c r="C42" s="144"/>
      <c r="D42" s="144"/>
      <c r="E42" s="144"/>
      <c r="F42" s="144"/>
      <c r="G42" s="144"/>
      <c r="H42" s="144"/>
    </row>
    <row r="43" spans="1:8">
      <c r="A43" s="144" t="s">
        <v>88</v>
      </c>
      <c r="B43" s="144" t="s">
        <v>87</v>
      </c>
      <c r="C43" s="145">
        <v>429.6</v>
      </c>
      <c r="D43" s="145">
        <v>394.5</v>
      </c>
      <c r="E43" s="145">
        <v>-37.5</v>
      </c>
      <c r="F43" s="145">
        <v>95.4</v>
      </c>
      <c r="G43" s="144" t="s">
        <v>13</v>
      </c>
      <c r="H43" s="144" t="s">
        <v>13</v>
      </c>
    </row>
    <row r="44" spans="1:8">
      <c r="A44" s="144" t="s">
        <v>91</v>
      </c>
      <c r="B44" s="144" t="s">
        <v>90</v>
      </c>
      <c r="C44" s="145">
        <v>581</v>
      </c>
      <c r="D44" s="145">
        <v>480.3</v>
      </c>
      <c r="E44" s="145">
        <v>-38.4</v>
      </c>
      <c r="F44" s="145">
        <v>86.5</v>
      </c>
      <c r="G44" s="144" t="s">
        <v>13</v>
      </c>
      <c r="H44" s="144" t="s">
        <v>13</v>
      </c>
    </row>
    <row r="45" spans="1:8">
      <c r="A45" s="144" t="s">
        <v>94</v>
      </c>
      <c r="B45" s="144" t="s">
        <v>93</v>
      </c>
      <c r="C45" s="145">
        <v>442.2</v>
      </c>
      <c r="D45" s="145">
        <v>318.3</v>
      </c>
      <c r="E45" s="145">
        <v>-32.299999999999997</v>
      </c>
      <c r="F45" s="145">
        <v>75.8</v>
      </c>
      <c r="G45" s="144" t="s">
        <v>13</v>
      </c>
      <c r="H45" s="146" t="s">
        <v>14</v>
      </c>
    </row>
    <row r="46" spans="1:8">
      <c r="A46" s="144" t="s">
        <v>97</v>
      </c>
      <c r="B46" s="144" t="s">
        <v>96</v>
      </c>
      <c r="C46" s="145">
        <v>667.9</v>
      </c>
      <c r="D46" s="145">
        <v>378.9</v>
      </c>
      <c r="E46" s="145">
        <v>-32.700000000000003</v>
      </c>
      <c r="F46" s="145">
        <v>92.1</v>
      </c>
      <c r="G46" s="144" t="s">
        <v>13</v>
      </c>
      <c r="H46" s="144" t="s">
        <v>13</v>
      </c>
    </row>
    <row r="47" spans="1:8">
      <c r="A47" s="144" t="s">
        <v>101</v>
      </c>
      <c r="B47" s="144" t="s">
        <v>100</v>
      </c>
      <c r="C47" s="145">
        <v>417</v>
      </c>
      <c r="D47" s="145">
        <v>570.29999999999995</v>
      </c>
      <c r="E47" s="145">
        <v>-37.5</v>
      </c>
      <c r="F47" s="145">
        <v>101.9</v>
      </c>
      <c r="G47" s="144" t="s">
        <v>13</v>
      </c>
      <c r="H47" s="144" t="s">
        <v>13</v>
      </c>
    </row>
    <row r="48" spans="1:8">
      <c r="A48" s="144" t="s">
        <v>104</v>
      </c>
      <c r="B48" s="144" t="s">
        <v>103</v>
      </c>
      <c r="C48" s="145">
        <v>449.9</v>
      </c>
      <c r="D48" s="145">
        <v>409.9</v>
      </c>
      <c r="E48" s="145">
        <v>-37</v>
      </c>
      <c r="F48" s="145">
        <v>110.9</v>
      </c>
      <c r="G48" s="144" t="s">
        <v>13</v>
      </c>
      <c r="H48" s="144" t="s">
        <v>13</v>
      </c>
    </row>
    <row r="49" spans="1:8">
      <c r="A49" s="144" t="s">
        <v>107</v>
      </c>
      <c r="B49" s="144" t="s">
        <v>106</v>
      </c>
      <c r="C49" s="145">
        <v>544.4</v>
      </c>
      <c r="D49" s="145">
        <v>556.5</v>
      </c>
      <c r="E49" s="145">
        <v>-42</v>
      </c>
      <c r="F49" s="145">
        <v>74.400000000000006</v>
      </c>
      <c r="G49" s="144" t="s">
        <v>13</v>
      </c>
      <c r="H49" s="144" t="s">
        <v>13</v>
      </c>
    </row>
    <row r="50" spans="1:8">
      <c r="A50" s="144" t="s">
        <v>110</v>
      </c>
      <c r="B50" s="144" t="s">
        <v>109</v>
      </c>
      <c r="C50" s="145">
        <v>500.9</v>
      </c>
      <c r="D50" s="145">
        <v>395.1</v>
      </c>
      <c r="E50" s="145">
        <v>-34.299999999999997</v>
      </c>
      <c r="F50" s="145">
        <v>87.1</v>
      </c>
      <c r="G50" s="144" t="s">
        <v>13</v>
      </c>
      <c r="H50" s="144" t="s">
        <v>13</v>
      </c>
    </row>
    <row r="51" spans="1:8">
      <c r="A51" s="144" t="s">
        <v>738</v>
      </c>
      <c r="B51" s="144" t="s">
        <v>737</v>
      </c>
      <c r="C51" s="144"/>
      <c r="D51" s="144"/>
      <c r="E51" s="144"/>
      <c r="F51" s="144"/>
      <c r="G51" s="144"/>
      <c r="H51" s="144"/>
    </row>
    <row r="52" spans="1:8">
      <c r="A52" s="144" t="s">
        <v>113</v>
      </c>
      <c r="B52" s="144" t="s">
        <v>112</v>
      </c>
      <c r="C52" s="145">
        <v>499.6</v>
      </c>
      <c r="D52" s="145">
        <v>378.6</v>
      </c>
      <c r="E52" s="145">
        <v>-44.8</v>
      </c>
      <c r="F52" s="145">
        <v>79.099999999999994</v>
      </c>
      <c r="G52" s="144" t="s">
        <v>13</v>
      </c>
      <c r="H52" s="144" t="s">
        <v>13</v>
      </c>
    </row>
    <row r="53" spans="1:8">
      <c r="A53" s="144" t="s">
        <v>604</v>
      </c>
      <c r="B53" s="144" t="s">
        <v>603</v>
      </c>
      <c r="C53" s="144"/>
      <c r="D53" s="144"/>
      <c r="E53" s="144"/>
      <c r="F53" s="144"/>
      <c r="G53" s="144"/>
      <c r="H53" s="144"/>
    </row>
    <row r="54" spans="1:8">
      <c r="A54" s="144" t="s">
        <v>116</v>
      </c>
      <c r="B54" s="144" t="s">
        <v>115</v>
      </c>
      <c r="C54" s="145">
        <v>629.70000000000005</v>
      </c>
      <c r="D54" s="145">
        <v>536.5</v>
      </c>
      <c r="E54" s="145">
        <v>-38.299999999999997</v>
      </c>
      <c r="F54" s="145">
        <v>106.2</v>
      </c>
      <c r="G54" s="144" t="s">
        <v>13</v>
      </c>
      <c r="H54" s="144" t="s">
        <v>13</v>
      </c>
    </row>
    <row r="55" spans="1:8">
      <c r="A55" s="144" t="s">
        <v>119</v>
      </c>
      <c r="B55" s="144" t="s">
        <v>118</v>
      </c>
      <c r="C55" s="145">
        <v>574.9</v>
      </c>
      <c r="D55" s="145">
        <v>682.7</v>
      </c>
      <c r="E55" s="145">
        <v>-35.299999999999997</v>
      </c>
      <c r="F55" s="145">
        <v>66.599999999999994</v>
      </c>
      <c r="G55" s="144" t="s">
        <v>13</v>
      </c>
      <c r="H55" s="144" t="s">
        <v>13</v>
      </c>
    </row>
    <row r="56" spans="1:8">
      <c r="A56" s="144" t="s">
        <v>122</v>
      </c>
      <c r="B56" s="144" t="s">
        <v>121</v>
      </c>
      <c r="C56" s="145">
        <v>528.79999999999995</v>
      </c>
      <c r="D56" s="145">
        <v>442.4</v>
      </c>
      <c r="E56" s="145">
        <v>-38.799999999999997</v>
      </c>
      <c r="F56" s="145">
        <v>100.2</v>
      </c>
      <c r="G56" s="144" t="s">
        <v>13</v>
      </c>
      <c r="H56" s="144" t="s">
        <v>13</v>
      </c>
    </row>
    <row r="57" spans="1:8">
      <c r="A57" s="144" t="s">
        <v>125</v>
      </c>
      <c r="B57" s="144" t="s">
        <v>124</v>
      </c>
      <c r="C57" s="145">
        <v>467.9</v>
      </c>
      <c r="D57" s="145">
        <v>526.5</v>
      </c>
      <c r="E57" s="145">
        <v>-34.200000000000003</v>
      </c>
      <c r="F57" s="145">
        <v>82.6</v>
      </c>
      <c r="G57" s="144" t="s">
        <v>13</v>
      </c>
      <c r="H57" s="144" t="s">
        <v>13</v>
      </c>
    </row>
    <row r="58" spans="1:8">
      <c r="A58" s="144" t="s">
        <v>128</v>
      </c>
      <c r="B58" s="144" t="s">
        <v>127</v>
      </c>
      <c r="C58" s="145">
        <v>455.4</v>
      </c>
      <c r="D58" s="145">
        <v>511</v>
      </c>
      <c r="E58" s="145">
        <v>-34.9</v>
      </c>
      <c r="F58" s="145">
        <v>107.5</v>
      </c>
      <c r="G58" s="144" t="s">
        <v>13</v>
      </c>
      <c r="H58" s="144" t="s">
        <v>13</v>
      </c>
    </row>
    <row r="59" spans="1:8">
      <c r="A59" s="144" t="s">
        <v>610</v>
      </c>
      <c r="B59" s="144" t="s">
        <v>609</v>
      </c>
      <c r="C59" s="144"/>
      <c r="D59" s="144"/>
      <c r="E59" s="144"/>
      <c r="F59" s="144"/>
      <c r="G59" s="144"/>
      <c r="H59" s="144"/>
    </row>
    <row r="60" spans="1:8">
      <c r="A60" s="144" t="s">
        <v>131</v>
      </c>
      <c r="B60" s="144" t="s">
        <v>130</v>
      </c>
      <c r="C60" s="145">
        <v>504</v>
      </c>
      <c r="D60" s="145">
        <v>440.6</v>
      </c>
      <c r="E60" s="145">
        <v>-34.5</v>
      </c>
      <c r="F60" s="145">
        <v>100.2</v>
      </c>
      <c r="G60" s="144" t="s">
        <v>13</v>
      </c>
      <c r="H60" s="144" t="s">
        <v>13</v>
      </c>
    </row>
    <row r="61" spans="1:8">
      <c r="A61" s="144" t="s">
        <v>648</v>
      </c>
      <c r="B61" s="144" t="s">
        <v>647</v>
      </c>
      <c r="C61" s="144"/>
      <c r="D61" s="144"/>
      <c r="E61" s="144"/>
      <c r="F61" s="144"/>
      <c r="G61" s="144"/>
      <c r="H61" s="144"/>
    </row>
    <row r="62" spans="1:8">
      <c r="A62" s="144" t="s">
        <v>134</v>
      </c>
      <c r="B62" s="144" t="s">
        <v>133</v>
      </c>
      <c r="C62" s="145">
        <v>473.6</v>
      </c>
      <c r="D62" s="145">
        <v>390.1</v>
      </c>
      <c r="E62" s="145">
        <v>-38.200000000000003</v>
      </c>
      <c r="F62" s="145">
        <v>74.8</v>
      </c>
      <c r="G62" s="144" t="s">
        <v>13</v>
      </c>
      <c r="H62" s="144" t="s">
        <v>13</v>
      </c>
    </row>
    <row r="63" spans="1:8">
      <c r="A63" s="144" t="s">
        <v>766</v>
      </c>
      <c r="B63" s="144" t="s">
        <v>765</v>
      </c>
      <c r="C63" s="144"/>
      <c r="D63" s="144"/>
      <c r="E63" s="144"/>
      <c r="F63" s="144"/>
      <c r="G63" s="144"/>
      <c r="H63" s="144"/>
    </row>
    <row r="64" spans="1:8">
      <c r="A64" s="144" t="s">
        <v>688</v>
      </c>
      <c r="B64" s="144" t="s">
        <v>687</v>
      </c>
      <c r="C64" s="144"/>
      <c r="D64" s="144"/>
      <c r="E64" s="144"/>
      <c r="F64" s="144"/>
      <c r="G64" s="144"/>
      <c r="H64" s="144"/>
    </row>
    <row r="65" spans="1:8">
      <c r="A65" s="144" t="s">
        <v>590</v>
      </c>
      <c r="B65" s="144" t="s">
        <v>589</v>
      </c>
      <c r="C65" s="144"/>
      <c r="D65" s="144"/>
      <c r="E65" s="144"/>
      <c r="F65" s="144"/>
      <c r="G65" s="144"/>
      <c r="H65" s="144"/>
    </row>
    <row r="66" spans="1:8">
      <c r="A66" s="144" t="s">
        <v>137</v>
      </c>
      <c r="B66" s="144" t="s">
        <v>136</v>
      </c>
      <c r="C66" s="145">
        <v>262.5</v>
      </c>
      <c r="D66" s="145">
        <v>390.4</v>
      </c>
      <c r="E66" s="145">
        <v>-33.299999999999997</v>
      </c>
      <c r="F66" s="145">
        <v>94.6</v>
      </c>
      <c r="G66" s="146" t="s">
        <v>14</v>
      </c>
      <c r="H66" s="144" t="s">
        <v>13</v>
      </c>
    </row>
    <row r="67" spans="1:8">
      <c r="A67" s="144" t="s">
        <v>140</v>
      </c>
      <c r="B67" s="144" t="s">
        <v>139</v>
      </c>
      <c r="C67" s="145">
        <v>244.6</v>
      </c>
      <c r="D67" s="145">
        <v>288</v>
      </c>
      <c r="E67" s="145">
        <v>-39.700000000000003</v>
      </c>
      <c r="F67" s="145">
        <v>92.7</v>
      </c>
      <c r="G67" s="146" t="s">
        <v>14</v>
      </c>
      <c r="H67" s="146" t="s">
        <v>14</v>
      </c>
    </row>
    <row r="68" spans="1:8">
      <c r="A68" s="144" t="s">
        <v>698</v>
      </c>
      <c r="B68" s="144" t="s">
        <v>697</v>
      </c>
      <c r="C68" s="144"/>
      <c r="D68" s="144"/>
      <c r="E68" s="144"/>
      <c r="F68" s="144"/>
      <c r="G68" s="144"/>
      <c r="H68" s="144"/>
    </row>
    <row r="69" spans="1:8">
      <c r="A69" s="144" t="s">
        <v>782</v>
      </c>
      <c r="B69" s="144" t="s">
        <v>781</v>
      </c>
      <c r="C69" s="144"/>
      <c r="D69" s="144"/>
      <c r="E69" s="144"/>
      <c r="F69" s="144"/>
      <c r="G69" s="144"/>
      <c r="H69" s="144"/>
    </row>
    <row r="70" spans="1:8">
      <c r="A70" s="144" t="s">
        <v>642</v>
      </c>
      <c r="B70" s="144" t="s">
        <v>641</v>
      </c>
      <c r="C70" s="144"/>
      <c r="D70" s="144"/>
      <c r="E70" s="144"/>
      <c r="F70" s="144"/>
      <c r="G70" s="144"/>
      <c r="H70" s="144"/>
    </row>
    <row r="71" spans="1:8">
      <c r="A71" s="144" t="s">
        <v>736</v>
      </c>
      <c r="B71" s="144" t="s">
        <v>735</v>
      </c>
      <c r="C71" s="144"/>
      <c r="D71" s="144"/>
      <c r="E71" s="144"/>
      <c r="F71" s="144"/>
      <c r="G71" s="144"/>
      <c r="H71" s="144"/>
    </row>
    <row r="72" spans="1:8">
      <c r="A72" s="144" t="s">
        <v>143</v>
      </c>
      <c r="B72" s="144" t="s">
        <v>142</v>
      </c>
      <c r="C72" s="145">
        <v>415.1</v>
      </c>
      <c r="D72" s="145">
        <v>475.2</v>
      </c>
      <c r="E72" s="145">
        <v>-47.6</v>
      </c>
      <c r="F72" s="145">
        <v>97</v>
      </c>
      <c r="G72" s="144" t="s">
        <v>13</v>
      </c>
      <c r="H72" s="144" t="s">
        <v>13</v>
      </c>
    </row>
    <row r="73" spans="1:8">
      <c r="A73" s="144" t="s">
        <v>606</v>
      </c>
      <c r="B73" s="144" t="s">
        <v>605</v>
      </c>
      <c r="C73" s="144"/>
      <c r="D73" s="144"/>
      <c r="E73" s="144"/>
      <c r="F73" s="144"/>
      <c r="G73" s="144"/>
      <c r="H73" s="144"/>
    </row>
    <row r="74" spans="1:8">
      <c r="A74" s="144" t="s">
        <v>146</v>
      </c>
      <c r="B74" s="144" t="s">
        <v>145</v>
      </c>
      <c r="C74" s="145">
        <v>428.9</v>
      </c>
      <c r="D74" s="145">
        <v>409.1</v>
      </c>
      <c r="E74" s="145">
        <v>-37.200000000000003</v>
      </c>
      <c r="F74" s="145">
        <v>97.1</v>
      </c>
      <c r="G74" s="144" t="s">
        <v>13</v>
      </c>
      <c r="H74" s="144" t="s">
        <v>13</v>
      </c>
    </row>
    <row r="75" spans="1:8">
      <c r="A75" s="144" t="s">
        <v>149</v>
      </c>
      <c r="B75" s="144" t="s">
        <v>148</v>
      </c>
      <c r="C75" s="145">
        <v>448.4</v>
      </c>
      <c r="D75" s="145">
        <v>433.1</v>
      </c>
      <c r="E75" s="145">
        <v>-39.1</v>
      </c>
      <c r="F75" s="145">
        <v>115.1</v>
      </c>
      <c r="G75" s="144" t="s">
        <v>13</v>
      </c>
      <c r="H75" s="144" t="s">
        <v>13</v>
      </c>
    </row>
    <row r="76" spans="1:8">
      <c r="A76" s="144" t="s">
        <v>152</v>
      </c>
      <c r="B76" s="144" t="s">
        <v>151</v>
      </c>
      <c r="C76" s="145">
        <v>534.6</v>
      </c>
      <c r="D76" s="145">
        <v>510.3</v>
      </c>
      <c r="E76" s="145">
        <v>-42.6</v>
      </c>
      <c r="F76" s="145">
        <v>86.9</v>
      </c>
      <c r="G76" s="144" t="s">
        <v>13</v>
      </c>
      <c r="H76" s="144" t="s">
        <v>13</v>
      </c>
    </row>
    <row r="77" spans="1:8">
      <c r="A77" s="144" t="s">
        <v>634</v>
      </c>
      <c r="B77" s="144" t="s">
        <v>633</v>
      </c>
      <c r="C77" s="144"/>
      <c r="D77" s="144"/>
      <c r="E77" s="144"/>
      <c r="F77" s="144"/>
      <c r="G77" s="144"/>
      <c r="H77" s="144"/>
    </row>
    <row r="78" spans="1:8">
      <c r="A78" s="144" t="s">
        <v>644</v>
      </c>
      <c r="B78" s="144" t="s">
        <v>643</v>
      </c>
      <c r="C78" s="144"/>
      <c r="D78" s="144"/>
      <c r="E78" s="144"/>
      <c r="F78" s="144"/>
      <c r="G78" s="144"/>
      <c r="H78" s="144"/>
    </row>
    <row r="79" spans="1:8">
      <c r="A79" s="144" t="s">
        <v>658</v>
      </c>
      <c r="B79" s="144" t="s">
        <v>657</v>
      </c>
      <c r="C79" s="144"/>
      <c r="D79" s="144"/>
      <c r="E79" s="144"/>
      <c r="F79" s="144"/>
      <c r="G79" s="144"/>
      <c r="H79" s="144"/>
    </row>
    <row r="80" spans="1:8">
      <c r="A80" s="144" t="s">
        <v>670</v>
      </c>
      <c r="B80" s="144" t="s">
        <v>669</v>
      </c>
      <c r="C80" s="144"/>
      <c r="D80" s="144"/>
      <c r="E80" s="144"/>
      <c r="F80" s="144"/>
      <c r="G80" s="144"/>
      <c r="H80" s="144"/>
    </row>
    <row r="81" spans="1:8">
      <c r="A81" s="144" t="s">
        <v>155</v>
      </c>
      <c r="B81" s="144" t="s">
        <v>154</v>
      </c>
      <c r="C81" s="145">
        <v>574.4</v>
      </c>
      <c r="D81" s="145">
        <v>441.4</v>
      </c>
      <c r="E81" s="145">
        <v>-39.200000000000003</v>
      </c>
      <c r="F81" s="145">
        <v>94.5</v>
      </c>
      <c r="G81" s="144" t="s">
        <v>13</v>
      </c>
      <c r="H81" s="144" t="s">
        <v>13</v>
      </c>
    </row>
    <row r="82" spans="1:8">
      <c r="A82" s="144" t="s">
        <v>716</v>
      </c>
      <c r="B82" s="144" t="s">
        <v>715</v>
      </c>
      <c r="C82" s="144"/>
      <c r="D82" s="144"/>
      <c r="E82" s="144"/>
      <c r="F82" s="144"/>
      <c r="G82" s="144"/>
      <c r="H82" s="144"/>
    </row>
    <row r="83" spans="1:8">
      <c r="A83" s="144" t="s">
        <v>730</v>
      </c>
      <c r="B83" s="144" t="s">
        <v>729</v>
      </c>
      <c r="C83" s="144"/>
      <c r="D83" s="144"/>
      <c r="E83" s="144"/>
      <c r="F83" s="144"/>
      <c r="G83" s="144"/>
      <c r="H83" s="144"/>
    </row>
    <row r="84" spans="1:8">
      <c r="A84" s="144" t="s">
        <v>158</v>
      </c>
      <c r="B84" s="144" t="s">
        <v>157</v>
      </c>
      <c r="C84" s="145">
        <v>189.4</v>
      </c>
      <c r="D84" s="145">
        <v>151</v>
      </c>
      <c r="E84" s="145">
        <v>-40.799999999999997</v>
      </c>
      <c r="F84" s="145">
        <v>74.900000000000006</v>
      </c>
      <c r="G84" s="146" t="s">
        <v>14</v>
      </c>
      <c r="H84" s="146" t="s">
        <v>14</v>
      </c>
    </row>
    <row r="85" spans="1:8">
      <c r="A85" s="144" t="s">
        <v>161</v>
      </c>
      <c r="B85" s="144" t="s">
        <v>160</v>
      </c>
      <c r="C85" s="145">
        <v>463.5</v>
      </c>
      <c r="D85" s="145">
        <v>388.9</v>
      </c>
      <c r="E85" s="145">
        <v>-39.1</v>
      </c>
      <c r="F85" s="145">
        <v>99.5</v>
      </c>
      <c r="G85" s="144" t="s">
        <v>13</v>
      </c>
      <c r="H85" s="144" t="s">
        <v>13</v>
      </c>
    </row>
    <row r="86" spans="1:8">
      <c r="A86" s="144" t="s">
        <v>756</v>
      </c>
      <c r="B86" s="144" t="s">
        <v>755</v>
      </c>
      <c r="C86" s="144"/>
      <c r="D86" s="144"/>
      <c r="E86" s="144"/>
      <c r="F86" s="144"/>
      <c r="G86" s="144"/>
      <c r="H86" s="144"/>
    </row>
    <row r="87" spans="1:8">
      <c r="A87" s="144" t="s">
        <v>164</v>
      </c>
      <c r="B87" s="144" t="s">
        <v>163</v>
      </c>
      <c r="C87" s="145">
        <v>525.29999999999995</v>
      </c>
      <c r="D87" s="145">
        <v>204.5</v>
      </c>
      <c r="E87" s="145">
        <v>-42</v>
      </c>
      <c r="F87" s="145">
        <v>119.5</v>
      </c>
      <c r="G87" s="144" t="s">
        <v>13</v>
      </c>
      <c r="H87" s="146" t="s">
        <v>14</v>
      </c>
    </row>
    <row r="88" spans="1:8">
      <c r="A88" s="144" t="s">
        <v>167</v>
      </c>
      <c r="B88" s="144" t="s">
        <v>166</v>
      </c>
      <c r="C88" s="145">
        <v>515.70000000000005</v>
      </c>
      <c r="D88" s="145">
        <v>444.8</v>
      </c>
      <c r="E88" s="145">
        <v>-42</v>
      </c>
      <c r="F88" s="145">
        <v>124.1</v>
      </c>
      <c r="G88" s="144" t="s">
        <v>13</v>
      </c>
      <c r="H88" s="144" t="s">
        <v>13</v>
      </c>
    </row>
    <row r="89" spans="1:8">
      <c r="A89" s="144" t="s">
        <v>170</v>
      </c>
      <c r="B89" s="144" t="s">
        <v>169</v>
      </c>
      <c r="C89" s="145">
        <v>193</v>
      </c>
      <c r="D89" s="145">
        <v>186</v>
      </c>
      <c r="E89" s="145">
        <v>-39.4</v>
      </c>
      <c r="F89" s="145">
        <v>107.7</v>
      </c>
      <c r="G89" s="146" t="s">
        <v>14</v>
      </c>
      <c r="H89" s="146" t="s">
        <v>14</v>
      </c>
    </row>
    <row r="90" spans="1:8">
      <c r="A90" s="144" t="s">
        <v>173</v>
      </c>
      <c r="B90" s="144" t="s">
        <v>172</v>
      </c>
      <c r="C90" s="145">
        <v>551.4</v>
      </c>
      <c r="D90" s="145">
        <v>530.4</v>
      </c>
      <c r="E90" s="145">
        <v>-35.5</v>
      </c>
      <c r="F90" s="145">
        <v>99</v>
      </c>
      <c r="G90" s="144" t="s">
        <v>13</v>
      </c>
      <c r="H90" s="144" t="s">
        <v>13</v>
      </c>
    </row>
    <row r="91" spans="1:8">
      <c r="A91" s="144" t="s">
        <v>176</v>
      </c>
      <c r="B91" s="144" t="s">
        <v>175</v>
      </c>
      <c r="C91" s="145">
        <v>645.1</v>
      </c>
      <c r="D91" s="145">
        <v>426.7</v>
      </c>
      <c r="E91" s="145">
        <v>-36</v>
      </c>
      <c r="F91" s="145">
        <v>85.7</v>
      </c>
      <c r="G91" s="144" t="s">
        <v>13</v>
      </c>
      <c r="H91" s="144" t="s">
        <v>13</v>
      </c>
    </row>
    <row r="92" spans="1:8">
      <c r="A92" s="144" t="s">
        <v>792</v>
      </c>
      <c r="B92" s="144" t="s">
        <v>791</v>
      </c>
      <c r="C92" s="144"/>
      <c r="D92" s="144"/>
      <c r="E92" s="144"/>
      <c r="F92" s="144"/>
      <c r="G92" s="144"/>
      <c r="H92" s="144"/>
    </row>
    <row r="93" spans="1:8">
      <c r="A93" s="144" t="s">
        <v>179</v>
      </c>
      <c r="B93" s="144" t="s">
        <v>178</v>
      </c>
      <c r="C93" s="145">
        <v>564.20000000000005</v>
      </c>
      <c r="D93" s="145">
        <v>379.4</v>
      </c>
      <c r="E93" s="145">
        <v>-40.4</v>
      </c>
      <c r="F93" s="145">
        <v>74.400000000000006</v>
      </c>
      <c r="G93" s="144" t="s">
        <v>13</v>
      </c>
      <c r="H93" s="144" t="s">
        <v>13</v>
      </c>
    </row>
    <row r="94" spans="1:8">
      <c r="A94" s="144" t="s">
        <v>182</v>
      </c>
      <c r="B94" s="144" t="s">
        <v>181</v>
      </c>
      <c r="C94" s="145">
        <v>452.7</v>
      </c>
      <c r="D94" s="145">
        <v>551</v>
      </c>
      <c r="E94" s="145">
        <v>-30.2</v>
      </c>
      <c r="F94" s="145">
        <v>88.7</v>
      </c>
      <c r="G94" s="144" t="s">
        <v>13</v>
      </c>
      <c r="H94" s="144" t="s">
        <v>13</v>
      </c>
    </row>
    <row r="95" spans="1:8">
      <c r="A95" s="144" t="s">
        <v>185</v>
      </c>
      <c r="B95" s="144" t="s">
        <v>184</v>
      </c>
      <c r="C95" s="145">
        <v>556.29999999999995</v>
      </c>
      <c r="D95" s="145">
        <v>405.9</v>
      </c>
      <c r="E95" s="145">
        <v>-40.9</v>
      </c>
      <c r="F95" s="145">
        <v>107.6</v>
      </c>
      <c r="G95" s="144" t="s">
        <v>13</v>
      </c>
      <c r="H95" s="144" t="s">
        <v>13</v>
      </c>
    </row>
    <row r="96" spans="1:8">
      <c r="A96" s="144" t="s">
        <v>188</v>
      </c>
      <c r="B96" s="144" t="s">
        <v>187</v>
      </c>
      <c r="C96" s="145">
        <v>505.2</v>
      </c>
      <c r="D96" s="145">
        <v>503.8</v>
      </c>
      <c r="E96" s="145">
        <v>-41</v>
      </c>
      <c r="F96" s="145">
        <v>127.3</v>
      </c>
      <c r="G96" s="144" t="s">
        <v>13</v>
      </c>
      <c r="H96" s="144" t="s">
        <v>13</v>
      </c>
    </row>
    <row r="97" spans="1:8">
      <c r="A97" s="144" t="s">
        <v>191</v>
      </c>
      <c r="B97" s="144" t="s">
        <v>190</v>
      </c>
      <c r="C97" s="145">
        <v>518.4</v>
      </c>
      <c r="D97" s="145">
        <v>517.29999999999995</v>
      </c>
      <c r="E97" s="145">
        <v>-43</v>
      </c>
      <c r="F97" s="145">
        <v>92.2</v>
      </c>
      <c r="G97" s="144" t="s">
        <v>13</v>
      </c>
      <c r="H97" s="144" t="s">
        <v>13</v>
      </c>
    </row>
    <row r="98" spans="1:8">
      <c r="A98" s="144" t="s">
        <v>816</v>
      </c>
      <c r="B98" s="144" t="s">
        <v>815</v>
      </c>
      <c r="C98" s="144"/>
      <c r="D98" s="144"/>
      <c r="E98" s="144"/>
      <c r="F98" s="144"/>
      <c r="G98" s="144"/>
      <c r="H98" s="144"/>
    </row>
    <row r="99" spans="1:8">
      <c r="A99" s="144" t="s">
        <v>822</v>
      </c>
      <c r="B99" s="144" t="s">
        <v>821</v>
      </c>
      <c r="C99" s="144"/>
      <c r="D99" s="144"/>
      <c r="E99" s="144"/>
      <c r="F99" s="144"/>
      <c r="G99" s="144"/>
      <c r="H99" s="144"/>
    </row>
    <row r="100" spans="1:8">
      <c r="A100" s="144" t="s">
        <v>830</v>
      </c>
      <c r="B100" s="144" t="s">
        <v>829</v>
      </c>
      <c r="C100" s="144"/>
      <c r="D100" s="144"/>
      <c r="E100" s="144"/>
      <c r="F100" s="144"/>
      <c r="G100" s="144"/>
      <c r="H100" s="144"/>
    </row>
    <row r="101" spans="1:8">
      <c r="A101" s="144" t="s">
        <v>832</v>
      </c>
      <c r="B101" s="144" t="s">
        <v>831</v>
      </c>
      <c r="C101" s="144"/>
      <c r="D101" s="144"/>
      <c r="E101" s="144"/>
      <c r="F101" s="144"/>
      <c r="G101" s="144"/>
      <c r="H101" s="144"/>
    </row>
    <row r="102" spans="1:8">
      <c r="A102" s="144" t="s">
        <v>194</v>
      </c>
      <c r="B102" s="144" t="s">
        <v>193</v>
      </c>
      <c r="C102" s="145">
        <v>353.5</v>
      </c>
      <c r="D102" s="145">
        <v>400.2</v>
      </c>
      <c r="E102" s="145">
        <v>-41.7</v>
      </c>
      <c r="F102" s="145">
        <v>98.5</v>
      </c>
      <c r="G102" s="146" t="s">
        <v>14</v>
      </c>
      <c r="H102" s="144" t="s">
        <v>13</v>
      </c>
    </row>
    <row r="103" spans="1:8">
      <c r="A103" s="144" t="s">
        <v>197</v>
      </c>
      <c r="B103" s="144" t="s">
        <v>196</v>
      </c>
      <c r="C103" s="145">
        <v>566.79999999999995</v>
      </c>
      <c r="D103" s="145">
        <v>473.5</v>
      </c>
      <c r="E103" s="145">
        <v>-41.2</v>
      </c>
      <c r="F103" s="145">
        <v>92.6</v>
      </c>
      <c r="G103" s="144" t="s">
        <v>13</v>
      </c>
      <c r="H103" s="144" t="s">
        <v>13</v>
      </c>
    </row>
    <row r="104" spans="1:8">
      <c r="A104" s="144" t="s">
        <v>834</v>
      </c>
      <c r="B104" s="144" t="s">
        <v>833</v>
      </c>
      <c r="C104" s="144"/>
      <c r="D104" s="144"/>
      <c r="E104" s="144"/>
      <c r="F104" s="144"/>
      <c r="G104" s="144"/>
      <c r="H104" s="144"/>
    </row>
    <row r="105" spans="1:8">
      <c r="A105" s="144" t="s">
        <v>836</v>
      </c>
      <c r="B105" s="144" t="s">
        <v>835</v>
      </c>
      <c r="C105" s="144"/>
      <c r="D105" s="144"/>
      <c r="E105" s="144"/>
      <c r="F105" s="144"/>
      <c r="G105" s="144"/>
      <c r="H105" s="144"/>
    </row>
    <row r="106" spans="1:8">
      <c r="A106" s="144" t="s">
        <v>602</v>
      </c>
      <c r="B106" s="144" t="s">
        <v>601</v>
      </c>
      <c r="C106" s="144"/>
      <c r="D106" s="144"/>
      <c r="E106" s="144"/>
      <c r="F106" s="144"/>
      <c r="G106" s="144"/>
      <c r="H106" s="144"/>
    </row>
    <row r="107" spans="1:8">
      <c r="A107" s="144" t="s">
        <v>608</v>
      </c>
      <c r="B107" s="144" t="s">
        <v>607</v>
      </c>
      <c r="C107" s="144"/>
      <c r="D107" s="144"/>
      <c r="E107" s="144"/>
      <c r="F107" s="144"/>
      <c r="G107" s="144"/>
      <c r="H107" s="144"/>
    </row>
    <row r="108" spans="1:8">
      <c r="A108" s="144" t="s">
        <v>618</v>
      </c>
      <c r="B108" s="144" t="s">
        <v>617</v>
      </c>
      <c r="C108" s="144"/>
      <c r="D108" s="144"/>
      <c r="E108" s="144"/>
      <c r="F108" s="144"/>
      <c r="G108" s="144"/>
      <c r="H108" s="144"/>
    </row>
    <row r="109" spans="1:8">
      <c r="A109" s="144" t="s">
        <v>200</v>
      </c>
      <c r="B109" s="144" t="s">
        <v>199</v>
      </c>
      <c r="C109" s="145">
        <v>559.29999999999995</v>
      </c>
      <c r="D109" s="145">
        <v>463.5</v>
      </c>
      <c r="E109" s="145">
        <v>-40.200000000000003</v>
      </c>
      <c r="F109" s="145">
        <v>103.7</v>
      </c>
      <c r="G109" s="144" t="s">
        <v>13</v>
      </c>
      <c r="H109" s="144" t="s">
        <v>13</v>
      </c>
    </row>
    <row r="110" spans="1:8">
      <c r="A110" s="144" t="s">
        <v>203</v>
      </c>
      <c r="B110" s="144" t="s">
        <v>202</v>
      </c>
      <c r="C110" s="145">
        <v>538</v>
      </c>
      <c r="D110" s="145">
        <v>346.1</v>
      </c>
      <c r="E110" s="145">
        <v>-41.1</v>
      </c>
      <c r="F110" s="145">
        <v>96.2</v>
      </c>
      <c r="G110" s="144" t="s">
        <v>13</v>
      </c>
      <c r="H110" s="146" t="s">
        <v>14</v>
      </c>
    </row>
    <row r="111" spans="1:8">
      <c r="A111" s="144" t="s">
        <v>624</v>
      </c>
      <c r="B111" s="144" t="s">
        <v>623</v>
      </c>
      <c r="C111" s="144"/>
      <c r="D111" s="144"/>
      <c r="E111" s="144"/>
      <c r="F111" s="144"/>
      <c r="G111" s="144"/>
      <c r="H111" s="144"/>
    </row>
    <row r="112" spans="1:8">
      <c r="A112" s="144" t="s">
        <v>628</v>
      </c>
      <c r="B112" s="144" t="s">
        <v>627</v>
      </c>
      <c r="C112" s="144"/>
      <c r="D112" s="144"/>
      <c r="E112" s="144"/>
      <c r="F112" s="144"/>
      <c r="G112" s="144"/>
      <c r="H112" s="144"/>
    </row>
    <row r="113" spans="1:8">
      <c r="A113" s="144" t="s">
        <v>630</v>
      </c>
      <c r="B113" s="144" t="s">
        <v>629</v>
      </c>
      <c r="C113" s="144"/>
      <c r="D113" s="144"/>
      <c r="E113" s="144"/>
      <c r="F113" s="144"/>
      <c r="G113" s="144"/>
      <c r="H113" s="144"/>
    </row>
    <row r="114" spans="1:8">
      <c r="A114" s="144" t="s">
        <v>632</v>
      </c>
      <c r="B114" s="144" t="s">
        <v>631</v>
      </c>
      <c r="C114" s="144"/>
      <c r="D114" s="144"/>
      <c r="E114" s="144"/>
      <c r="F114" s="144"/>
      <c r="G114" s="144"/>
      <c r="H114" s="144"/>
    </row>
    <row r="115" spans="1:8">
      <c r="A115" s="144" t="s">
        <v>636</v>
      </c>
      <c r="B115" s="144" t="s">
        <v>635</v>
      </c>
      <c r="C115" s="144"/>
      <c r="D115" s="144"/>
      <c r="E115" s="144"/>
      <c r="F115" s="144"/>
      <c r="G115" s="144"/>
      <c r="H115" s="144"/>
    </row>
    <row r="116" spans="1:8">
      <c r="A116" s="144" t="s">
        <v>638</v>
      </c>
      <c r="B116" s="144" t="s">
        <v>637</v>
      </c>
      <c r="C116" s="144"/>
      <c r="D116" s="144"/>
      <c r="E116" s="144"/>
      <c r="F116" s="144"/>
      <c r="G116" s="144"/>
      <c r="H116" s="144"/>
    </row>
    <row r="117" spans="1:8">
      <c r="A117" s="144" t="s">
        <v>206</v>
      </c>
      <c r="B117" s="144" t="s">
        <v>205</v>
      </c>
      <c r="C117" s="145">
        <v>540.9</v>
      </c>
      <c r="D117" s="145">
        <v>519.1</v>
      </c>
      <c r="E117" s="145">
        <v>-41.7</v>
      </c>
      <c r="F117" s="145">
        <v>93.8</v>
      </c>
      <c r="G117" s="144" t="s">
        <v>13</v>
      </c>
      <c r="H117" s="144" t="s">
        <v>13</v>
      </c>
    </row>
    <row r="118" spans="1:8">
      <c r="A118" s="144" t="s">
        <v>209</v>
      </c>
      <c r="B118" s="144" t="s">
        <v>208</v>
      </c>
      <c r="C118" s="145">
        <v>463.7</v>
      </c>
      <c r="D118" s="145">
        <v>431.5</v>
      </c>
      <c r="E118" s="145">
        <v>-42.5</v>
      </c>
      <c r="F118" s="145">
        <v>98.5</v>
      </c>
      <c r="G118" s="144" t="s">
        <v>13</v>
      </c>
      <c r="H118" s="144" t="s">
        <v>13</v>
      </c>
    </row>
    <row r="119" spans="1:8">
      <c r="A119" s="144" t="s">
        <v>212</v>
      </c>
      <c r="B119" s="144" t="s">
        <v>211</v>
      </c>
      <c r="C119" s="145">
        <v>531.29999999999995</v>
      </c>
      <c r="D119" s="145">
        <v>363.5</v>
      </c>
      <c r="E119" s="145">
        <v>-40.200000000000003</v>
      </c>
      <c r="F119" s="145">
        <v>117.2</v>
      </c>
      <c r="G119" s="144" t="s">
        <v>13</v>
      </c>
      <c r="H119" s="146" t="s">
        <v>14</v>
      </c>
    </row>
    <row r="120" spans="1:8">
      <c r="A120" s="144" t="s">
        <v>215</v>
      </c>
      <c r="B120" s="144" t="s">
        <v>214</v>
      </c>
      <c r="C120" s="145">
        <v>450.3</v>
      </c>
      <c r="D120" s="145">
        <v>378.8</v>
      </c>
      <c r="E120" s="145">
        <v>-45.4</v>
      </c>
      <c r="F120" s="145">
        <v>100.2</v>
      </c>
      <c r="G120" s="144" t="s">
        <v>13</v>
      </c>
      <c r="H120" s="144" t="s">
        <v>13</v>
      </c>
    </row>
    <row r="121" spans="1:8">
      <c r="A121" s="144" t="s">
        <v>646</v>
      </c>
      <c r="B121" s="144" t="s">
        <v>645</v>
      </c>
      <c r="C121" s="144"/>
      <c r="D121" s="144"/>
      <c r="E121" s="144"/>
      <c r="F121" s="144"/>
      <c r="G121" s="144"/>
      <c r="H121" s="144"/>
    </row>
    <row r="122" spans="1:8">
      <c r="A122" s="144" t="s">
        <v>660</v>
      </c>
      <c r="B122" s="144" t="s">
        <v>659</v>
      </c>
      <c r="C122" s="144"/>
      <c r="D122" s="144"/>
      <c r="E122" s="144"/>
      <c r="F122" s="144"/>
      <c r="G122" s="144"/>
      <c r="H122" s="144"/>
    </row>
    <row r="123" spans="1:8">
      <c r="A123" s="144" t="s">
        <v>664</v>
      </c>
      <c r="B123" s="144" t="s">
        <v>663</v>
      </c>
      <c r="C123" s="144"/>
      <c r="D123" s="144"/>
      <c r="E123" s="144"/>
      <c r="F123" s="144"/>
      <c r="G123" s="144"/>
      <c r="H123" s="144"/>
    </row>
    <row r="124" spans="1:8">
      <c r="A124" s="144" t="s">
        <v>666</v>
      </c>
      <c r="B124" s="144" t="s">
        <v>665</v>
      </c>
      <c r="C124" s="144"/>
      <c r="D124" s="144"/>
      <c r="E124" s="144"/>
      <c r="F124" s="144"/>
      <c r="G124" s="144"/>
      <c r="H124" s="144"/>
    </row>
    <row r="125" spans="1:8">
      <c r="A125" s="144" t="s">
        <v>218</v>
      </c>
      <c r="B125" s="144" t="s">
        <v>217</v>
      </c>
      <c r="C125" s="145">
        <v>528</v>
      </c>
      <c r="D125" s="145">
        <v>591</v>
      </c>
      <c r="E125" s="145">
        <v>-41.9</v>
      </c>
      <c r="F125" s="145">
        <v>91.4</v>
      </c>
      <c r="G125" s="144" t="s">
        <v>13</v>
      </c>
      <c r="H125" s="144" t="s">
        <v>13</v>
      </c>
    </row>
    <row r="126" spans="1:8">
      <c r="A126" s="144" t="s">
        <v>668</v>
      </c>
      <c r="B126" s="144" t="s">
        <v>667</v>
      </c>
      <c r="C126" s="144"/>
      <c r="D126" s="144"/>
      <c r="E126" s="144"/>
      <c r="F126" s="144"/>
      <c r="G126" s="144"/>
      <c r="H126" s="144"/>
    </row>
    <row r="127" spans="1:8">
      <c r="A127" s="144" t="s">
        <v>221</v>
      </c>
      <c r="B127" s="144" t="s">
        <v>220</v>
      </c>
      <c r="C127" s="145">
        <v>537.1</v>
      </c>
      <c r="D127" s="145">
        <v>438.4</v>
      </c>
      <c r="E127" s="145">
        <v>-40.1</v>
      </c>
      <c r="F127" s="145">
        <v>84.1</v>
      </c>
      <c r="G127" s="144" t="s">
        <v>13</v>
      </c>
      <c r="H127" s="144" t="s">
        <v>13</v>
      </c>
    </row>
    <row r="128" spans="1:8">
      <c r="A128" s="144" t="s">
        <v>672</v>
      </c>
      <c r="B128" s="144" t="s">
        <v>671</v>
      </c>
      <c r="C128" s="144"/>
      <c r="D128" s="144"/>
      <c r="E128" s="144"/>
      <c r="F128" s="144"/>
      <c r="G128" s="144"/>
      <c r="H128" s="144"/>
    </row>
    <row r="129" spans="1:8">
      <c r="A129" s="144" t="s">
        <v>674</v>
      </c>
      <c r="B129" s="144" t="s">
        <v>673</v>
      </c>
      <c r="C129" s="144"/>
      <c r="D129" s="144"/>
      <c r="E129" s="144"/>
      <c r="F129" s="144"/>
      <c r="G129" s="144"/>
      <c r="H129" s="144"/>
    </row>
    <row r="130" spans="1:8">
      <c r="A130" s="144" t="s">
        <v>676</v>
      </c>
      <c r="B130" s="144" t="s">
        <v>675</v>
      </c>
      <c r="C130" s="144"/>
      <c r="D130" s="144"/>
      <c r="E130" s="144"/>
      <c r="F130" s="144"/>
      <c r="G130" s="144"/>
      <c r="H130" s="144"/>
    </row>
    <row r="131" spans="1:8">
      <c r="A131" s="144" t="s">
        <v>224</v>
      </c>
      <c r="B131" s="144" t="s">
        <v>223</v>
      </c>
      <c r="C131" s="145">
        <v>408</v>
      </c>
      <c r="D131" s="145">
        <v>372.5</v>
      </c>
      <c r="E131" s="145">
        <v>-38.5</v>
      </c>
      <c r="F131" s="145">
        <v>93.7</v>
      </c>
      <c r="G131" s="144" t="s">
        <v>13</v>
      </c>
      <c r="H131" s="146" t="s">
        <v>14</v>
      </c>
    </row>
    <row r="132" spans="1:8">
      <c r="A132" s="144" t="s">
        <v>680</v>
      </c>
      <c r="B132" s="144" t="s">
        <v>679</v>
      </c>
      <c r="C132" s="144"/>
      <c r="D132" s="144"/>
      <c r="E132" s="144"/>
      <c r="F132" s="144"/>
      <c r="G132" s="144"/>
      <c r="H132" s="144"/>
    </row>
    <row r="133" spans="1:8">
      <c r="A133" s="144" t="s">
        <v>684</v>
      </c>
      <c r="B133" s="144" t="s">
        <v>683</v>
      </c>
      <c r="C133" s="144"/>
      <c r="D133" s="144"/>
      <c r="E133" s="144"/>
      <c r="F133" s="144"/>
      <c r="G133" s="144"/>
      <c r="H133" s="144"/>
    </row>
    <row r="134" spans="1:8">
      <c r="A134" s="144" t="s">
        <v>686</v>
      </c>
      <c r="B134" s="144" t="s">
        <v>685</v>
      </c>
      <c r="C134" s="144"/>
      <c r="D134" s="144"/>
      <c r="E134" s="144"/>
      <c r="F134" s="144"/>
      <c r="G134" s="144"/>
      <c r="H134" s="144"/>
    </row>
    <row r="135" spans="1:8">
      <c r="A135" s="144" t="s">
        <v>690</v>
      </c>
      <c r="B135" s="144" t="s">
        <v>689</v>
      </c>
      <c r="C135" s="144"/>
      <c r="D135" s="144"/>
      <c r="E135" s="144"/>
      <c r="F135" s="144"/>
      <c r="G135" s="144"/>
      <c r="H135" s="144"/>
    </row>
    <row r="136" spans="1:8">
      <c r="A136" s="144" t="s">
        <v>700</v>
      </c>
      <c r="B136" s="144" t="s">
        <v>699</v>
      </c>
      <c r="C136" s="144"/>
      <c r="D136" s="144"/>
      <c r="E136" s="144"/>
      <c r="F136" s="144"/>
      <c r="G136" s="144"/>
      <c r="H136" s="144"/>
    </row>
    <row r="137" spans="1:8">
      <c r="A137" s="144" t="s">
        <v>702</v>
      </c>
      <c r="B137" s="144" t="s">
        <v>701</v>
      </c>
      <c r="C137" s="144"/>
      <c r="D137" s="144"/>
      <c r="E137" s="144"/>
      <c r="F137" s="144"/>
      <c r="G137" s="144"/>
      <c r="H137" s="144"/>
    </row>
    <row r="138" spans="1:8">
      <c r="A138" s="144" t="s">
        <v>227</v>
      </c>
      <c r="B138" s="144" t="s">
        <v>226</v>
      </c>
      <c r="C138" s="145">
        <v>493.1</v>
      </c>
      <c r="D138" s="145">
        <v>509.4</v>
      </c>
      <c r="E138" s="145">
        <v>-38.5</v>
      </c>
      <c r="F138" s="145">
        <v>123.6</v>
      </c>
      <c r="G138" s="144" t="s">
        <v>13</v>
      </c>
      <c r="H138" s="144" t="s">
        <v>13</v>
      </c>
    </row>
    <row r="139" spans="1:8">
      <c r="A139" s="144" t="s">
        <v>230</v>
      </c>
      <c r="B139" s="144" t="s">
        <v>229</v>
      </c>
      <c r="C139" s="145">
        <v>550.4</v>
      </c>
      <c r="D139" s="145">
        <v>406.9</v>
      </c>
      <c r="E139" s="145">
        <v>-45.3</v>
      </c>
      <c r="F139" s="145">
        <v>111.5</v>
      </c>
      <c r="G139" s="144" t="s">
        <v>13</v>
      </c>
      <c r="H139" s="144" t="s">
        <v>13</v>
      </c>
    </row>
    <row r="140" spans="1:8">
      <c r="A140" s="144" t="s">
        <v>708</v>
      </c>
      <c r="B140" s="144" t="s">
        <v>707</v>
      </c>
      <c r="C140" s="144"/>
      <c r="D140" s="144"/>
      <c r="E140" s="144"/>
      <c r="F140" s="144"/>
      <c r="G140" s="144"/>
      <c r="H140" s="144"/>
    </row>
    <row r="141" spans="1:8">
      <c r="A141" s="144" t="s">
        <v>233</v>
      </c>
      <c r="B141" s="144" t="s">
        <v>232</v>
      </c>
      <c r="C141" s="145">
        <v>491.6</v>
      </c>
      <c r="D141" s="145">
        <v>538.4</v>
      </c>
      <c r="E141" s="145">
        <v>-49.7</v>
      </c>
      <c r="F141" s="145">
        <v>87.3</v>
      </c>
      <c r="G141" s="144" t="s">
        <v>13</v>
      </c>
      <c r="H141" s="144" t="s">
        <v>13</v>
      </c>
    </row>
    <row r="142" spans="1:8">
      <c r="A142" s="144" t="s">
        <v>722</v>
      </c>
      <c r="B142" s="144" t="s">
        <v>721</v>
      </c>
      <c r="C142" s="144"/>
      <c r="D142" s="144"/>
      <c r="E142" s="144"/>
      <c r="F142" s="144"/>
      <c r="G142" s="144"/>
      <c r="H142" s="144"/>
    </row>
    <row r="143" spans="1:8">
      <c r="A143" s="144" t="s">
        <v>724</v>
      </c>
      <c r="B143" s="144" t="s">
        <v>723</v>
      </c>
      <c r="C143" s="144"/>
      <c r="D143" s="144"/>
      <c r="E143" s="144"/>
      <c r="F143" s="144"/>
      <c r="G143" s="144"/>
      <c r="H143" s="144"/>
    </row>
    <row r="144" spans="1:8">
      <c r="A144" s="144" t="s">
        <v>236</v>
      </c>
      <c r="B144" s="144" t="s">
        <v>235</v>
      </c>
      <c r="C144" s="145">
        <v>459.4</v>
      </c>
      <c r="D144" s="145">
        <v>449.2</v>
      </c>
      <c r="E144" s="145">
        <v>-46</v>
      </c>
      <c r="F144" s="145">
        <v>108.2</v>
      </c>
      <c r="G144" s="144" t="s">
        <v>13</v>
      </c>
      <c r="H144" s="144" t="s">
        <v>13</v>
      </c>
    </row>
    <row r="145" spans="1:8">
      <c r="A145" s="144" t="s">
        <v>732</v>
      </c>
      <c r="B145" s="144" t="s">
        <v>731</v>
      </c>
      <c r="C145" s="144"/>
      <c r="D145" s="144"/>
      <c r="E145" s="144"/>
      <c r="F145" s="144"/>
      <c r="G145" s="144"/>
      <c r="H145" s="144"/>
    </row>
    <row r="146" spans="1:8">
      <c r="A146" s="144" t="s">
        <v>734</v>
      </c>
      <c r="B146" s="144" t="s">
        <v>733</v>
      </c>
      <c r="C146" s="144"/>
      <c r="D146" s="144"/>
      <c r="E146" s="144"/>
      <c r="F146" s="144"/>
      <c r="G146" s="144"/>
      <c r="H146" s="144"/>
    </row>
    <row r="147" spans="1:8">
      <c r="A147" s="144" t="s">
        <v>742</v>
      </c>
      <c r="B147" s="144" t="s">
        <v>741</v>
      </c>
      <c r="C147" s="144"/>
      <c r="D147" s="144"/>
      <c r="E147" s="144"/>
      <c r="F147" s="144"/>
      <c r="G147" s="144"/>
      <c r="H147" s="144"/>
    </row>
    <row r="148" spans="1:8">
      <c r="A148" s="144" t="s">
        <v>744</v>
      </c>
      <c r="B148" s="144" t="s">
        <v>743</v>
      </c>
      <c r="C148" s="144"/>
      <c r="D148" s="144"/>
      <c r="E148" s="144"/>
      <c r="F148" s="144"/>
      <c r="G148" s="144"/>
      <c r="H148" s="144"/>
    </row>
    <row r="149" spans="1:8">
      <c r="A149" s="144" t="s">
        <v>239</v>
      </c>
      <c r="B149" s="144" t="s">
        <v>238</v>
      </c>
      <c r="C149" s="145">
        <v>443.3</v>
      </c>
      <c r="D149" s="145">
        <v>271.8</v>
      </c>
      <c r="E149" s="145">
        <v>-37.299999999999997</v>
      </c>
      <c r="F149" s="145">
        <v>102.3</v>
      </c>
      <c r="G149" s="144" t="s">
        <v>13</v>
      </c>
      <c r="H149" s="146" t="s">
        <v>14</v>
      </c>
    </row>
    <row r="150" spans="1:8">
      <c r="A150" s="144" t="s">
        <v>754</v>
      </c>
      <c r="B150" s="144" t="s">
        <v>753</v>
      </c>
      <c r="C150" s="144"/>
      <c r="D150" s="144"/>
      <c r="E150" s="144"/>
      <c r="F150" s="144"/>
      <c r="G150" s="144"/>
      <c r="H150" s="144"/>
    </row>
    <row r="151" spans="1:8">
      <c r="A151" s="144" t="s">
        <v>758</v>
      </c>
      <c r="B151" s="144" t="s">
        <v>757</v>
      </c>
      <c r="C151" s="144"/>
      <c r="D151" s="144"/>
      <c r="E151" s="144"/>
      <c r="F151" s="144"/>
      <c r="G151" s="144"/>
      <c r="H151" s="144"/>
    </row>
    <row r="152" spans="1:8">
      <c r="A152" s="144" t="s">
        <v>242</v>
      </c>
      <c r="B152" s="144" t="s">
        <v>241</v>
      </c>
      <c r="C152" s="145">
        <v>372.9</v>
      </c>
      <c r="D152" s="145">
        <v>272.89999999999998</v>
      </c>
      <c r="E152" s="145">
        <v>-39.799999999999997</v>
      </c>
      <c r="F152" s="145">
        <v>110.8</v>
      </c>
      <c r="G152" s="146" t="s">
        <v>14</v>
      </c>
      <c r="H152" s="146" t="s">
        <v>14</v>
      </c>
    </row>
    <row r="153" spans="1:8">
      <c r="A153" s="144" t="s">
        <v>245</v>
      </c>
      <c r="B153" s="144" t="s">
        <v>244</v>
      </c>
      <c r="C153" s="145">
        <v>592.1</v>
      </c>
      <c r="D153" s="145">
        <v>383.8</v>
      </c>
      <c r="E153" s="145">
        <v>-40.799999999999997</v>
      </c>
      <c r="F153" s="145">
        <v>104.1</v>
      </c>
      <c r="G153" s="144" t="s">
        <v>13</v>
      </c>
      <c r="H153" s="144" t="s">
        <v>13</v>
      </c>
    </row>
    <row r="154" spans="1:8">
      <c r="A154" s="144" t="s">
        <v>774</v>
      </c>
      <c r="B154" s="144" t="s">
        <v>773</v>
      </c>
      <c r="C154" s="144"/>
      <c r="D154" s="144"/>
      <c r="E154" s="144"/>
      <c r="F154" s="144"/>
      <c r="G154" s="144"/>
      <c r="H154" s="144"/>
    </row>
    <row r="155" spans="1:8">
      <c r="A155" s="144" t="s">
        <v>776</v>
      </c>
      <c r="B155" s="144" t="s">
        <v>775</v>
      </c>
      <c r="C155" s="144"/>
      <c r="D155" s="144"/>
      <c r="E155" s="144"/>
      <c r="F155" s="144"/>
      <c r="G155" s="144"/>
      <c r="H155" s="144"/>
    </row>
    <row r="156" spans="1:8">
      <c r="A156" s="144" t="s">
        <v>248</v>
      </c>
      <c r="B156" s="144" t="s">
        <v>247</v>
      </c>
      <c r="C156" s="145">
        <v>248.9</v>
      </c>
      <c r="D156" s="145">
        <v>229.3</v>
      </c>
      <c r="E156" s="145">
        <v>-43.6</v>
      </c>
      <c r="F156" s="145">
        <v>105.7</v>
      </c>
      <c r="G156" s="146" t="s">
        <v>14</v>
      </c>
      <c r="H156" s="146" t="s">
        <v>14</v>
      </c>
    </row>
    <row r="157" spans="1:8">
      <c r="A157" s="144" t="s">
        <v>251</v>
      </c>
      <c r="B157" s="144" t="s">
        <v>250</v>
      </c>
      <c r="C157" s="145">
        <v>405.8</v>
      </c>
      <c r="D157" s="145">
        <v>385.6</v>
      </c>
      <c r="E157" s="145">
        <v>-46.1</v>
      </c>
      <c r="F157" s="145">
        <v>114.2</v>
      </c>
      <c r="G157" s="144" t="s">
        <v>13</v>
      </c>
      <c r="H157" s="144" t="s">
        <v>13</v>
      </c>
    </row>
    <row r="158" spans="1:8">
      <c r="A158" s="144" t="s">
        <v>254</v>
      </c>
      <c r="B158" s="144" t="s">
        <v>253</v>
      </c>
      <c r="C158" s="145">
        <v>529.1</v>
      </c>
      <c r="D158" s="145">
        <v>608.70000000000005</v>
      </c>
      <c r="E158" s="145">
        <v>-32.200000000000003</v>
      </c>
      <c r="F158" s="145">
        <v>104.3</v>
      </c>
      <c r="G158" s="144" t="s">
        <v>13</v>
      </c>
      <c r="H158" s="144" t="s">
        <v>13</v>
      </c>
    </row>
    <row r="159" spans="1:8">
      <c r="A159" s="144" t="s">
        <v>257</v>
      </c>
      <c r="B159" s="144" t="s">
        <v>256</v>
      </c>
      <c r="C159" s="145">
        <v>536.79999999999995</v>
      </c>
      <c r="D159" s="145">
        <v>540.79999999999995</v>
      </c>
      <c r="E159" s="145">
        <v>-40</v>
      </c>
      <c r="F159" s="145">
        <v>76.400000000000006</v>
      </c>
      <c r="G159" s="144" t="s">
        <v>13</v>
      </c>
      <c r="H159" s="144" t="s">
        <v>13</v>
      </c>
    </row>
    <row r="160" spans="1:8">
      <c r="A160" s="144" t="s">
        <v>784</v>
      </c>
      <c r="B160" s="144" t="s">
        <v>783</v>
      </c>
      <c r="C160" s="144"/>
      <c r="D160" s="144"/>
      <c r="E160" s="144"/>
      <c r="F160" s="144"/>
      <c r="G160" s="144"/>
      <c r="H160" s="144"/>
    </row>
    <row r="161" spans="1:8">
      <c r="A161" s="144" t="s">
        <v>786</v>
      </c>
      <c r="B161" s="144" t="s">
        <v>785</v>
      </c>
      <c r="C161" s="144"/>
      <c r="D161" s="144"/>
      <c r="E161" s="144"/>
      <c r="F161" s="144"/>
      <c r="G161" s="144"/>
      <c r="H161" s="144"/>
    </row>
    <row r="162" spans="1:8">
      <c r="A162" s="144" t="s">
        <v>260</v>
      </c>
      <c r="B162" s="144" t="s">
        <v>259</v>
      </c>
      <c r="C162" s="145">
        <v>694</v>
      </c>
      <c r="D162" s="145">
        <v>483.9</v>
      </c>
      <c r="E162" s="145">
        <v>-36.799999999999997</v>
      </c>
      <c r="F162" s="145">
        <v>99.3</v>
      </c>
      <c r="G162" s="144" t="s">
        <v>13</v>
      </c>
      <c r="H162" s="144" t="s">
        <v>13</v>
      </c>
    </row>
    <row r="163" spans="1:8">
      <c r="A163" s="144" t="s">
        <v>263</v>
      </c>
      <c r="B163" s="144" t="s">
        <v>262</v>
      </c>
      <c r="C163" s="145">
        <v>525</v>
      </c>
      <c r="D163" s="145">
        <v>433.4</v>
      </c>
      <c r="E163" s="145">
        <v>-41.9</v>
      </c>
      <c r="F163" s="145">
        <v>107</v>
      </c>
      <c r="G163" s="144" t="s">
        <v>13</v>
      </c>
      <c r="H163" s="144" t="s">
        <v>13</v>
      </c>
    </row>
    <row r="164" spans="1:8">
      <c r="A164" s="144" t="s">
        <v>788</v>
      </c>
      <c r="B164" s="144" t="s">
        <v>787</v>
      </c>
      <c r="C164" s="144"/>
      <c r="D164" s="144"/>
      <c r="E164" s="144"/>
      <c r="F164" s="144"/>
      <c r="G164" s="144"/>
      <c r="H164" s="144"/>
    </row>
    <row r="165" spans="1:8">
      <c r="A165" s="144" t="s">
        <v>798</v>
      </c>
      <c r="B165" s="144" t="s">
        <v>797</v>
      </c>
      <c r="C165" s="144"/>
      <c r="D165" s="144"/>
      <c r="E165" s="144"/>
      <c r="F165" s="144"/>
      <c r="G165" s="144"/>
      <c r="H165" s="144"/>
    </row>
    <row r="166" spans="1:8">
      <c r="A166" s="144" t="s">
        <v>800</v>
      </c>
      <c r="B166" s="144" t="s">
        <v>799</v>
      </c>
      <c r="C166" s="144"/>
      <c r="D166" s="144"/>
      <c r="E166" s="144"/>
      <c r="F166" s="144"/>
      <c r="G166" s="144"/>
      <c r="H166" s="144"/>
    </row>
    <row r="167" spans="1:8">
      <c r="A167" s="144" t="s">
        <v>802</v>
      </c>
      <c r="B167" s="144" t="s">
        <v>801</v>
      </c>
      <c r="C167" s="144"/>
      <c r="D167" s="144"/>
      <c r="E167" s="144"/>
      <c r="F167" s="144"/>
      <c r="G167" s="144"/>
      <c r="H167" s="144"/>
    </row>
    <row r="168" spans="1:8">
      <c r="A168" s="144" t="s">
        <v>804</v>
      </c>
      <c r="B168" s="144" t="s">
        <v>803</v>
      </c>
      <c r="C168" s="144"/>
      <c r="D168" s="144"/>
      <c r="E168" s="144"/>
      <c r="F168" s="144"/>
      <c r="G168" s="144"/>
      <c r="H168" s="144"/>
    </row>
    <row r="169" spans="1:8">
      <c r="A169" s="144" t="s">
        <v>808</v>
      </c>
      <c r="B169" s="144" t="s">
        <v>807</v>
      </c>
      <c r="C169" s="144"/>
      <c r="D169" s="144"/>
      <c r="E169" s="144"/>
      <c r="F169" s="144"/>
      <c r="G169" s="144"/>
      <c r="H169" s="144"/>
    </row>
    <row r="170" spans="1:8">
      <c r="A170" s="144" t="s">
        <v>810</v>
      </c>
      <c r="B170" s="144" t="s">
        <v>809</v>
      </c>
      <c r="C170" s="144"/>
      <c r="D170" s="144"/>
      <c r="E170" s="144"/>
      <c r="F170" s="144"/>
      <c r="G170" s="144"/>
      <c r="H170" s="144"/>
    </row>
    <row r="171" spans="1:8">
      <c r="A171" s="144" t="s">
        <v>266</v>
      </c>
      <c r="B171" s="144" t="s">
        <v>265</v>
      </c>
      <c r="C171" s="145">
        <v>517.4</v>
      </c>
      <c r="D171" s="145">
        <v>708.6</v>
      </c>
      <c r="E171" s="145">
        <v>-34.799999999999997</v>
      </c>
      <c r="F171" s="145">
        <v>93.3</v>
      </c>
      <c r="G171" s="144" t="s">
        <v>13</v>
      </c>
      <c r="H171" s="144" t="s">
        <v>13</v>
      </c>
    </row>
    <row r="172" spans="1:8">
      <c r="A172" s="144" t="s">
        <v>812</v>
      </c>
      <c r="B172" s="144" t="s">
        <v>811</v>
      </c>
      <c r="C172" s="144"/>
      <c r="D172" s="144"/>
      <c r="E172" s="144"/>
      <c r="F172" s="144"/>
      <c r="G172" s="144"/>
      <c r="H172" s="144"/>
    </row>
    <row r="173" spans="1:8">
      <c r="A173" s="144" t="s">
        <v>814</v>
      </c>
      <c r="B173" s="144" t="s">
        <v>813</v>
      </c>
      <c r="C173" s="144"/>
      <c r="D173" s="144"/>
      <c r="E173" s="144"/>
      <c r="F173" s="144"/>
      <c r="G173" s="144"/>
      <c r="H173" s="144"/>
    </row>
    <row r="174" spans="1:8">
      <c r="A174" s="144" t="s">
        <v>269</v>
      </c>
      <c r="B174" s="144" t="s">
        <v>268</v>
      </c>
      <c r="C174" s="145">
        <v>621.79999999999995</v>
      </c>
      <c r="D174" s="145">
        <v>418.1</v>
      </c>
      <c r="E174" s="145">
        <v>-44</v>
      </c>
      <c r="F174" s="145">
        <v>86.9</v>
      </c>
      <c r="G174" s="144" t="s">
        <v>13</v>
      </c>
      <c r="H174" s="144" t="s">
        <v>13</v>
      </c>
    </row>
    <row r="175" spans="1:8">
      <c r="A175" s="144" t="s">
        <v>838</v>
      </c>
      <c r="B175" s="144" t="s">
        <v>837</v>
      </c>
      <c r="C175" s="144"/>
      <c r="D175" s="144"/>
      <c r="E175" s="144"/>
      <c r="F175" s="144"/>
      <c r="G175" s="144"/>
      <c r="H175" s="144"/>
    </row>
    <row r="176" spans="1:8">
      <c r="A176" s="144" t="s">
        <v>272</v>
      </c>
      <c r="B176" s="144" t="s">
        <v>271</v>
      </c>
      <c r="C176" s="145">
        <v>699.5</v>
      </c>
      <c r="D176" s="145">
        <v>649.1</v>
      </c>
      <c r="E176" s="145">
        <v>-39.4</v>
      </c>
      <c r="F176" s="145">
        <v>82.3</v>
      </c>
      <c r="G176" s="144" t="s">
        <v>13</v>
      </c>
      <c r="H176" s="144" t="s">
        <v>13</v>
      </c>
    </row>
    <row r="177" spans="1:8">
      <c r="A177" s="144" t="s">
        <v>275</v>
      </c>
      <c r="B177" s="144" t="s">
        <v>274</v>
      </c>
      <c r="C177" s="145">
        <v>484.2</v>
      </c>
      <c r="D177" s="145">
        <v>463.8</v>
      </c>
      <c r="E177" s="145">
        <v>-39.5</v>
      </c>
      <c r="F177" s="145">
        <v>105.5</v>
      </c>
      <c r="G177" s="144" t="s">
        <v>13</v>
      </c>
      <c r="H177" s="144" t="s">
        <v>13</v>
      </c>
    </row>
    <row r="178" spans="1:8">
      <c r="A178" s="144" t="s">
        <v>278</v>
      </c>
      <c r="B178" s="144" t="s">
        <v>277</v>
      </c>
      <c r="C178" s="145">
        <v>470.6</v>
      </c>
      <c r="D178" s="145">
        <v>449.9</v>
      </c>
      <c r="E178" s="145">
        <v>-41</v>
      </c>
      <c r="F178" s="145">
        <v>95.4</v>
      </c>
      <c r="G178" s="144" t="s">
        <v>13</v>
      </c>
      <c r="H178" s="144" t="s">
        <v>13</v>
      </c>
    </row>
    <row r="179" spans="1:8">
      <c r="A179" s="144" t="s">
        <v>281</v>
      </c>
      <c r="B179" s="144" t="s">
        <v>280</v>
      </c>
      <c r="C179" s="145">
        <v>505.8</v>
      </c>
      <c r="D179" s="145">
        <v>640</v>
      </c>
      <c r="E179" s="145">
        <v>-37.200000000000003</v>
      </c>
      <c r="F179" s="145">
        <v>78.099999999999994</v>
      </c>
      <c r="G179" s="144" t="s">
        <v>13</v>
      </c>
      <c r="H179" s="144" t="s">
        <v>13</v>
      </c>
    </row>
    <row r="180" spans="1:8">
      <c r="A180" s="144" t="s">
        <v>720</v>
      </c>
      <c r="B180" s="144" t="s">
        <v>719</v>
      </c>
      <c r="C180" s="144"/>
      <c r="D180" s="144"/>
      <c r="E180" s="144"/>
      <c r="F180" s="144"/>
      <c r="G180" s="144"/>
      <c r="H180" s="144"/>
    </row>
    <row r="181" spans="1:8">
      <c r="A181" s="144" t="s">
        <v>284</v>
      </c>
      <c r="B181" s="144" t="s">
        <v>283</v>
      </c>
      <c r="C181" s="145">
        <v>558.20000000000005</v>
      </c>
      <c r="D181" s="145">
        <v>643.4</v>
      </c>
      <c r="E181" s="145">
        <v>-32.1</v>
      </c>
      <c r="F181" s="145">
        <v>100.4</v>
      </c>
      <c r="G181" s="144" t="s">
        <v>13</v>
      </c>
      <c r="H181" s="144" t="s">
        <v>13</v>
      </c>
    </row>
    <row r="182" spans="1:8">
      <c r="A182" s="144" t="s">
        <v>588</v>
      </c>
      <c r="B182" s="144" t="s">
        <v>587</v>
      </c>
      <c r="C182" s="144"/>
      <c r="D182" s="144"/>
      <c r="E182" s="144"/>
      <c r="F182" s="144"/>
      <c r="G182" s="144"/>
      <c r="H182" s="144"/>
    </row>
    <row r="183" spans="1:8">
      <c r="A183" s="144" t="s">
        <v>287</v>
      </c>
      <c r="B183" s="144" t="s">
        <v>286</v>
      </c>
      <c r="C183" s="145">
        <v>409.1</v>
      </c>
      <c r="D183" s="145">
        <v>528.9</v>
      </c>
      <c r="E183" s="145">
        <v>-35</v>
      </c>
      <c r="F183" s="145">
        <v>107.4</v>
      </c>
      <c r="G183" s="144" t="s">
        <v>13</v>
      </c>
      <c r="H183" s="144" t="s">
        <v>13</v>
      </c>
    </row>
    <row r="184" spans="1:8">
      <c r="A184" s="144" t="s">
        <v>290</v>
      </c>
      <c r="B184" s="144" t="s">
        <v>289</v>
      </c>
      <c r="C184" s="145">
        <v>438.4</v>
      </c>
      <c r="D184" s="145">
        <v>425.2</v>
      </c>
      <c r="E184" s="145">
        <v>-33.299999999999997</v>
      </c>
      <c r="F184" s="145">
        <v>123.1</v>
      </c>
      <c r="G184" s="144" t="s">
        <v>13</v>
      </c>
      <c r="H184" s="144" t="s">
        <v>13</v>
      </c>
    </row>
    <row r="185" spans="1:8">
      <c r="A185" s="144" t="s">
        <v>293</v>
      </c>
      <c r="B185" s="144" t="s">
        <v>292</v>
      </c>
      <c r="C185" s="145">
        <v>470.9</v>
      </c>
      <c r="D185" s="145">
        <v>581.79999999999995</v>
      </c>
      <c r="E185" s="145">
        <v>-39.200000000000003</v>
      </c>
      <c r="F185" s="145">
        <v>107.2</v>
      </c>
      <c r="G185" s="144" t="s">
        <v>13</v>
      </c>
      <c r="H185" s="144" t="s">
        <v>13</v>
      </c>
    </row>
    <row r="186" spans="1:8">
      <c r="A186" s="144" t="s">
        <v>296</v>
      </c>
      <c r="B186" s="144" t="s">
        <v>295</v>
      </c>
      <c r="C186" s="145">
        <v>499.3</v>
      </c>
      <c r="D186" s="145">
        <v>622.79999999999995</v>
      </c>
      <c r="E186" s="145">
        <v>-34</v>
      </c>
      <c r="F186" s="145">
        <v>112.9</v>
      </c>
      <c r="G186" s="144" t="s">
        <v>13</v>
      </c>
      <c r="H186" s="144" t="s">
        <v>13</v>
      </c>
    </row>
    <row r="187" spans="1:8">
      <c r="A187" s="144" t="s">
        <v>299</v>
      </c>
      <c r="B187" s="144" t="s">
        <v>298</v>
      </c>
      <c r="C187" s="145">
        <v>574.70000000000005</v>
      </c>
      <c r="D187" s="145">
        <v>446.2</v>
      </c>
      <c r="E187" s="145">
        <v>-35.5</v>
      </c>
      <c r="F187" s="145">
        <v>106.4</v>
      </c>
      <c r="G187" s="144" t="s">
        <v>13</v>
      </c>
      <c r="H187" s="144" t="s">
        <v>13</v>
      </c>
    </row>
    <row r="188" spans="1:8">
      <c r="A188" s="144" t="s">
        <v>303</v>
      </c>
      <c r="B188" s="144" t="s">
        <v>302</v>
      </c>
      <c r="C188" s="145">
        <v>450.4</v>
      </c>
      <c r="D188" s="145">
        <v>519.29999999999995</v>
      </c>
      <c r="E188" s="145">
        <v>-34.200000000000003</v>
      </c>
      <c r="F188" s="145">
        <v>80.7</v>
      </c>
      <c r="G188" s="144" t="s">
        <v>13</v>
      </c>
      <c r="H188" s="144" t="s">
        <v>13</v>
      </c>
    </row>
    <row r="189" spans="1:8">
      <c r="A189" s="144" t="s">
        <v>306</v>
      </c>
      <c r="B189" s="144" t="s">
        <v>305</v>
      </c>
      <c r="C189" s="145">
        <v>376.1</v>
      </c>
      <c r="D189" s="145">
        <v>365.8</v>
      </c>
      <c r="E189" s="145">
        <v>-39.700000000000003</v>
      </c>
      <c r="F189" s="145">
        <v>86.9</v>
      </c>
      <c r="G189" s="144" t="s">
        <v>13</v>
      </c>
      <c r="H189" s="146" t="s">
        <v>14</v>
      </c>
    </row>
    <row r="190" spans="1:8">
      <c r="A190" s="144" t="s">
        <v>309</v>
      </c>
      <c r="B190" s="144" t="s">
        <v>308</v>
      </c>
      <c r="C190" s="145">
        <v>510.2</v>
      </c>
      <c r="D190" s="145">
        <v>477.5</v>
      </c>
      <c r="E190" s="145">
        <v>-31.6</v>
      </c>
      <c r="F190" s="145">
        <v>85.6</v>
      </c>
      <c r="G190" s="144" t="s">
        <v>13</v>
      </c>
      <c r="H190" s="144" t="s">
        <v>13</v>
      </c>
    </row>
    <row r="191" spans="1:8">
      <c r="A191" s="144" t="s">
        <v>312</v>
      </c>
      <c r="B191" s="144" t="s">
        <v>311</v>
      </c>
      <c r="C191" s="145">
        <v>544.29999999999995</v>
      </c>
      <c r="D191" s="145">
        <v>432</v>
      </c>
      <c r="E191" s="145">
        <v>-36.200000000000003</v>
      </c>
      <c r="F191" s="145">
        <v>114.4</v>
      </c>
      <c r="G191" s="144" t="s">
        <v>13</v>
      </c>
      <c r="H191" s="144" t="s">
        <v>13</v>
      </c>
    </row>
    <row r="192" spans="1:8">
      <c r="A192" s="144" t="s">
        <v>622</v>
      </c>
      <c r="B192" s="144" t="s">
        <v>621</v>
      </c>
      <c r="C192" s="144"/>
      <c r="D192" s="144"/>
      <c r="E192" s="144"/>
      <c r="F192" s="144"/>
      <c r="G192" s="144"/>
      <c r="H192" s="144"/>
    </row>
    <row r="193" spans="1:8">
      <c r="A193" s="144" t="s">
        <v>315</v>
      </c>
      <c r="B193" s="144" t="s">
        <v>314</v>
      </c>
      <c r="C193" s="145">
        <v>405.1</v>
      </c>
      <c r="D193" s="145">
        <v>556.29999999999995</v>
      </c>
      <c r="E193" s="145">
        <v>-37.200000000000003</v>
      </c>
      <c r="F193" s="145">
        <v>94.3</v>
      </c>
      <c r="G193" s="144" t="s">
        <v>13</v>
      </c>
      <c r="H193" s="144" t="s">
        <v>13</v>
      </c>
    </row>
    <row r="194" spans="1:8">
      <c r="A194" s="144" t="s">
        <v>318</v>
      </c>
      <c r="B194" s="144" t="s">
        <v>317</v>
      </c>
      <c r="C194" s="145">
        <v>596.1</v>
      </c>
      <c r="D194" s="145">
        <v>487</v>
      </c>
      <c r="E194" s="145">
        <v>-39.6</v>
      </c>
      <c r="F194" s="145">
        <v>94.3</v>
      </c>
      <c r="G194" s="144" t="s">
        <v>13</v>
      </c>
      <c r="H194" s="144" t="s">
        <v>13</v>
      </c>
    </row>
    <row r="195" spans="1:8">
      <c r="A195" s="144" t="s">
        <v>321</v>
      </c>
      <c r="B195" s="144" t="s">
        <v>320</v>
      </c>
      <c r="C195" s="145">
        <v>542.79999999999995</v>
      </c>
      <c r="D195" s="145">
        <v>558.20000000000005</v>
      </c>
      <c r="E195" s="145">
        <v>-37.6</v>
      </c>
      <c r="F195" s="145">
        <v>96</v>
      </c>
      <c r="G195" s="144" t="s">
        <v>13</v>
      </c>
      <c r="H195" s="144" t="s">
        <v>13</v>
      </c>
    </row>
    <row r="196" spans="1:8">
      <c r="A196" s="144" t="s">
        <v>324</v>
      </c>
      <c r="B196" s="144" t="s">
        <v>323</v>
      </c>
      <c r="C196" s="145">
        <v>497.5</v>
      </c>
      <c r="D196" s="145">
        <v>635.70000000000005</v>
      </c>
      <c r="E196" s="145">
        <v>-34.200000000000003</v>
      </c>
      <c r="F196" s="145">
        <v>88.8</v>
      </c>
      <c r="G196" s="144" t="s">
        <v>13</v>
      </c>
      <c r="H196" s="144" t="s">
        <v>13</v>
      </c>
    </row>
    <row r="197" spans="1:8">
      <c r="A197" s="144" t="s">
        <v>327</v>
      </c>
      <c r="B197" s="144" t="s">
        <v>326</v>
      </c>
      <c r="C197" s="145">
        <v>476.9</v>
      </c>
      <c r="D197" s="145">
        <v>585</v>
      </c>
      <c r="E197" s="145">
        <v>-35</v>
      </c>
      <c r="F197" s="145">
        <v>88.6</v>
      </c>
      <c r="G197" s="144" t="s">
        <v>13</v>
      </c>
      <c r="H197" s="144" t="s">
        <v>13</v>
      </c>
    </row>
    <row r="198" spans="1:8">
      <c r="A198" s="144" t="s">
        <v>330</v>
      </c>
      <c r="B198" s="144" t="s">
        <v>329</v>
      </c>
      <c r="C198" s="145">
        <v>478.6</v>
      </c>
      <c r="D198" s="145">
        <v>628</v>
      </c>
      <c r="E198" s="145">
        <v>-36.6</v>
      </c>
      <c r="F198" s="145">
        <v>122</v>
      </c>
      <c r="G198" s="144" t="s">
        <v>13</v>
      </c>
      <c r="H198" s="144" t="s">
        <v>13</v>
      </c>
    </row>
    <row r="199" spans="1:8">
      <c r="A199" s="144" t="s">
        <v>333</v>
      </c>
      <c r="B199" s="144" t="s">
        <v>332</v>
      </c>
      <c r="C199" s="145">
        <v>504.7</v>
      </c>
      <c r="D199" s="145">
        <v>600.9</v>
      </c>
      <c r="E199" s="145">
        <v>-35.700000000000003</v>
      </c>
      <c r="F199" s="145">
        <v>96.4</v>
      </c>
      <c r="G199" s="144" t="s">
        <v>13</v>
      </c>
      <c r="H199" s="144" t="s">
        <v>13</v>
      </c>
    </row>
    <row r="200" spans="1:8">
      <c r="A200" s="144" t="s">
        <v>336</v>
      </c>
      <c r="B200" s="144" t="s">
        <v>335</v>
      </c>
      <c r="C200" s="145">
        <v>628.9</v>
      </c>
      <c r="D200" s="145">
        <v>658.5</v>
      </c>
      <c r="E200" s="145">
        <v>-32.299999999999997</v>
      </c>
      <c r="F200" s="145">
        <v>108</v>
      </c>
      <c r="G200" s="144" t="s">
        <v>13</v>
      </c>
      <c r="H200" s="144" t="s">
        <v>13</v>
      </c>
    </row>
    <row r="201" spans="1:8">
      <c r="A201" s="144" t="s">
        <v>339</v>
      </c>
      <c r="B201" s="144" t="s">
        <v>338</v>
      </c>
      <c r="C201" s="145">
        <v>458.6</v>
      </c>
      <c r="D201" s="145">
        <v>444.2</v>
      </c>
      <c r="E201" s="145">
        <v>-40.799999999999997</v>
      </c>
      <c r="F201" s="145">
        <v>68.599999999999994</v>
      </c>
      <c r="G201" s="144" t="s">
        <v>13</v>
      </c>
      <c r="H201" s="144" t="s">
        <v>13</v>
      </c>
    </row>
    <row r="202" spans="1:8">
      <c r="A202" s="144" t="s">
        <v>342</v>
      </c>
      <c r="B202" s="144" t="s">
        <v>341</v>
      </c>
      <c r="C202" s="145">
        <v>664.3</v>
      </c>
      <c r="D202" s="145">
        <v>378.8</v>
      </c>
      <c r="E202" s="145">
        <v>-33.200000000000003</v>
      </c>
      <c r="F202" s="145">
        <v>116.4</v>
      </c>
      <c r="G202" s="144" t="s">
        <v>13</v>
      </c>
      <c r="H202" s="144" t="s">
        <v>13</v>
      </c>
    </row>
    <row r="203" spans="1:8">
      <c r="A203" s="144" t="s">
        <v>345</v>
      </c>
      <c r="B203" s="144" t="s">
        <v>344</v>
      </c>
      <c r="C203" s="145">
        <v>453.8</v>
      </c>
      <c r="D203" s="145">
        <v>626.1</v>
      </c>
      <c r="E203" s="145">
        <v>-32.9</v>
      </c>
      <c r="F203" s="145">
        <v>100.3</v>
      </c>
      <c r="G203" s="144" t="s">
        <v>13</v>
      </c>
      <c r="H203" s="144" t="s">
        <v>13</v>
      </c>
    </row>
    <row r="204" spans="1:8">
      <c r="A204" s="144" t="s">
        <v>348</v>
      </c>
      <c r="B204" s="144" t="s">
        <v>347</v>
      </c>
      <c r="C204" s="145">
        <v>452</v>
      </c>
      <c r="D204" s="145">
        <v>621</v>
      </c>
      <c r="E204" s="145">
        <v>-35.6</v>
      </c>
      <c r="F204" s="145">
        <v>90</v>
      </c>
      <c r="G204" s="144" t="s">
        <v>13</v>
      </c>
      <c r="H204" s="144" t="s">
        <v>13</v>
      </c>
    </row>
    <row r="205" spans="1:8">
      <c r="A205" s="144" t="s">
        <v>351</v>
      </c>
      <c r="B205" s="144" t="s">
        <v>350</v>
      </c>
      <c r="C205" s="145">
        <v>450.7</v>
      </c>
      <c r="D205" s="145">
        <v>589.20000000000005</v>
      </c>
      <c r="E205" s="145">
        <v>-35.9</v>
      </c>
      <c r="F205" s="145">
        <v>103.1</v>
      </c>
      <c r="G205" s="144" t="s">
        <v>13</v>
      </c>
      <c r="H205" s="144" t="s">
        <v>13</v>
      </c>
    </row>
    <row r="206" spans="1:8">
      <c r="A206" s="144" t="s">
        <v>354</v>
      </c>
      <c r="B206" s="144" t="s">
        <v>353</v>
      </c>
      <c r="C206" s="145">
        <v>520.29999999999995</v>
      </c>
      <c r="D206" s="145">
        <v>602.70000000000005</v>
      </c>
      <c r="E206" s="145">
        <v>-41.3</v>
      </c>
      <c r="F206" s="145">
        <v>107.9</v>
      </c>
      <c r="G206" s="144" t="s">
        <v>13</v>
      </c>
      <c r="H206" s="144" t="s">
        <v>13</v>
      </c>
    </row>
    <row r="207" spans="1:8">
      <c r="A207" s="144" t="s">
        <v>357</v>
      </c>
      <c r="B207" s="144" t="s">
        <v>356</v>
      </c>
      <c r="C207" s="145">
        <v>484.4</v>
      </c>
      <c r="D207" s="145">
        <v>613</v>
      </c>
      <c r="E207" s="145">
        <v>-32.4</v>
      </c>
      <c r="F207" s="145">
        <v>97.6</v>
      </c>
      <c r="G207" s="144" t="s">
        <v>13</v>
      </c>
      <c r="H207" s="144" t="s">
        <v>13</v>
      </c>
    </row>
    <row r="208" spans="1:8">
      <c r="A208" s="144" t="s">
        <v>692</v>
      </c>
      <c r="B208" s="144" t="s">
        <v>691</v>
      </c>
      <c r="C208" s="144"/>
      <c r="D208" s="144"/>
      <c r="E208" s="144"/>
      <c r="F208" s="144"/>
      <c r="G208" s="144"/>
      <c r="H208" s="144"/>
    </row>
    <row r="209" spans="1:8">
      <c r="A209" s="144" t="s">
        <v>360</v>
      </c>
      <c r="B209" s="144" t="s">
        <v>359</v>
      </c>
      <c r="C209" s="145">
        <v>484.8</v>
      </c>
      <c r="D209" s="145">
        <v>625.79999999999995</v>
      </c>
      <c r="E209" s="145">
        <v>-34.6</v>
      </c>
      <c r="F209" s="145">
        <v>123.6</v>
      </c>
      <c r="G209" s="144" t="s">
        <v>13</v>
      </c>
      <c r="H209" s="144" t="s">
        <v>13</v>
      </c>
    </row>
    <row r="210" spans="1:8">
      <c r="A210" s="144" t="s">
        <v>712</v>
      </c>
      <c r="B210" s="144" t="s">
        <v>711</v>
      </c>
      <c r="C210" s="144"/>
      <c r="D210" s="144"/>
      <c r="E210" s="144"/>
      <c r="F210" s="144"/>
      <c r="G210" s="144"/>
      <c r="H210" s="144"/>
    </row>
    <row r="211" spans="1:8">
      <c r="A211" s="144" t="s">
        <v>363</v>
      </c>
      <c r="B211" s="144" t="s">
        <v>362</v>
      </c>
      <c r="C211" s="145">
        <v>488</v>
      </c>
      <c r="D211" s="145">
        <v>347.7</v>
      </c>
      <c r="E211" s="145">
        <v>-36.1</v>
      </c>
      <c r="F211" s="145">
        <v>90.8</v>
      </c>
      <c r="G211" s="144" t="s">
        <v>13</v>
      </c>
      <c r="H211" s="146" t="s">
        <v>14</v>
      </c>
    </row>
    <row r="212" spans="1:8">
      <c r="A212" s="144" t="s">
        <v>366</v>
      </c>
      <c r="B212" s="144" t="s">
        <v>365</v>
      </c>
      <c r="C212" s="145">
        <v>548.70000000000005</v>
      </c>
      <c r="D212" s="145">
        <v>521.9</v>
      </c>
      <c r="E212" s="145">
        <v>-35.799999999999997</v>
      </c>
      <c r="F212" s="145">
        <v>106.3</v>
      </c>
      <c r="G212" s="144" t="s">
        <v>13</v>
      </c>
      <c r="H212" s="144" t="s">
        <v>13</v>
      </c>
    </row>
    <row r="213" spans="1:8">
      <c r="A213" s="144" t="s">
        <v>369</v>
      </c>
      <c r="B213" s="144" t="s">
        <v>368</v>
      </c>
      <c r="C213" s="145">
        <v>638.9</v>
      </c>
      <c r="D213" s="145">
        <v>627.70000000000005</v>
      </c>
      <c r="E213" s="145">
        <v>-38.6</v>
      </c>
      <c r="F213" s="145">
        <v>111.6</v>
      </c>
      <c r="G213" s="144" t="s">
        <v>13</v>
      </c>
      <c r="H213" s="144" t="s">
        <v>13</v>
      </c>
    </row>
    <row r="214" spans="1:8">
      <c r="A214" s="144" t="s">
        <v>750</v>
      </c>
      <c r="B214" s="144" t="s">
        <v>749</v>
      </c>
      <c r="C214" s="144"/>
      <c r="D214" s="144"/>
      <c r="E214" s="144"/>
      <c r="F214" s="144"/>
      <c r="G214" s="144"/>
      <c r="H214" s="144"/>
    </row>
    <row r="215" spans="1:8">
      <c r="A215" s="144" t="s">
        <v>760</v>
      </c>
      <c r="B215" s="144" t="s">
        <v>759</v>
      </c>
      <c r="C215" s="144"/>
      <c r="D215" s="144"/>
      <c r="E215" s="144"/>
      <c r="F215" s="144"/>
      <c r="G215" s="144"/>
      <c r="H215" s="144"/>
    </row>
    <row r="216" spans="1:8">
      <c r="A216" s="144" t="s">
        <v>372</v>
      </c>
      <c r="B216" s="144" t="s">
        <v>371</v>
      </c>
      <c r="C216" s="145">
        <v>362</v>
      </c>
      <c r="D216" s="145">
        <v>492.1</v>
      </c>
      <c r="E216" s="145">
        <v>-35.9</v>
      </c>
      <c r="F216" s="145">
        <v>79.7</v>
      </c>
      <c r="G216" s="146" t="s">
        <v>14</v>
      </c>
      <c r="H216" s="144" t="s">
        <v>13</v>
      </c>
    </row>
    <row r="217" spans="1:8">
      <c r="A217" s="144" t="s">
        <v>375</v>
      </c>
      <c r="B217" s="144" t="s">
        <v>374</v>
      </c>
      <c r="C217" s="145">
        <v>434.9</v>
      </c>
      <c r="D217" s="145">
        <v>462.9</v>
      </c>
      <c r="E217" s="145">
        <v>-37.6</v>
      </c>
      <c r="F217" s="145">
        <v>88.1</v>
      </c>
      <c r="G217" s="144" t="s">
        <v>13</v>
      </c>
      <c r="H217" s="144" t="s">
        <v>13</v>
      </c>
    </row>
    <row r="218" spans="1:8">
      <c r="A218" s="144" t="s">
        <v>768</v>
      </c>
      <c r="B218" s="144" t="s">
        <v>767</v>
      </c>
      <c r="C218" s="144"/>
      <c r="D218" s="144"/>
      <c r="E218" s="144"/>
      <c r="F218" s="144"/>
      <c r="G218" s="144"/>
      <c r="H218" s="144"/>
    </row>
    <row r="219" spans="1:8">
      <c r="A219" s="144" t="s">
        <v>778</v>
      </c>
      <c r="B219" s="144" t="s">
        <v>777</v>
      </c>
      <c r="C219" s="144"/>
      <c r="D219" s="144"/>
      <c r="E219" s="144"/>
      <c r="F219" s="144"/>
      <c r="G219" s="144"/>
      <c r="H219" s="144"/>
    </row>
    <row r="220" spans="1:8">
      <c r="A220" s="144" t="s">
        <v>378</v>
      </c>
      <c r="B220" s="144" t="s">
        <v>377</v>
      </c>
      <c r="C220" s="145">
        <v>242.8</v>
      </c>
      <c r="D220" s="145">
        <v>106.2</v>
      </c>
      <c r="E220" s="145">
        <v>-32.799999999999997</v>
      </c>
      <c r="F220" s="145">
        <v>128.5</v>
      </c>
      <c r="G220" s="146" t="s">
        <v>14</v>
      </c>
      <c r="H220" s="146" t="s">
        <v>14</v>
      </c>
    </row>
    <row r="221" spans="1:8">
      <c r="A221" s="144" t="s">
        <v>381</v>
      </c>
      <c r="B221" s="144" t="s">
        <v>380</v>
      </c>
      <c r="C221" s="145">
        <v>611.20000000000005</v>
      </c>
      <c r="D221" s="145">
        <v>333.1</v>
      </c>
      <c r="E221" s="145">
        <v>-40.299999999999997</v>
      </c>
      <c r="F221" s="145">
        <v>97.4</v>
      </c>
      <c r="G221" s="144" t="s">
        <v>13</v>
      </c>
      <c r="H221" s="146" t="s">
        <v>14</v>
      </c>
    </row>
    <row r="222" spans="1:8">
      <c r="A222" s="144" t="s">
        <v>384</v>
      </c>
      <c r="B222" s="144" t="s">
        <v>383</v>
      </c>
      <c r="C222" s="145">
        <v>402.7</v>
      </c>
      <c r="D222" s="145">
        <v>354</v>
      </c>
      <c r="E222" s="145">
        <v>-38.299999999999997</v>
      </c>
      <c r="F222" s="145">
        <v>109.8</v>
      </c>
      <c r="G222" s="144" t="s">
        <v>13</v>
      </c>
      <c r="H222" s="146" t="s">
        <v>14</v>
      </c>
    </row>
    <row r="223" spans="1:8">
      <c r="A223" s="144" t="s">
        <v>790</v>
      </c>
      <c r="B223" s="144" t="s">
        <v>789</v>
      </c>
      <c r="C223" s="144"/>
      <c r="D223" s="144"/>
      <c r="E223" s="144"/>
      <c r="F223" s="144"/>
      <c r="G223" s="144"/>
      <c r="H223" s="144"/>
    </row>
    <row r="224" spans="1:8">
      <c r="A224" s="144" t="s">
        <v>387</v>
      </c>
      <c r="B224" s="144" t="s">
        <v>386</v>
      </c>
      <c r="C224" s="145">
        <v>523.70000000000005</v>
      </c>
      <c r="D224" s="145">
        <v>303</v>
      </c>
      <c r="E224" s="145">
        <v>-36.799999999999997</v>
      </c>
      <c r="F224" s="145">
        <v>99.4</v>
      </c>
      <c r="G224" s="144" t="s">
        <v>13</v>
      </c>
      <c r="H224" s="146" t="s">
        <v>14</v>
      </c>
    </row>
    <row r="225" spans="1:8">
      <c r="A225" s="144" t="s">
        <v>390</v>
      </c>
      <c r="B225" s="144" t="s">
        <v>389</v>
      </c>
      <c r="C225" s="145">
        <v>505.5</v>
      </c>
      <c r="D225" s="145">
        <v>348</v>
      </c>
      <c r="E225" s="145">
        <v>-35.200000000000003</v>
      </c>
      <c r="F225" s="145">
        <v>91.6</v>
      </c>
      <c r="G225" s="144" t="s">
        <v>13</v>
      </c>
      <c r="H225" s="146" t="s">
        <v>14</v>
      </c>
    </row>
    <row r="226" spans="1:8">
      <c r="A226" s="144" t="s">
        <v>393</v>
      </c>
      <c r="B226" s="144" t="s">
        <v>392</v>
      </c>
      <c r="C226" s="145">
        <v>541.70000000000005</v>
      </c>
      <c r="D226" s="145">
        <v>461.8</v>
      </c>
      <c r="E226" s="145">
        <v>-37.9</v>
      </c>
      <c r="F226" s="145">
        <v>100.7</v>
      </c>
      <c r="G226" s="144" t="s">
        <v>13</v>
      </c>
      <c r="H226" s="144" t="s">
        <v>13</v>
      </c>
    </row>
    <row r="227" spans="1:8">
      <c r="A227" s="144" t="s">
        <v>396</v>
      </c>
      <c r="B227" s="144" t="s">
        <v>395</v>
      </c>
      <c r="C227" s="145">
        <v>466.7</v>
      </c>
      <c r="D227" s="145">
        <v>438.2</v>
      </c>
      <c r="E227" s="145">
        <v>-39.200000000000003</v>
      </c>
      <c r="F227" s="145">
        <v>116.6</v>
      </c>
      <c r="G227" s="144" t="s">
        <v>13</v>
      </c>
      <c r="H227" s="144" t="s">
        <v>13</v>
      </c>
    </row>
    <row r="228" spans="1:8">
      <c r="A228" s="144" t="s">
        <v>592</v>
      </c>
      <c r="B228" s="144" t="s">
        <v>591</v>
      </c>
      <c r="C228" s="144"/>
      <c r="D228" s="144"/>
      <c r="E228" s="144"/>
      <c r="F228" s="144"/>
      <c r="G228" s="144"/>
      <c r="H228" s="144"/>
    </row>
    <row r="229" spans="1:8">
      <c r="A229" s="144" t="s">
        <v>399</v>
      </c>
      <c r="B229" s="144" t="s">
        <v>398</v>
      </c>
      <c r="C229" s="145">
        <v>512</v>
      </c>
      <c r="D229" s="145">
        <v>457.5</v>
      </c>
      <c r="E229" s="145">
        <v>-43.3</v>
      </c>
      <c r="F229" s="145">
        <v>79.2</v>
      </c>
      <c r="G229" s="144" t="s">
        <v>13</v>
      </c>
      <c r="H229" s="144" t="s">
        <v>13</v>
      </c>
    </row>
    <row r="230" spans="1:8">
      <c r="A230" s="144" t="s">
        <v>594</v>
      </c>
      <c r="B230" s="144" t="s">
        <v>593</v>
      </c>
      <c r="C230" s="144"/>
      <c r="D230" s="144"/>
      <c r="E230" s="144"/>
      <c r="F230" s="144"/>
      <c r="G230" s="144"/>
      <c r="H230" s="144"/>
    </row>
    <row r="231" spans="1:8">
      <c r="A231" s="144" t="s">
        <v>402</v>
      </c>
      <c r="B231" s="144" t="s">
        <v>401</v>
      </c>
      <c r="C231" s="145">
        <v>459</v>
      </c>
      <c r="D231" s="145">
        <v>681.9</v>
      </c>
      <c r="E231" s="145">
        <v>-38.200000000000003</v>
      </c>
      <c r="F231" s="145">
        <v>125.6</v>
      </c>
      <c r="G231" s="144" t="s">
        <v>13</v>
      </c>
      <c r="H231" s="144" t="s">
        <v>13</v>
      </c>
    </row>
    <row r="232" spans="1:8">
      <c r="A232" s="144" t="s">
        <v>598</v>
      </c>
      <c r="B232" s="144" t="s">
        <v>597</v>
      </c>
      <c r="C232" s="144"/>
      <c r="D232" s="144"/>
      <c r="E232" s="144"/>
      <c r="F232" s="144"/>
      <c r="G232" s="144"/>
      <c r="H232" s="144"/>
    </row>
    <row r="233" spans="1:8">
      <c r="A233" s="144" t="s">
        <v>405</v>
      </c>
      <c r="B233" s="144" t="s">
        <v>404</v>
      </c>
      <c r="C233" s="145">
        <v>420.2</v>
      </c>
      <c r="D233" s="145">
        <v>328.1</v>
      </c>
      <c r="E233" s="145">
        <v>-36</v>
      </c>
      <c r="F233" s="145">
        <v>120.7</v>
      </c>
      <c r="G233" s="144" t="s">
        <v>13</v>
      </c>
      <c r="H233" s="146" t="s">
        <v>14</v>
      </c>
    </row>
    <row r="234" spans="1:8">
      <c r="A234" s="144" t="s">
        <v>600</v>
      </c>
      <c r="B234" s="144" t="s">
        <v>599</v>
      </c>
      <c r="C234" s="144"/>
      <c r="D234" s="144"/>
      <c r="E234" s="144"/>
      <c r="F234" s="144"/>
      <c r="G234" s="144"/>
      <c r="H234" s="144"/>
    </row>
    <row r="235" spans="1:8">
      <c r="A235" s="144" t="s">
        <v>408</v>
      </c>
      <c r="B235" s="144" t="s">
        <v>407</v>
      </c>
      <c r="C235" s="145">
        <v>475.6</v>
      </c>
      <c r="D235" s="145">
        <v>469</v>
      </c>
      <c r="E235" s="145">
        <v>-39.4</v>
      </c>
      <c r="F235" s="145">
        <v>100.8</v>
      </c>
      <c r="G235" s="144" t="s">
        <v>13</v>
      </c>
      <c r="H235" s="144" t="s">
        <v>13</v>
      </c>
    </row>
    <row r="236" spans="1:8">
      <c r="A236" s="144" t="s">
        <v>411</v>
      </c>
      <c r="B236" s="144" t="s">
        <v>410</v>
      </c>
      <c r="C236" s="145">
        <v>348.5</v>
      </c>
      <c r="D236" s="145">
        <v>494.8</v>
      </c>
      <c r="E236" s="145">
        <v>-33.1</v>
      </c>
      <c r="F236" s="145">
        <v>113.6</v>
      </c>
      <c r="G236" s="146" t="s">
        <v>14</v>
      </c>
      <c r="H236" s="144" t="s">
        <v>13</v>
      </c>
    </row>
    <row r="237" spans="1:8">
      <c r="A237" s="144" t="s">
        <v>612</v>
      </c>
      <c r="B237" s="144" t="s">
        <v>611</v>
      </c>
      <c r="C237" s="144"/>
      <c r="D237" s="144"/>
      <c r="E237" s="144"/>
      <c r="F237" s="144"/>
      <c r="G237" s="144"/>
      <c r="H237" s="144"/>
    </row>
    <row r="238" spans="1:8">
      <c r="A238" s="144" t="s">
        <v>414</v>
      </c>
      <c r="B238" s="144" t="s">
        <v>413</v>
      </c>
      <c r="C238" s="145">
        <v>417.4</v>
      </c>
      <c r="D238" s="145">
        <v>577.70000000000005</v>
      </c>
      <c r="E238" s="145">
        <v>-35.9</v>
      </c>
      <c r="F238" s="145">
        <v>106.9</v>
      </c>
      <c r="G238" s="144" t="s">
        <v>13</v>
      </c>
      <c r="H238" s="144" t="s">
        <v>13</v>
      </c>
    </row>
    <row r="239" spans="1:8">
      <c r="A239" s="144" t="s">
        <v>417</v>
      </c>
      <c r="B239" s="144" t="s">
        <v>416</v>
      </c>
      <c r="C239" s="145">
        <v>478</v>
      </c>
      <c r="D239" s="145">
        <v>374.3</v>
      </c>
      <c r="E239" s="145">
        <v>-34</v>
      </c>
      <c r="F239" s="145">
        <v>112.9</v>
      </c>
      <c r="G239" s="144" t="s">
        <v>13</v>
      </c>
      <c r="H239" s="146" t="s">
        <v>14</v>
      </c>
    </row>
    <row r="240" spans="1:8">
      <c r="A240" s="144" t="s">
        <v>420</v>
      </c>
      <c r="B240" s="144" t="s">
        <v>419</v>
      </c>
      <c r="C240" s="145">
        <v>502.6</v>
      </c>
      <c r="D240" s="145">
        <v>385.8</v>
      </c>
      <c r="E240" s="145">
        <v>-40.200000000000003</v>
      </c>
      <c r="F240" s="145">
        <v>101</v>
      </c>
      <c r="G240" s="144" t="s">
        <v>13</v>
      </c>
      <c r="H240" s="144" t="s">
        <v>13</v>
      </c>
    </row>
    <row r="241" spans="1:8">
      <c r="A241" s="144" t="s">
        <v>423</v>
      </c>
      <c r="B241" s="144" t="s">
        <v>422</v>
      </c>
      <c r="C241" s="145">
        <v>513</v>
      </c>
      <c r="D241" s="145">
        <v>432.7</v>
      </c>
      <c r="E241" s="145">
        <v>-33.200000000000003</v>
      </c>
      <c r="F241" s="145">
        <v>98.6</v>
      </c>
      <c r="G241" s="144" t="s">
        <v>13</v>
      </c>
      <c r="H241" s="144" t="s">
        <v>13</v>
      </c>
    </row>
    <row r="242" spans="1:8">
      <c r="A242" s="144" t="s">
        <v>620</v>
      </c>
      <c r="B242" s="144" t="s">
        <v>619</v>
      </c>
      <c r="C242" s="144"/>
      <c r="D242" s="144"/>
      <c r="E242" s="144"/>
      <c r="F242" s="144"/>
      <c r="G242" s="144"/>
      <c r="H242" s="144"/>
    </row>
    <row r="243" spans="1:8">
      <c r="A243" s="144" t="s">
        <v>426</v>
      </c>
      <c r="B243" s="144" t="s">
        <v>425</v>
      </c>
      <c r="C243" s="145">
        <v>704.7</v>
      </c>
      <c r="D243" s="145">
        <v>488.4</v>
      </c>
      <c r="E243" s="145">
        <v>-40.799999999999997</v>
      </c>
      <c r="F243" s="145">
        <v>96.8</v>
      </c>
      <c r="G243" s="144" t="s">
        <v>13</v>
      </c>
      <c r="H243" s="144" t="s">
        <v>13</v>
      </c>
    </row>
    <row r="244" spans="1:8">
      <c r="A244" s="144" t="s">
        <v>429</v>
      </c>
      <c r="B244" s="144" t="s">
        <v>428</v>
      </c>
      <c r="C244" s="145">
        <v>427.8</v>
      </c>
      <c r="D244" s="145">
        <v>420.1</v>
      </c>
      <c r="E244" s="145">
        <v>-35.5</v>
      </c>
      <c r="F244" s="145">
        <v>101.8</v>
      </c>
      <c r="G244" s="144" t="s">
        <v>13</v>
      </c>
      <c r="H244" s="144" t="s">
        <v>13</v>
      </c>
    </row>
    <row r="245" spans="1:8">
      <c r="A245" s="144" t="s">
        <v>432</v>
      </c>
      <c r="B245" s="144" t="s">
        <v>431</v>
      </c>
      <c r="C245" s="145">
        <v>516.4</v>
      </c>
      <c r="D245" s="145">
        <v>573.79999999999995</v>
      </c>
      <c r="E245" s="145">
        <v>-35.1</v>
      </c>
      <c r="F245" s="145">
        <v>118.9</v>
      </c>
      <c r="G245" s="144" t="s">
        <v>13</v>
      </c>
      <c r="H245" s="144" t="s">
        <v>13</v>
      </c>
    </row>
    <row r="246" spans="1:8">
      <c r="A246" s="144" t="s">
        <v>435</v>
      </c>
      <c r="B246" s="144" t="s">
        <v>434</v>
      </c>
      <c r="C246" s="145">
        <v>536.9</v>
      </c>
      <c r="D246" s="145">
        <v>653.29999999999995</v>
      </c>
      <c r="E246" s="145">
        <v>-33.200000000000003</v>
      </c>
      <c r="F246" s="145">
        <v>113.2</v>
      </c>
      <c r="G246" s="144" t="s">
        <v>13</v>
      </c>
      <c r="H246" s="144" t="s">
        <v>13</v>
      </c>
    </row>
    <row r="247" spans="1:8">
      <c r="A247" s="144" t="s">
        <v>640</v>
      </c>
      <c r="B247" s="144" t="s">
        <v>639</v>
      </c>
      <c r="C247" s="144"/>
      <c r="D247" s="144"/>
      <c r="E247" s="144"/>
      <c r="F247" s="144"/>
      <c r="G247" s="144"/>
      <c r="H247" s="144"/>
    </row>
    <row r="248" spans="1:8">
      <c r="A248" s="144" t="s">
        <v>650</v>
      </c>
      <c r="B248" s="144" t="s">
        <v>649</v>
      </c>
      <c r="C248" s="144"/>
      <c r="D248" s="144"/>
      <c r="E248" s="144"/>
      <c r="F248" s="144"/>
      <c r="G248" s="144"/>
      <c r="H248" s="144"/>
    </row>
    <row r="249" spans="1:8">
      <c r="A249" s="144" t="s">
        <v>438</v>
      </c>
      <c r="B249" s="144" t="s">
        <v>437</v>
      </c>
      <c r="C249" s="145">
        <v>451.3</v>
      </c>
      <c r="D249" s="145">
        <v>451.7</v>
      </c>
      <c r="E249" s="145">
        <v>-42.7</v>
      </c>
      <c r="F249" s="145">
        <v>96.3</v>
      </c>
      <c r="G249" s="144" t="s">
        <v>13</v>
      </c>
      <c r="H249" s="144" t="s">
        <v>13</v>
      </c>
    </row>
    <row r="250" spans="1:8">
      <c r="A250" s="144" t="s">
        <v>441</v>
      </c>
      <c r="B250" s="144" t="s">
        <v>440</v>
      </c>
      <c r="C250" s="145">
        <v>589.9</v>
      </c>
      <c r="D250" s="145">
        <v>555.1</v>
      </c>
      <c r="E250" s="145">
        <v>-38.9</v>
      </c>
      <c r="F250" s="145">
        <v>101.9</v>
      </c>
      <c r="G250" s="144" t="s">
        <v>13</v>
      </c>
      <c r="H250" s="144" t="s">
        <v>13</v>
      </c>
    </row>
    <row r="251" spans="1:8">
      <c r="A251" s="144" t="s">
        <v>444</v>
      </c>
      <c r="B251" s="144" t="s">
        <v>443</v>
      </c>
      <c r="C251" s="145">
        <v>414.2</v>
      </c>
      <c r="D251" s="145">
        <v>421.8</v>
      </c>
      <c r="E251" s="145">
        <v>-39.5</v>
      </c>
      <c r="F251" s="145">
        <v>79.7</v>
      </c>
      <c r="G251" s="144" t="s">
        <v>13</v>
      </c>
      <c r="H251" s="144" t="s">
        <v>13</v>
      </c>
    </row>
    <row r="252" spans="1:8">
      <c r="A252" s="144" t="s">
        <v>654</v>
      </c>
      <c r="B252" s="144" t="s">
        <v>653</v>
      </c>
      <c r="C252" s="144"/>
      <c r="D252" s="144"/>
      <c r="E252" s="144"/>
      <c r="F252" s="144"/>
      <c r="G252" s="144"/>
      <c r="H252" s="144"/>
    </row>
    <row r="253" spans="1:8">
      <c r="A253" s="144" t="s">
        <v>656</v>
      </c>
      <c r="B253" s="144" t="s">
        <v>655</v>
      </c>
      <c r="C253" s="144"/>
      <c r="D253" s="144"/>
      <c r="E253" s="144"/>
      <c r="F253" s="144"/>
      <c r="G253" s="144"/>
      <c r="H253" s="144"/>
    </row>
    <row r="254" spans="1:8">
      <c r="A254" s="144" t="s">
        <v>447</v>
      </c>
      <c r="B254" s="144" t="s">
        <v>446</v>
      </c>
      <c r="C254" s="145">
        <v>509.7</v>
      </c>
      <c r="D254" s="145">
        <v>623.6</v>
      </c>
      <c r="E254" s="145">
        <v>-34.5</v>
      </c>
      <c r="F254" s="145">
        <v>116.3</v>
      </c>
      <c r="G254" s="144" t="s">
        <v>13</v>
      </c>
      <c r="H254" s="144" t="s">
        <v>13</v>
      </c>
    </row>
    <row r="255" spans="1:8">
      <c r="A255" s="144" t="s">
        <v>450</v>
      </c>
      <c r="B255" s="144" t="s">
        <v>449</v>
      </c>
      <c r="C255" s="145">
        <v>517.4</v>
      </c>
      <c r="D255" s="145">
        <v>649.79999999999995</v>
      </c>
      <c r="E255" s="145">
        <v>-42.1</v>
      </c>
      <c r="F255" s="145">
        <v>99.9</v>
      </c>
      <c r="G255" s="144" t="s">
        <v>13</v>
      </c>
      <c r="H255" s="144" t="s">
        <v>13</v>
      </c>
    </row>
    <row r="256" spans="1:8">
      <c r="A256" s="144" t="s">
        <v>453</v>
      </c>
      <c r="B256" s="144" t="s">
        <v>452</v>
      </c>
      <c r="C256" s="145">
        <v>433.7</v>
      </c>
      <c r="D256" s="145">
        <v>408.9</v>
      </c>
      <c r="E256" s="145">
        <v>-41</v>
      </c>
      <c r="F256" s="145">
        <v>105.1</v>
      </c>
      <c r="G256" s="144" t="s">
        <v>13</v>
      </c>
      <c r="H256" s="144" t="s">
        <v>13</v>
      </c>
    </row>
    <row r="257" spans="1:8">
      <c r="A257" s="144" t="s">
        <v>456</v>
      </c>
      <c r="B257" s="144" t="s">
        <v>455</v>
      </c>
      <c r="C257" s="145">
        <v>454.5</v>
      </c>
      <c r="D257" s="145">
        <v>484.6</v>
      </c>
      <c r="E257" s="145">
        <v>-38.799999999999997</v>
      </c>
      <c r="F257" s="145">
        <v>109.6</v>
      </c>
      <c r="G257" s="144" t="s">
        <v>13</v>
      </c>
      <c r="H257" s="144" t="s">
        <v>13</v>
      </c>
    </row>
    <row r="258" spans="1:8">
      <c r="A258" s="144" t="s">
        <v>678</v>
      </c>
      <c r="B258" s="144" t="s">
        <v>677</v>
      </c>
      <c r="C258" s="144"/>
      <c r="D258" s="144"/>
      <c r="E258" s="144"/>
      <c r="F258" s="144"/>
      <c r="G258" s="144"/>
      <c r="H258" s="144"/>
    </row>
    <row r="259" spans="1:8">
      <c r="A259" s="144" t="s">
        <v>682</v>
      </c>
      <c r="B259" s="144" t="s">
        <v>681</v>
      </c>
      <c r="C259" s="144"/>
      <c r="D259" s="144"/>
      <c r="E259" s="144"/>
      <c r="F259" s="144"/>
      <c r="G259" s="144"/>
      <c r="H259" s="144"/>
    </row>
    <row r="260" spans="1:8">
      <c r="A260" s="144" t="s">
        <v>459</v>
      </c>
      <c r="B260" s="144" t="s">
        <v>458</v>
      </c>
      <c r="C260" s="145">
        <v>488.8</v>
      </c>
      <c r="D260" s="145">
        <v>470.3</v>
      </c>
      <c r="E260" s="145">
        <v>-42.2</v>
      </c>
      <c r="F260" s="145">
        <v>104.7</v>
      </c>
      <c r="G260" s="144" t="s">
        <v>13</v>
      </c>
      <c r="H260" s="144" t="s">
        <v>13</v>
      </c>
    </row>
    <row r="261" spans="1:8">
      <c r="A261" s="144" t="s">
        <v>462</v>
      </c>
      <c r="B261" s="144" t="s">
        <v>461</v>
      </c>
      <c r="C261" s="145">
        <v>566.6</v>
      </c>
      <c r="D261" s="145">
        <v>621.70000000000005</v>
      </c>
      <c r="E261" s="145">
        <v>-33</v>
      </c>
      <c r="F261" s="145">
        <v>107.4</v>
      </c>
      <c r="G261" s="144" t="s">
        <v>13</v>
      </c>
      <c r="H261" s="144" t="s">
        <v>13</v>
      </c>
    </row>
    <row r="262" spans="1:8">
      <c r="A262" s="144" t="s">
        <v>465</v>
      </c>
      <c r="B262" s="144" t="s">
        <v>464</v>
      </c>
      <c r="C262" s="145">
        <v>499</v>
      </c>
      <c r="D262" s="145">
        <v>694.2</v>
      </c>
      <c r="E262" s="145">
        <v>-30.4</v>
      </c>
      <c r="F262" s="145">
        <v>109.4</v>
      </c>
      <c r="G262" s="144" t="s">
        <v>13</v>
      </c>
      <c r="H262" s="144" t="s">
        <v>13</v>
      </c>
    </row>
    <row r="263" spans="1:8">
      <c r="A263" s="144" t="s">
        <v>468</v>
      </c>
      <c r="B263" s="144" t="s">
        <v>467</v>
      </c>
      <c r="C263" s="145">
        <v>441.4</v>
      </c>
      <c r="D263" s="145">
        <v>324.3</v>
      </c>
      <c r="E263" s="145">
        <v>-36.5</v>
      </c>
      <c r="F263" s="145">
        <v>75.8</v>
      </c>
      <c r="G263" s="144" t="s">
        <v>13</v>
      </c>
      <c r="H263" s="146" t="s">
        <v>14</v>
      </c>
    </row>
    <row r="264" spans="1:8">
      <c r="A264" s="144" t="s">
        <v>471</v>
      </c>
      <c r="B264" s="144" t="s">
        <v>470</v>
      </c>
      <c r="C264" s="145">
        <v>431.7</v>
      </c>
      <c r="D264" s="145">
        <v>552.4</v>
      </c>
      <c r="E264" s="145">
        <v>-35</v>
      </c>
      <c r="F264" s="145">
        <v>99</v>
      </c>
      <c r="G264" s="144" t="s">
        <v>13</v>
      </c>
      <c r="H264" s="144" t="s">
        <v>13</v>
      </c>
    </row>
    <row r="265" spans="1:8">
      <c r="A265" s="144" t="s">
        <v>696</v>
      </c>
      <c r="B265" s="144" t="s">
        <v>695</v>
      </c>
      <c r="C265" s="144"/>
      <c r="D265" s="144"/>
      <c r="E265" s="144"/>
      <c r="F265" s="144"/>
      <c r="G265" s="144"/>
      <c r="H265" s="144"/>
    </row>
    <row r="266" spans="1:8">
      <c r="A266" s="144" t="s">
        <v>474</v>
      </c>
      <c r="B266" s="144" t="s">
        <v>473</v>
      </c>
      <c r="C266" s="145">
        <v>505.9</v>
      </c>
      <c r="D266" s="145">
        <v>630.6</v>
      </c>
      <c r="E266" s="145">
        <v>-33.799999999999997</v>
      </c>
      <c r="F266" s="145">
        <v>105.9</v>
      </c>
      <c r="G266" s="144" t="s">
        <v>13</v>
      </c>
      <c r="H266" s="144" t="s">
        <v>13</v>
      </c>
    </row>
    <row r="267" spans="1:8">
      <c r="A267" s="144" t="s">
        <v>477</v>
      </c>
      <c r="B267" s="144" t="s">
        <v>476</v>
      </c>
      <c r="C267" s="145">
        <v>537.70000000000005</v>
      </c>
      <c r="D267" s="145">
        <v>635.5</v>
      </c>
      <c r="E267" s="145">
        <v>-32.4</v>
      </c>
      <c r="F267" s="145">
        <v>109.4</v>
      </c>
      <c r="G267" s="144" t="s">
        <v>13</v>
      </c>
      <c r="H267" s="144" t="s">
        <v>13</v>
      </c>
    </row>
    <row r="268" spans="1:8">
      <c r="A268" s="144" t="s">
        <v>480</v>
      </c>
      <c r="B268" s="144" t="s">
        <v>479</v>
      </c>
      <c r="C268" s="145">
        <v>187.9</v>
      </c>
      <c r="D268" s="145">
        <v>90</v>
      </c>
      <c r="E268" s="145">
        <v>-39.6</v>
      </c>
      <c r="F268" s="145">
        <v>97.8</v>
      </c>
      <c r="G268" s="146" t="s">
        <v>14</v>
      </c>
      <c r="H268" s="146" t="s">
        <v>14</v>
      </c>
    </row>
    <row r="269" spans="1:8">
      <c r="A269" s="144" t="s">
        <v>704</v>
      </c>
      <c r="B269" s="144" t="s">
        <v>703</v>
      </c>
      <c r="C269" s="144"/>
      <c r="D269" s="144"/>
      <c r="E269" s="144"/>
      <c r="F269" s="144"/>
      <c r="G269" s="144"/>
      <c r="H269" s="144"/>
    </row>
    <row r="270" spans="1:8">
      <c r="A270" s="144" t="s">
        <v>483</v>
      </c>
      <c r="B270" s="144" t="s">
        <v>482</v>
      </c>
      <c r="C270" s="145">
        <v>480.1</v>
      </c>
      <c r="D270" s="145">
        <v>563.20000000000005</v>
      </c>
      <c r="E270" s="145">
        <v>-39.700000000000003</v>
      </c>
      <c r="F270" s="145">
        <v>96.6</v>
      </c>
      <c r="G270" s="144" t="s">
        <v>13</v>
      </c>
      <c r="H270" s="144" t="s">
        <v>13</v>
      </c>
    </row>
    <row r="271" spans="1:8">
      <c r="A271" s="144" t="s">
        <v>486</v>
      </c>
      <c r="B271" s="144" t="s">
        <v>485</v>
      </c>
      <c r="C271" s="145">
        <v>434.9</v>
      </c>
      <c r="D271" s="145">
        <v>541.70000000000005</v>
      </c>
      <c r="E271" s="145">
        <v>-31.8</v>
      </c>
      <c r="F271" s="145">
        <v>102.8</v>
      </c>
      <c r="G271" s="144" t="s">
        <v>13</v>
      </c>
      <c r="H271" s="144" t="s">
        <v>13</v>
      </c>
    </row>
    <row r="272" spans="1:8">
      <c r="A272" s="144" t="s">
        <v>489</v>
      </c>
      <c r="B272" s="144" t="s">
        <v>488</v>
      </c>
      <c r="C272" s="145">
        <v>633.20000000000005</v>
      </c>
      <c r="D272" s="145">
        <v>480.7</v>
      </c>
      <c r="E272" s="145">
        <v>-38.299999999999997</v>
      </c>
      <c r="F272" s="145">
        <v>93.6</v>
      </c>
      <c r="G272" s="144" t="s">
        <v>13</v>
      </c>
      <c r="H272" s="144" t="s">
        <v>13</v>
      </c>
    </row>
    <row r="273" spans="1:8">
      <c r="A273" s="144" t="s">
        <v>492</v>
      </c>
      <c r="B273" s="144" t="s">
        <v>491</v>
      </c>
      <c r="C273" s="145">
        <v>491.7</v>
      </c>
      <c r="D273" s="145">
        <v>439.8</v>
      </c>
      <c r="E273" s="145">
        <v>-37.799999999999997</v>
      </c>
      <c r="F273" s="145">
        <v>74.400000000000006</v>
      </c>
      <c r="G273" s="144" t="s">
        <v>13</v>
      </c>
      <c r="H273" s="144" t="s">
        <v>13</v>
      </c>
    </row>
    <row r="274" spans="1:8">
      <c r="A274" s="144" t="s">
        <v>718</v>
      </c>
      <c r="B274" s="144" t="s">
        <v>717</v>
      </c>
      <c r="C274" s="144"/>
      <c r="D274" s="144"/>
      <c r="E274" s="144"/>
      <c r="F274" s="144"/>
      <c r="G274" s="144"/>
      <c r="H274" s="144"/>
    </row>
    <row r="275" spans="1:8">
      <c r="A275" s="144" t="s">
        <v>495</v>
      </c>
      <c r="B275" s="144" t="s">
        <v>494</v>
      </c>
      <c r="C275" s="145">
        <v>466.8</v>
      </c>
      <c r="D275" s="145">
        <v>497.6</v>
      </c>
      <c r="E275" s="145">
        <v>-35.299999999999997</v>
      </c>
      <c r="F275" s="145">
        <v>104</v>
      </c>
      <c r="G275" s="144" t="s">
        <v>13</v>
      </c>
      <c r="H275" s="144" t="s">
        <v>13</v>
      </c>
    </row>
    <row r="276" spans="1:8">
      <c r="A276" s="144" t="s">
        <v>726</v>
      </c>
      <c r="B276" s="144" t="s">
        <v>725</v>
      </c>
      <c r="C276" s="144"/>
      <c r="D276" s="144"/>
      <c r="E276" s="144"/>
      <c r="F276" s="144"/>
      <c r="G276" s="144"/>
      <c r="H276" s="144"/>
    </row>
    <row r="277" spans="1:8">
      <c r="A277" s="144" t="s">
        <v>740</v>
      </c>
      <c r="B277" s="144" t="s">
        <v>739</v>
      </c>
      <c r="C277" s="144"/>
      <c r="D277" s="144"/>
      <c r="E277" s="144"/>
      <c r="F277" s="144"/>
      <c r="G277" s="144"/>
      <c r="H277" s="144"/>
    </row>
    <row r="278" spans="1:8">
      <c r="A278" s="144" t="s">
        <v>498</v>
      </c>
      <c r="B278" s="144" t="s">
        <v>497</v>
      </c>
      <c r="C278" s="145">
        <v>553.79999999999995</v>
      </c>
      <c r="D278" s="145">
        <v>501.4</v>
      </c>
      <c r="E278" s="145">
        <v>-38.5</v>
      </c>
      <c r="F278" s="145">
        <v>92.6</v>
      </c>
      <c r="G278" s="144" t="s">
        <v>13</v>
      </c>
      <c r="H278" s="144" t="s">
        <v>13</v>
      </c>
    </row>
    <row r="279" spans="1:8">
      <c r="A279" s="144" t="s">
        <v>752</v>
      </c>
      <c r="B279" s="144" t="s">
        <v>751</v>
      </c>
      <c r="C279" s="144"/>
      <c r="D279" s="144"/>
      <c r="E279" s="144"/>
      <c r="F279" s="144"/>
      <c r="G279" s="144"/>
      <c r="H279" s="144"/>
    </row>
    <row r="280" spans="1:8">
      <c r="A280" s="144" t="s">
        <v>501</v>
      </c>
      <c r="B280" s="144" t="s">
        <v>500</v>
      </c>
      <c r="C280" s="145">
        <v>527.9</v>
      </c>
      <c r="D280" s="145">
        <v>539.6</v>
      </c>
      <c r="E280" s="145">
        <v>-40.9</v>
      </c>
      <c r="F280" s="145">
        <v>103.6</v>
      </c>
      <c r="G280" s="144" t="s">
        <v>13</v>
      </c>
      <c r="H280" s="144" t="s">
        <v>13</v>
      </c>
    </row>
    <row r="281" spans="1:8">
      <c r="A281" s="144" t="s">
        <v>762</v>
      </c>
      <c r="B281" s="144" t="s">
        <v>761</v>
      </c>
      <c r="C281" s="144"/>
      <c r="D281" s="144"/>
      <c r="E281" s="144"/>
      <c r="F281" s="144"/>
      <c r="G281" s="144"/>
      <c r="H281" s="144"/>
    </row>
    <row r="282" spans="1:8">
      <c r="A282" s="144" t="s">
        <v>764</v>
      </c>
      <c r="B282" s="144" t="s">
        <v>763</v>
      </c>
      <c r="C282" s="144"/>
      <c r="D282" s="144"/>
      <c r="E282" s="144"/>
      <c r="F282" s="144"/>
      <c r="G282" s="144"/>
      <c r="H282" s="144"/>
    </row>
    <row r="283" spans="1:8">
      <c r="A283" s="144" t="s">
        <v>504</v>
      </c>
      <c r="B283" s="144" t="s">
        <v>503</v>
      </c>
      <c r="C283" s="145">
        <v>556.5</v>
      </c>
      <c r="D283" s="145">
        <v>474</v>
      </c>
      <c r="E283" s="145">
        <v>-34.4</v>
      </c>
      <c r="F283" s="145">
        <v>97</v>
      </c>
      <c r="G283" s="144" t="s">
        <v>13</v>
      </c>
      <c r="H283" s="144" t="s">
        <v>13</v>
      </c>
    </row>
    <row r="284" spans="1:8">
      <c r="A284" s="144" t="s">
        <v>770</v>
      </c>
      <c r="B284" s="144" t="s">
        <v>769</v>
      </c>
      <c r="C284" s="144"/>
      <c r="D284" s="144"/>
      <c r="E284" s="144"/>
      <c r="F284" s="144"/>
      <c r="G284" s="144"/>
      <c r="H284" s="144"/>
    </row>
    <row r="285" spans="1:8">
      <c r="A285" s="144" t="s">
        <v>507</v>
      </c>
      <c r="B285" s="144" t="s">
        <v>506</v>
      </c>
      <c r="C285" s="145">
        <v>480.6</v>
      </c>
      <c r="D285" s="145">
        <v>524.1</v>
      </c>
      <c r="E285" s="145">
        <v>-36.1</v>
      </c>
      <c r="F285" s="145">
        <v>87.2</v>
      </c>
      <c r="G285" s="144" t="s">
        <v>13</v>
      </c>
      <c r="H285" s="144" t="s">
        <v>13</v>
      </c>
    </row>
    <row r="286" spans="1:8">
      <c r="A286" s="144" t="s">
        <v>510</v>
      </c>
      <c r="B286" s="144" t="s">
        <v>509</v>
      </c>
      <c r="C286" s="145">
        <v>532.5</v>
      </c>
      <c r="D286" s="145">
        <v>509.6</v>
      </c>
      <c r="E286" s="145">
        <v>-34.1</v>
      </c>
      <c r="F286" s="145">
        <v>88.9</v>
      </c>
      <c r="G286" s="144" t="s">
        <v>13</v>
      </c>
      <c r="H286" s="144" t="s">
        <v>13</v>
      </c>
    </row>
    <row r="287" spans="1:8">
      <c r="A287" s="144" t="s">
        <v>513</v>
      </c>
      <c r="B287" s="144" t="s">
        <v>512</v>
      </c>
      <c r="C287" s="145">
        <v>482</v>
      </c>
      <c r="D287" s="145">
        <v>438.3</v>
      </c>
      <c r="E287" s="145">
        <v>-40.9</v>
      </c>
      <c r="F287" s="145">
        <v>108.5</v>
      </c>
      <c r="G287" s="144" t="s">
        <v>13</v>
      </c>
      <c r="H287" s="144" t="s">
        <v>13</v>
      </c>
    </row>
    <row r="288" spans="1:8">
      <c r="A288" s="144" t="s">
        <v>516</v>
      </c>
      <c r="B288" s="144" t="s">
        <v>515</v>
      </c>
      <c r="C288" s="145">
        <v>291.10000000000002</v>
      </c>
      <c r="D288" s="145">
        <v>366</v>
      </c>
      <c r="E288" s="145">
        <v>-39.200000000000003</v>
      </c>
      <c r="F288" s="145">
        <v>82.7</v>
      </c>
      <c r="G288" s="146" t="s">
        <v>14</v>
      </c>
      <c r="H288" s="146" t="s">
        <v>14</v>
      </c>
    </row>
    <row r="289" spans="1:8">
      <c r="A289" s="144" t="s">
        <v>794</v>
      </c>
      <c r="B289" s="144" t="s">
        <v>793</v>
      </c>
      <c r="C289" s="144"/>
      <c r="D289" s="144"/>
      <c r="E289" s="144"/>
      <c r="F289" s="144"/>
      <c r="G289" s="144"/>
      <c r="H289" s="144"/>
    </row>
    <row r="290" spans="1:8">
      <c r="A290" s="144" t="s">
        <v>796</v>
      </c>
      <c r="B290" s="144" t="s">
        <v>795</v>
      </c>
      <c r="C290" s="144"/>
      <c r="D290" s="144"/>
      <c r="E290" s="144"/>
      <c r="F290" s="144"/>
      <c r="G290" s="144"/>
      <c r="H290" s="144"/>
    </row>
    <row r="291" spans="1:8">
      <c r="A291" s="144" t="s">
        <v>519</v>
      </c>
      <c r="B291" s="144" t="s">
        <v>518</v>
      </c>
      <c r="C291" s="145">
        <v>443.5</v>
      </c>
      <c r="D291" s="145">
        <v>575.70000000000005</v>
      </c>
      <c r="E291" s="145">
        <v>-34.9</v>
      </c>
      <c r="F291" s="145">
        <v>87.7</v>
      </c>
      <c r="G291" s="144" t="s">
        <v>13</v>
      </c>
      <c r="H291" s="144" t="s">
        <v>13</v>
      </c>
    </row>
    <row r="292" spans="1:8">
      <c r="A292" s="144" t="s">
        <v>522</v>
      </c>
      <c r="B292" s="144" t="s">
        <v>521</v>
      </c>
      <c r="C292" s="145">
        <v>532.20000000000005</v>
      </c>
      <c r="D292" s="145">
        <v>530.29999999999995</v>
      </c>
      <c r="E292" s="145">
        <v>-36.4</v>
      </c>
      <c r="F292" s="145">
        <v>109.9</v>
      </c>
      <c r="G292" s="144" t="s">
        <v>13</v>
      </c>
      <c r="H292" s="144" t="s">
        <v>13</v>
      </c>
    </row>
    <row r="293" spans="1:8">
      <c r="A293" s="144" t="s">
        <v>818</v>
      </c>
      <c r="B293" s="144" t="s">
        <v>817</v>
      </c>
      <c r="C293" s="144"/>
      <c r="D293" s="144"/>
      <c r="E293" s="144"/>
      <c r="F293" s="144"/>
      <c r="G293" s="144"/>
      <c r="H293" s="144"/>
    </row>
    <row r="294" spans="1:8">
      <c r="A294" s="144" t="s">
        <v>525</v>
      </c>
      <c r="B294" s="144" t="s">
        <v>524</v>
      </c>
      <c r="C294" s="145">
        <v>467.5</v>
      </c>
      <c r="D294" s="145">
        <v>152.9</v>
      </c>
      <c r="E294" s="145">
        <v>-51.2</v>
      </c>
      <c r="F294" s="145">
        <v>89.9</v>
      </c>
      <c r="G294" s="144" t="s">
        <v>13</v>
      </c>
      <c r="H294" s="146" t="s">
        <v>14</v>
      </c>
    </row>
    <row r="295" spans="1:8">
      <c r="A295" s="144" t="s">
        <v>528</v>
      </c>
      <c r="B295" s="144" t="s">
        <v>527</v>
      </c>
      <c r="C295" s="145">
        <v>460.4</v>
      </c>
      <c r="D295" s="145">
        <v>432.3</v>
      </c>
      <c r="E295" s="145">
        <v>-40.5</v>
      </c>
      <c r="F295" s="145">
        <v>81.2</v>
      </c>
      <c r="G295" s="144" t="s">
        <v>13</v>
      </c>
      <c r="H295" s="144" t="s">
        <v>13</v>
      </c>
    </row>
    <row r="296" spans="1:8">
      <c r="A296" s="144" t="s">
        <v>531</v>
      </c>
      <c r="B296" s="144" t="s">
        <v>530</v>
      </c>
      <c r="C296" s="145">
        <v>520.6</v>
      </c>
      <c r="D296" s="145">
        <v>503.4</v>
      </c>
      <c r="E296" s="145">
        <v>-39.200000000000003</v>
      </c>
      <c r="F296" s="145">
        <v>87.4</v>
      </c>
      <c r="G296" s="144" t="s">
        <v>13</v>
      </c>
      <c r="H296" s="144" t="s">
        <v>13</v>
      </c>
    </row>
    <row r="297" spans="1:8">
      <c r="A297" s="144" t="s">
        <v>534</v>
      </c>
      <c r="B297" s="144" t="s">
        <v>533</v>
      </c>
      <c r="C297" s="145">
        <v>452.6</v>
      </c>
      <c r="D297" s="145">
        <v>598.20000000000005</v>
      </c>
      <c r="E297" s="145">
        <v>-35.1</v>
      </c>
      <c r="F297" s="145">
        <v>89.7</v>
      </c>
      <c r="G297" s="144" t="s">
        <v>13</v>
      </c>
      <c r="H297" s="144" t="s">
        <v>13</v>
      </c>
    </row>
    <row r="298" spans="1:8">
      <c r="A298" s="144" t="s">
        <v>537</v>
      </c>
      <c r="B298" s="144" t="s">
        <v>536</v>
      </c>
      <c r="C298" s="145">
        <v>446.8</v>
      </c>
      <c r="D298" s="145">
        <v>388.1</v>
      </c>
      <c r="E298" s="145">
        <v>-45.8</v>
      </c>
      <c r="F298" s="145">
        <v>98.2</v>
      </c>
      <c r="G298" s="144" t="s">
        <v>13</v>
      </c>
      <c r="H298" s="144" t="s">
        <v>13</v>
      </c>
    </row>
    <row r="299" spans="1:8">
      <c r="A299" s="144" t="s">
        <v>540</v>
      </c>
      <c r="B299" s="144" t="s">
        <v>539</v>
      </c>
      <c r="C299" s="145">
        <v>458.1</v>
      </c>
      <c r="D299" s="145">
        <v>353.8</v>
      </c>
      <c r="E299" s="145">
        <v>-38.200000000000003</v>
      </c>
      <c r="F299" s="145">
        <v>107.3</v>
      </c>
      <c r="G299" s="144" t="s">
        <v>13</v>
      </c>
      <c r="H299" s="146" t="s">
        <v>14</v>
      </c>
    </row>
    <row r="300" spans="1:8">
      <c r="A300" s="144" t="s">
        <v>543</v>
      </c>
      <c r="B300" s="144" t="s">
        <v>542</v>
      </c>
      <c r="C300" s="145">
        <v>749</v>
      </c>
      <c r="D300" s="145">
        <v>363.6</v>
      </c>
      <c r="E300" s="145">
        <v>-36.700000000000003</v>
      </c>
      <c r="F300" s="145">
        <v>95.7</v>
      </c>
      <c r="G300" s="144" t="s">
        <v>13</v>
      </c>
      <c r="H300" s="146" t="s">
        <v>14</v>
      </c>
    </row>
    <row r="301" spans="1:8">
      <c r="A301" s="144" t="s">
        <v>546</v>
      </c>
      <c r="B301" s="144" t="s">
        <v>545</v>
      </c>
      <c r="C301" s="145">
        <v>519</v>
      </c>
      <c r="D301" s="145">
        <v>672.3</v>
      </c>
      <c r="E301" s="145">
        <v>-34.799999999999997</v>
      </c>
      <c r="F301" s="145">
        <v>89</v>
      </c>
      <c r="G301" s="144" t="s">
        <v>13</v>
      </c>
      <c r="H301" s="144" t="s">
        <v>13</v>
      </c>
    </row>
    <row r="302" spans="1:8">
      <c r="A302" s="144" t="s">
        <v>614</v>
      </c>
      <c r="B302" s="144" t="s">
        <v>613</v>
      </c>
      <c r="C302" s="144"/>
      <c r="D302" s="144"/>
      <c r="E302" s="144"/>
      <c r="F302" s="144"/>
      <c r="G302" s="144"/>
      <c r="H302" s="144"/>
    </row>
    <row r="303" spans="1:8">
      <c r="A303" s="144" t="s">
        <v>549</v>
      </c>
      <c r="B303" s="144" t="s">
        <v>548</v>
      </c>
      <c r="C303" s="145">
        <v>422.2</v>
      </c>
      <c r="D303" s="145">
        <v>342.7</v>
      </c>
      <c r="E303" s="145">
        <v>-35</v>
      </c>
      <c r="F303" s="145">
        <v>88.6</v>
      </c>
      <c r="G303" s="144" t="s">
        <v>13</v>
      </c>
      <c r="H303" s="146" t="s">
        <v>14</v>
      </c>
    </row>
    <row r="304" spans="1:8">
      <c r="A304" s="144" t="s">
        <v>552</v>
      </c>
      <c r="B304" s="144" t="s">
        <v>551</v>
      </c>
      <c r="C304" s="145">
        <v>476.7</v>
      </c>
      <c r="D304" s="145">
        <v>450.9</v>
      </c>
      <c r="E304" s="145">
        <v>-46.1</v>
      </c>
      <c r="F304" s="145">
        <v>76.599999999999994</v>
      </c>
      <c r="G304" s="144" t="s">
        <v>13</v>
      </c>
      <c r="H304" s="144" t="s">
        <v>13</v>
      </c>
    </row>
    <row r="305" spans="1:8">
      <c r="A305" s="144" t="s">
        <v>555</v>
      </c>
      <c r="B305" s="144" t="s">
        <v>554</v>
      </c>
      <c r="C305" s="145">
        <v>530.5</v>
      </c>
      <c r="D305" s="145">
        <v>628.29999999999995</v>
      </c>
      <c r="E305" s="145">
        <v>-34.4</v>
      </c>
      <c r="F305" s="145">
        <v>93.4</v>
      </c>
      <c r="G305" s="144" t="s">
        <v>13</v>
      </c>
      <c r="H305" s="144" t="s">
        <v>13</v>
      </c>
    </row>
    <row r="306" spans="1:8">
      <c r="A306" s="144" t="s">
        <v>558</v>
      </c>
      <c r="B306" s="144" t="s">
        <v>557</v>
      </c>
      <c r="C306" s="145">
        <v>535.20000000000005</v>
      </c>
      <c r="D306" s="145">
        <v>613.70000000000005</v>
      </c>
      <c r="E306" s="145">
        <v>-35.5</v>
      </c>
      <c r="F306" s="145">
        <v>97.8</v>
      </c>
      <c r="G306" s="144" t="s">
        <v>13</v>
      </c>
      <c r="H306" s="144" t="s">
        <v>13</v>
      </c>
    </row>
    <row r="307" spans="1:8">
      <c r="A307" s="144" t="s">
        <v>694</v>
      </c>
      <c r="B307" s="144" t="s">
        <v>693</v>
      </c>
      <c r="C307" s="144"/>
      <c r="D307" s="144"/>
      <c r="E307" s="144"/>
      <c r="F307" s="144"/>
      <c r="G307" s="144"/>
      <c r="H307" s="144"/>
    </row>
    <row r="308" spans="1:8">
      <c r="A308" s="144" t="s">
        <v>561</v>
      </c>
      <c r="B308" s="144" t="s">
        <v>560</v>
      </c>
      <c r="C308" s="145">
        <v>466.2</v>
      </c>
      <c r="D308" s="145">
        <v>456.3</v>
      </c>
      <c r="E308" s="145">
        <v>-39.200000000000003</v>
      </c>
      <c r="F308" s="145">
        <v>99.9</v>
      </c>
      <c r="G308" s="144" t="s">
        <v>13</v>
      </c>
      <c r="H308" s="144" t="s">
        <v>13</v>
      </c>
    </row>
    <row r="309" spans="1:8">
      <c r="A309" s="144" t="s">
        <v>564</v>
      </c>
      <c r="B309" s="144" t="s">
        <v>563</v>
      </c>
      <c r="C309" s="145">
        <v>476.5</v>
      </c>
      <c r="D309" s="145">
        <v>440.5</v>
      </c>
      <c r="E309" s="145">
        <v>-45.6</v>
      </c>
      <c r="F309" s="145">
        <v>80.7</v>
      </c>
      <c r="G309" s="144" t="s">
        <v>13</v>
      </c>
      <c r="H309" s="144" t="s">
        <v>13</v>
      </c>
    </row>
    <row r="310" spans="1:8">
      <c r="A310" s="144" t="s">
        <v>567</v>
      </c>
      <c r="B310" s="144" t="s">
        <v>566</v>
      </c>
      <c r="C310" s="145">
        <v>634.20000000000005</v>
      </c>
      <c r="D310" s="145">
        <v>436.9</v>
      </c>
      <c r="E310" s="145">
        <v>-37.6</v>
      </c>
      <c r="F310" s="145">
        <v>95.5</v>
      </c>
      <c r="G310" s="144" t="s">
        <v>13</v>
      </c>
      <c r="H310" s="144" t="s">
        <v>13</v>
      </c>
    </row>
    <row r="311" spans="1:8">
      <c r="A311" s="144" t="s">
        <v>748</v>
      </c>
      <c r="B311" s="144" t="s">
        <v>747</v>
      </c>
      <c r="C311" s="144"/>
      <c r="D311" s="144"/>
      <c r="E311" s="144"/>
      <c r="F311" s="144"/>
      <c r="G311" s="144"/>
      <c r="H311" s="144"/>
    </row>
    <row r="312" spans="1:8">
      <c r="A312" s="144" t="s">
        <v>570</v>
      </c>
      <c r="B312" s="144" t="s">
        <v>569</v>
      </c>
      <c r="C312" s="145">
        <v>597.29999999999995</v>
      </c>
      <c r="D312" s="145">
        <v>592.1</v>
      </c>
      <c r="E312" s="145">
        <v>-28.7</v>
      </c>
      <c r="F312" s="145">
        <v>87.5</v>
      </c>
      <c r="G312" s="144" t="s">
        <v>13</v>
      </c>
      <c r="H312" s="144" t="s">
        <v>13</v>
      </c>
    </row>
    <row r="313" spans="1:8">
      <c r="A313" s="144" t="s">
        <v>573</v>
      </c>
      <c r="B313" s="144" t="s">
        <v>572</v>
      </c>
      <c r="C313" s="145">
        <v>351.8</v>
      </c>
      <c r="D313" s="145">
        <v>556.6</v>
      </c>
      <c r="E313" s="145">
        <v>-39.4</v>
      </c>
      <c r="F313" s="145">
        <v>121.1</v>
      </c>
      <c r="G313" s="146" t="s">
        <v>14</v>
      </c>
      <c r="H313" s="144" t="s">
        <v>13</v>
      </c>
    </row>
    <row r="314" spans="1:8">
      <c r="A314" s="144" t="s">
        <v>652</v>
      </c>
      <c r="B314" s="144" t="s">
        <v>651</v>
      </c>
      <c r="C314" s="144"/>
      <c r="D314" s="144"/>
      <c r="E314" s="144"/>
      <c r="F314" s="144"/>
      <c r="G314" s="144"/>
      <c r="H314" s="144"/>
    </row>
    <row r="315" spans="1:8">
      <c r="A315" s="144" t="s">
        <v>576</v>
      </c>
      <c r="B315" s="144" t="s">
        <v>575</v>
      </c>
      <c r="C315" s="145">
        <v>588.29999999999995</v>
      </c>
      <c r="D315" s="145">
        <v>329.6</v>
      </c>
      <c r="E315" s="145">
        <v>-40.1</v>
      </c>
      <c r="F315" s="145">
        <v>108.6</v>
      </c>
      <c r="G315" s="144" t="s">
        <v>13</v>
      </c>
      <c r="H315" s="146" t="s">
        <v>14</v>
      </c>
    </row>
    <row r="316" spans="1:8">
      <c r="A316" s="144" t="s">
        <v>579</v>
      </c>
      <c r="B316" s="144" t="s">
        <v>578</v>
      </c>
      <c r="C316" s="144"/>
      <c r="D316" s="144"/>
      <c r="E316" s="144"/>
      <c r="F316" s="144"/>
      <c r="G316" s="144"/>
      <c r="H316" s="144"/>
    </row>
  </sheetData>
  <autoFilter ref="A1:H316" xr:uid="{00000000-0009-0000-0000-000009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DNI_WIRED_MEANSURE_AVG</vt:lpstr>
      <vt:lpstr>집선ISP</vt:lpstr>
      <vt:lpstr>학교별통신장비현황</vt:lpstr>
      <vt:lpstr>대전</vt:lpstr>
      <vt:lpstr>케이블통계</vt:lpstr>
      <vt:lpstr>POE</vt:lpstr>
      <vt:lpstr>대전AP</vt:lpstr>
      <vt:lpstr>Sheet1</vt:lpstr>
      <vt:lpstr>ISP측정_학교별평균</vt:lpstr>
      <vt:lpstr>전부하측정_학교별평균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해진 이</cp:lastModifiedBy>
  <dcterms:created xsi:type="dcterms:W3CDTF">2026-02-23T14:43:37Z</dcterms:created>
  <dcterms:modified xsi:type="dcterms:W3CDTF">2026-02-26T12:41:35Z</dcterms:modified>
</cp:coreProperties>
</file>