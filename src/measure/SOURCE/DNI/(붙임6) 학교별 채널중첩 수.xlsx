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대전\"/>
    </mc:Choice>
  </mc:AlternateContent>
  <xr:revisionPtr revIDLastSave="0" documentId="8_{E4CFEAE8-32C9-48DF-ABAE-3EBB55E2F56F}" xr6:coauthVersionLast="36" xr6:coauthVersionMax="36" xr10:uidLastSave="{00000000-0000-0000-0000-000000000000}"/>
  <bookViews>
    <workbookView xWindow="-28920" yWindow="-120" windowWidth="29040" windowHeight="15840" xr2:uid="{41D8FD6B-4126-4715-9A40-78DB0C4BDA96}"/>
  </bookViews>
  <sheets>
    <sheet name="대전 채널중첩" sheetId="14" r:id="rId1"/>
  </sheets>
  <definedNames>
    <definedName name="_xlnm._FilterDatabase" localSheetId="0" hidden="1">'대전 채널중첩'!$A$2:$E$317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4" l="1"/>
  <c r="J12" i="14"/>
  <c r="K12" i="14"/>
  <c r="L12" i="14"/>
  <c r="M12" i="14"/>
  <c r="I13" i="14"/>
  <c r="J13" i="14"/>
  <c r="K13" i="14"/>
  <c r="L13" i="14"/>
  <c r="M13" i="14"/>
  <c r="I14" i="14"/>
  <c r="J14" i="14"/>
  <c r="K14" i="14"/>
  <c r="L14" i="14"/>
  <c r="M14" i="14"/>
  <c r="I15" i="14"/>
  <c r="J15" i="14"/>
  <c r="K15" i="14"/>
  <c r="L15" i="14"/>
  <c r="M15" i="14"/>
  <c r="K11" i="14"/>
  <c r="L11" i="14"/>
  <c r="M11" i="14"/>
  <c r="J11" i="14"/>
  <c r="I11" i="14"/>
  <c r="I4" i="14"/>
  <c r="J4" i="14"/>
  <c r="K4" i="14"/>
  <c r="L4" i="14"/>
  <c r="M4" i="14"/>
  <c r="I5" i="14"/>
  <c r="J5" i="14"/>
  <c r="K5" i="14"/>
  <c r="L5" i="14"/>
  <c r="M5" i="14"/>
  <c r="I6" i="14"/>
  <c r="J6" i="14"/>
  <c r="K6" i="14"/>
  <c r="L6" i="14"/>
  <c r="M6" i="14"/>
  <c r="I7" i="14"/>
  <c r="J7" i="14"/>
  <c r="K7" i="14"/>
  <c r="L7" i="14"/>
  <c r="M7" i="14"/>
  <c r="K3" i="14"/>
  <c r="L3" i="14"/>
  <c r="M3" i="14"/>
  <c r="I3" i="14"/>
  <c r="H12" i="14"/>
  <c r="H13" i="14"/>
  <c r="H14" i="14"/>
  <c r="H15" i="14"/>
  <c r="H11" i="14"/>
  <c r="H4" i="14"/>
  <c r="H5" i="14"/>
  <c r="H6" i="14"/>
  <c r="H7" i="14"/>
  <c r="H3" i="14"/>
  <c r="J3" i="14"/>
  <c r="E1" i="14" l="1"/>
  <c r="J9" i="14" l="1"/>
  <c r="K9" i="14"/>
  <c r="L9" i="14"/>
  <c r="M9" i="14"/>
</calcChain>
</file>

<file path=xl/sharedStrings.xml><?xml version="1.0" encoding="utf-8"?>
<sst xmlns="http://schemas.openxmlformats.org/spreadsheetml/2006/main" count="973" uniqueCount="342">
  <si>
    <t>지역</t>
  </si>
  <si>
    <t>학교유형</t>
  </si>
  <si>
    <t>학교명</t>
  </si>
  <si>
    <t>고등학교</t>
  </si>
  <si>
    <t>초등학교</t>
  </si>
  <si>
    <t>중학교</t>
  </si>
  <si>
    <t>특수학교</t>
  </si>
  <si>
    <t>대덕초등학교</t>
  </si>
  <si>
    <t>서일고등학교</t>
  </si>
  <si>
    <t>대덕구</t>
  </si>
  <si>
    <t>대전경덕중학교</t>
  </si>
  <si>
    <t>대전대양초등학교</t>
  </si>
  <si>
    <t>대전대청중학교</t>
  </si>
  <si>
    <t>대전대화중학교</t>
  </si>
  <si>
    <t>대전대화초등학교</t>
  </si>
  <si>
    <t>대전동도초등학교</t>
  </si>
  <si>
    <t>대전동산초등학교</t>
  </si>
  <si>
    <t>대전매봉중학교</t>
  </si>
  <si>
    <t>대전매봉초등학교</t>
  </si>
  <si>
    <t>대전목상초등학교</t>
  </si>
  <si>
    <t>대전법동중학교</t>
  </si>
  <si>
    <t>대전법동초등학교</t>
  </si>
  <si>
    <t>대전비래초등학교</t>
  </si>
  <si>
    <t>대전새여울초등학교</t>
  </si>
  <si>
    <t>대전생활과학고등학교</t>
  </si>
  <si>
    <t>대전석봉초등학교</t>
  </si>
  <si>
    <t>대전송촌고등학교</t>
  </si>
  <si>
    <t>대전송촌중학교</t>
  </si>
  <si>
    <t>대전송촌초등학교</t>
  </si>
  <si>
    <t>대전양지초등학교</t>
  </si>
  <si>
    <t>대전온라인학교</t>
  </si>
  <si>
    <t>대전용전중학교</t>
  </si>
  <si>
    <t>대전원명학교</t>
  </si>
  <si>
    <t>대전이문고등학교</t>
  </si>
  <si>
    <t>대전중리초등학교</t>
  </si>
  <si>
    <t>대전중원초등학교</t>
  </si>
  <si>
    <t>대전해든학교</t>
  </si>
  <si>
    <t>대전화정초등학교</t>
  </si>
  <si>
    <t>동대전고등학교</t>
  </si>
  <si>
    <t>새일초등학교</t>
  </si>
  <si>
    <t>신탄중앙중학교</t>
  </si>
  <si>
    <t>신탄진고등학교</t>
  </si>
  <si>
    <t>신탄진용정초등학교</t>
  </si>
  <si>
    <t>신탄진중학교</t>
  </si>
  <si>
    <t>신탄진초등학교</t>
  </si>
  <si>
    <t>오정중학교</t>
  </si>
  <si>
    <t>와동초등학교</t>
  </si>
  <si>
    <t>장동초등학교</t>
  </si>
  <si>
    <t>중리중학교</t>
  </si>
  <si>
    <t>회덕중학교</t>
  </si>
  <si>
    <t>회덕초등학교</t>
  </si>
  <si>
    <t>동구</t>
  </si>
  <si>
    <t>계룡디지텍고등학교</t>
  </si>
  <si>
    <t>대전가양중학교</t>
  </si>
  <si>
    <t>대전가양초등학교</t>
  </si>
  <si>
    <t>대전가오고등학교</t>
  </si>
  <si>
    <t>대전가오중학교</t>
  </si>
  <si>
    <t>대전가오초등학교</t>
  </si>
  <si>
    <t>대전대동초등학교</t>
  </si>
  <si>
    <t>대전대룡초등학교</t>
  </si>
  <si>
    <t>대전대성여자고등학교</t>
  </si>
  <si>
    <t>대전대성여자중학교</t>
  </si>
  <si>
    <t>대전대암초등학교</t>
  </si>
  <si>
    <t>대전동광초등학교</t>
  </si>
  <si>
    <t>대전동서초등학교</t>
  </si>
  <si>
    <t>대전동신과학고등학교</t>
  </si>
  <si>
    <t>대전맹학교</t>
  </si>
  <si>
    <t>대전삼성초등학교</t>
  </si>
  <si>
    <t>대전성남초등학교</t>
  </si>
  <si>
    <t>대전신흥초등학교</t>
  </si>
  <si>
    <t>대전여자고등학교</t>
  </si>
  <si>
    <t>대전용운중학교</t>
  </si>
  <si>
    <t>대전용운초등학교</t>
  </si>
  <si>
    <t>대전용전초등학교</t>
  </si>
  <si>
    <t>대전은어송중학교</t>
  </si>
  <si>
    <t>대전은어송초등학교</t>
  </si>
  <si>
    <t>대전자양초등학교</t>
  </si>
  <si>
    <t>대전천동초등학교</t>
  </si>
  <si>
    <t>대전판암초등학교</t>
  </si>
  <si>
    <t>대전현암초등학교</t>
  </si>
  <si>
    <t>대전혜광학교</t>
  </si>
  <si>
    <t>대전흥룡초등학교</t>
  </si>
  <si>
    <t>동대전중학교</t>
  </si>
  <si>
    <t>동대전초등학교</t>
  </si>
  <si>
    <t>동명초등학교</t>
  </si>
  <si>
    <t>동신중학교</t>
  </si>
  <si>
    <t>동아마이스터고등학교</t>
  </si>
  <si>
    <t>명석고등학교</t>
  </si>
  <si>
    <t>보문고등학교</t>
  </si>
  <si>
    <t>보문중학교</t>
  </si>
  <si>
    <t>산내초등학교</t>
  </si>
  <si>
    <t>산흥초등학교</t>
  </si>
  <si>
    <t>세천초등학교</t>
  </si>
  <si>
    <t>우송고등학교</t>
  </si>
  <si>
    <t>우송중학교</t>
  </si>
  <si>
    <t>충남중학교</t>
  </si>
  <si>
    <t>한밭여자중학교</t>
  </si>
  <si>
    <t>한밭중학교</t>
  </si>
  <si>
    <t>서구</t>
  </si>
  <si>
    <t>가수원중학교</t>
  </si>
  <si>
    <t>가수원초등학교</t>
  </si>
  <si>
    <t>갈마중학교</t>
  </si>
  <si>
    <t>기성중학교</t>
  </si>
  <si>
    <t>기성초등학교</t>
  </si>
  <si>
    <t>기성초등학교길헌분교장</t>
  </si>
  <si>
    <t>대전가원학교</t>
  </si>
  <si>
    <t>대전가장초등학교</t>
  </si>
  <si>
    <t>대전갈마초등학교</t>
  </si>
  <si>
    <t>대전갑천중학교</t>
  </si>
  <si>
    <t>대전갑천초등학교</t>
  </si>
  <si>
    <t>대전관저고등학교</t>
  </si>
  <si>
    <t>대전관저중학교</t>
  </si>
  <si>
    <t>대전관저초등학교</t>
  </si>
  <si>
    <t>대전괴정고등학교</t>
  </si>
  <si>
    <t>대전괴정중학교</t>
  </si>
  <si>
    <t>대전구봉고등학교</t>
  </si>
  <si>
    <t>대전구봉중학교</t>
  </si>
  <si>
    <t>대전구봉초등학교</t>
  </si>
  <si>
    <t>대전금동초등학교</t>
  </si>
  <si>
    <t>대전남선중학교</t>
  </si>
  <si>
    <t>대전내동중학교</t>
  </si>
  <si>
    <t>대전내동초등학교</t>
  </si>
  <si>
    <t>대전느리울중학교</t>
  </si>
  <si>
    <t>대전느리울초등학교</t>
  </si>
  <si>
    <t>대전대신고등학교</t>
  </si>
  <si>
    <t>대전대신중학교</t>
  </si>
  <si>
    <t>대전도마중학교</t>
  </si>
  <si>
    <t>대전도마초등학교</t>
  </si>
  <si>
    <t>대전도솔초등학교</t>
  </si>
  <si>
    <t>대전도안중학교</t>
  </si>
  <si>
    <t>대전도안초등학교</t>
  </si>
  <si>
    <t>대전둔산여자고등학교</t>
  </si>
  <si>
    <t>대전둔산중학교</t>
  </si>
  <si>
    <t>대전둔산초등학교</t>
  </si>
  <si>
    <t>대전둔원고등학교</t>
  </si>
  <si>
    <t>대전둔원중학교</t>
  </si>
  <si>
    <t>대전둔원초등학교</t>
  </si>
  <si>
    <t>대전둔천초등학교</t>
  </si>
  <si>
    <t>대전만년고등학교</t>
  </si>
  <si>
    <t>대전만년중학교</t>
  </si>
  <si>
    <t>대전만년초등학교</t>
  </si>
  <si>
    <t>대전문정중학교</t>
  </si>
  <si>
    <t>대전문정초등학교</t>
  </si>
  <si>
    <t>대전백운초등학교</t>
  </si>
  <si>
    <t>대전버드내중학교</t>
  </si>
  <si>
    <t>대전변동중학교</t>
  </si>
  <si>
    <t>대전변동초등학교</t>
  </si>
  <si>
    <t>대전복수고등학교</t>
  </si>
  <si>
    <t>대전복수초등학교</t>
  </si>
  <si>
    <t>대전봉산중학교</t>
  </si>
  <si>
    <t>대전봉산초등학교</t>
  </si>
  <si>
    <t>대전봉우중학교</t>
  </si>
  <si>
    <t>대전산업정보고등학교</t>
  </si>
  <si>
    <t>대전삼육중학교</t>
  </si>
  <si>
    <t>대전삼육초등학교</t>
  </si>
  <si>
    <t>대전삼천중학교</t>
  </si>
  <si>
    <t>대전삼천초등학교</t>
  </si>
  <si>
    <t>대전샘머리초등학교</t>
  </si>
  <si>
    <t>대전서부초등학교</t>
  </si>
  <si>
    <t>대전서원초등학교</t>
  </si>
  <si>
    <t>대전서중학교</t>
  </si>
  <si>
    <t>대전선암초등학교</t>
  </si>
  <si>
    <t>대전선유초등학교</t>
  </si>
  <si>
    <t>대전성룡초등학교</t>
  </si>
  <si>
    <t>대전성천초등학교</t>
  </si>
  <si>
    <t>대전수미초등학교</t>
  </si>
  <si>
    <t>대전신계중학교</t>
  </si>
  <si>
    <t>대전신계초등학교</t>
  </si>
  <si>
    <t>대전외국어고등학교</t>
  </si>
  <si>
    <t>대전원앙초등학교</t>
  </si>
  <si>
    <t>대전월평중학교</t>
  </si>
  <si>
    <t>대전월평초등학교</t>
  </si>
  <si>
    <t>대전유천초등학교</t>
  </si>
  <si>
    <t>대전정림중학교</t>
  </si>
  <si>
    <t>대전정림초등학교</t>
  </si>
  <si>
    <t>대전제일고등학교</t>
  </si>
  <si>
    <t>대전탄방중학교</t>
  </si>
  <si>
    <t>대전탄방초등학교</t>
  </si>
  <si>
    <t>대전탄방초등학교용문분교장</t>
  </si>
  <si>
    <t>대전호수초등학교</t>
  </si>
  <si>
    <t>동방고등학교</t>
  </si>
  <si>
    <t>동방여자중학교</t>
  </si>
  <si>
    <t>서대전고등학교</t>
  </si>
  <si>
    <t>서대전여자고등학교</t>
  </si>
  <si>
    <t>서일여자고등학교</t>
  </si>
  <si>
    <t>충남고등학교</t>
  </si>
  <si>
    <t>한밭고등학교</t>
  </si>
  <si>
    <t>한밭초등학교</t>
  </si>
  <si>
    <t>유성구</t>
  </si>
  <si>
    <t>구즉초등학교</t>
  </si>
  <si>
    <t>금성초등학교</t>
  </si>
  <si>
    <t>남선초등학교</t>
  </si>
  <si>
    <t>대덕고등학교</t>
  </si>
  <si>
    <t>대덕소프트웨어마이스터고등학교</t>
  </si>
  <si>
    <t>대덕중학교</t>
  </si>
  <si>
    <t>대덕초등학교도룡분교장</t>
  </si>
  <si>
    <t>대전계산초등학교</t>
  </si>
  <si>
    <t>대전과학고등학교</t>
  </si>
  <si>
    <t>대전관평중학교</t>
  </si>
  <si>
    <t>대전관평초등학교</t>
  </si>
  <si>
    <t>대전교촌초등학교</t>
  </si>
  <si>
    <t>대전노은고등학교</t>
  </si>
  <si>
    <t>대전노은중학교</t>
  </si>
  <si>
    <t>대전노은초등학교</t>
  </si>
  <si>
    <t>대전대정초등학교</t>
  </si>
  <si>
    <t>대전덕명중학교</t>
  </si>
  <si>
    <t>대전도시과학고등학교</t>
  </si>
  <si>
    <t>대전도안고등학교</t>
  </si>
  <si>
    <t>대전동화중학교</t>
  </si>
  <si>
    <t>대전동화초등학교</t>
  </si>
  <si>
    <t>대전두리중학교</t>
  </si>
  <si>
    <t>대전두리초등학교</t>
  </si>
  <si>
    <t>대전둔곡중학교</t>
  </si>
  <si>
    <t>대전둔곡초등학교</t>
  </si>
  <si>
    <t>대전문지중학교</t>
  </si>
  <si>
    <t>대전반석고등학교</t>
  </si>
  <si>
    <t>대전반석초등학교</t>
  </si>
  <si>
    <t>대전배울초등학교</t>
  </si>
  <si>
    <t>대전복용초등학교</t>
  </si>
  <si>
    <t>대전봉명중학교</t>
  </si>
  <si>
    <t>대전봉명초등학교</t>
  </si>
  <si>
    <t>대전상대초등학교</t>
  </si>
  <si>
    <t>대전상원초등학교</t>
  </si>
  <si>
    <t>대전상지초등학교</t>
  </si>
  <si>
    <t>대전새미래중학교</t>
  </si>
  <si>
    <t>대전새미래초등학교</t>
  </si>
  <si>
    <t>대전성세재활학교</t>
  </si>
  <si>
    <t>대전송강중학교</t>
  </si>
  <si>
    <t>대전송강초등학교</t>
  </si>
  <si>
    <t>대전송림초등학교</t>
  </si>
  <si>
    <t>대전수정초등학교</t>
  </si>
  <si>
    <t>대전어은중학교</t>
  </si>
  <si>
    <t>대전어은초등학교</t>
  </si>
  <si>
    <t>대전예술고등학교</t>
  </si>
  <si>
    <t>대전외삼중학교</t>
  </si>
  <si>
    <t>대전용산고등학교</t>
  </si>
  <si>
    <t>대전용산초등학교</t>
  </si>
  <si>
    <t>대전원신흥중학교</t>
  </si>
  <si>
    <t>대전원신흥초등학교</t>
  </si>
  <si>
    <t>대전원신흥초등학교복용분교장</t>
  </si>
  <si>
    <t>대전자운중학교</t>
  </si>
  <si>
    <t>대전자운초등학교</t>
  </si>
  <si>
    <t>대전장대중학교</t>
  </si>
  <si>
    <t>대전장대초등학교</t>
  </si>
  <si>
    <t>대전전민고등학교</t>
  </si>
  <si>
    <t>대전전민중학교</t>
  </si>
  <si>
    <t>대전전민초등학교</t>
  </si>
  <si>
    <t>대전전자디자인고등학교</t>
  </si>
  <si>
    <t>대전죽동초등학교</t>
  </si>
  <si>
    <t>대전지족고등학교</t>
  </si>
  <si>
    <t>대전지족중학교</t>
  </si>
  <si>
    <t>대전지족초등학교</t>
  </si>
  <si>
    <t>대전체육고등학교</t>
  </si>
  <si>
    <t>대전체육중학교</t>
  </si>
  <si>
    <t>대전하기중학교</t>
  </si>
  <si>
    <t>대전하기초등학교</t>
  </si>
  <si>
    <t>덕송초등학교</t>
  </si>
  <si>
    <t>문지초등학교</t>
  </si>
  <si>
    <t>봉암초등학교</t>
  </si>
  <si>
    <t>성덕중학교</t>
  </si>
  <si>
    <t>외삼초등학교</t>
  </si>
  <si>
    <t>유성고등학교</t>
  </si>
  <si>
    <t>유성생명과학고등학교</t>
  </si>
  <si>
    <t>유성여자고등학교</t>
  </si>
  <si>
    <t>유성중학교</t>
  </si>
  <si>
    <t>유성초등학교</t>
  </si>
  <si>
    <t>중일고등학교</t>
  </si>
  <si>
    <t>진잠중학교</t>
  </si>
  <si>
    <t>진잠초등학교</t>
  </si>
  <si>
    <t>학하초등학교</t>
  </si>
  <si>
    <t>흥도초등학교</t>
  </si>
  <si>
    <t>중구</t>
  </si>
  <si>
    <t>남대전고등학교</t>
  </si>
  <si>
    <t>대전고등학교</t>
  </si>
  <si>
    <t>대전국제통상고등학교</t>
  </si>
  <si>
    <t>대전글꽃중학교</t>
  </si>
  <si>
    <t>대전글꽃초등학교</t>
  </si>
  <si>
    <t>대전대문중학교</t>
  </si>
  <si>
    <t>대전대문초등학교</t>
  </si>
  <si>
    <t>대전대성고등학교</t>
  </si>
  <si>
    <t>대전대성중학교</t>
  </si>
  <si>
    <t>대전대신초등학교</t>
  </si>
  <si>
    <t>대전대흥초등학교</t>
  </si>
  <si>
    <t>대전동문초등학교</t>
  </si>
  <si>
    <t>대전동산고등학교</t>
  </si>
  <si>
    <t>대전동산중학교</t>
  </si>
  <si>
    <t>대전목동초등학교</t>
  </si>
  <si>
    <t>대전목양초등학교</t>
  </si>
  <si>
    <t>대전문성초등학교</t>
  </si>
  <si>
    <t>대전문창초등학교</t>
  </si>
  <si>
    <t>대전문화여자중학교</t>
  </si>
  <si>
    <t>대전문화초등학교</t>
  </si>
  <si>
    <t>대전버드내초등학교</t>
  </si>
  <si>
    <t>대전보성초등학교</t>
  </si>
  <si>
    <t>대전보운초등학교</t>
  </si>
  <si>
    <t>대전산성초등학교</t>
  </si>
  <si>
    <t>대전석교초등학교</t>
  </si>
  <si>
    <t>대전선화초등학교</t>
  </si>
  <si>
    <t>대전성모여자고등학교</t>
  </si>
  <si>
    <t>대전성모초등학교</t>
  </si>
  <si>
    <t>대전신일여자고등학교</t>
  </si>
  <si>
    <t>대전신일중학교</t>
  </si>
  <si>
    <t>대전신평초등학교</t>
  </si>
  <si>
    <t>대전여자상업고등학교</t>
  </si>
  <si>
    <t>대전여자중학교</t>
  </si>
  <si>
    <t>대전오류초등학교</t>
  </si>
  <si>
    <t>대전옥계초등학교</t>
  </si>
  <si>
    <t>대전원평초등학교</t>
  </si>
  <si>
    <t>대전유평초등학교</t>
  </si>
  <si>
    <t>대전중앙고등학교</t>
  </si>
  <si>
    <t>대전중앙중학교</t>
  </si>
  <si>
    <t>대전중앙초등학교</t>
  </si>
  <si>
    <t>대전중촌초등학교</t>
  </si>
  <si>
    <t>대전중학교</t>
  </si>
  <si>
    <t>대전태평중학교</t>
  </si>
  <si>
    <t>대전태평초등학교</t>
  </si>
  <si>
    <t>대전한빛고등학교</t>
  </si>
  <si>
    <t>동명중학교</t>
  </si>
  <si>
    <t>산서초등학교</t>
  </si>
  <si>
    <t>서대전초등학교</t>
  </si>
  <si>
    <t>청란여자고등학교</t>
  </si>
  <si>
    <t>청란여자중학교</t>
  </si>
  <si>
    <t>충남기계공업고등학교</t>
  </si>
  <si>
    <t>충남여자고등학교</t>
  </si>
  <si>
    <t>충남여자중학교</t>
  </si>
  <si>
    <t>호수돈여자고등학교</t>
  </si>
  <si>
    <t>호수돈여자중학교</t>
  </si>
  <si>
    <t>정렬순번</t>
    <phoneticPr fontId="6" type="noConversion"/>
  </si>
  <si>
    <t>중첩수
평균값</t>
    <phoneticPr fontId="1" type="noConversion"/>
  </si>
  <si>
    <t>초등학교</t>
    <phoneticPr fontId="6" type="noConversion"/>
  </si>
  <si>
    <t>중학교</t>
    <phoneticPr fontId="6" type="noConversion"/>
  </si>
  <si>
    <t>고등학교</t>
    <phoneticPr fontId="6" type="noConversion"/>
  </si>
  <si>
    <t>특수학교</t>
    <phoneticPr fontId="6" type="noConversion"/>
  </si>
  <si>
    <t>중첩수 평균값</t>
    <phoneticPr fontId="1" type="noConversion"/>
  </si>
  <si>
    <t>학교수</t>
    <phoneticPr fontId="1" type="noConversion"/>
  </si>
  <si>
    <t>대상
학교수</t>
    <phoneticPr fontId="1" type="noConversion"/>
  </si>
  <si>
    <t>중첩 개선 필요 학교 수</t>
    <phoneticPr fontId="1" type="noConversion"/>
  </si>
  <si>
    <t>대덕구</t>
    <phoneticPr fontId="1" type="noConversion"/>
  </si>
  <si>
    <t>동구</t>
    <phoneticPr fontId="1" type="noConversion"/>
  </si>
  <si>
    <t>중구</t>
    <phoneticPr fontId="1" type="noConversion"/>
  </si>
  <si>
    <t>서구</t>
    <phoneticPr fontId="1" type="noConversion"/>
  </si>
  <si>
    <t>유성구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</si>
</sst>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_);[Red]\(0.00\)"/>
    <numFmt numFmtId="177" formatCode="0_);[Red]\(0\)"/>
    <numFmt numFmtId="178" formatCode="#,##0.00_ 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/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7" fillId="0" borderId="0" xfId="2" applyFont="1" applyAlignment="1">
      <alignment horizontal="center" vertical="top" wrapText="1"/>
    </xf>
    <xf numFmtId="177" fontId="8" fillId="0" borderId="1" xfId="2" applyNumberFormat="1" applyFont="1" applyBorder="1" applyAlignment="1">
      <alignment horizontal="right" vertical="center"/>
    </xf>
    <xf numFmtId="178" fontId="8" fillId="0" borderId="1" xfId="2" applyNumberFormat="1" applyFont="1" applyBorder="1" applyAlignment="1">
      <alignment vertical="center"/>
    </xf>
    <xf numFmtId="0" fontId="3" fillId="3" borderId="5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41" fontId="8" fillId="0" borderId="1" xfId="2" applyNumberFormat="1" applyFont="1" applyBorder="1" applyAlignment="1">
      <alignment horizontal="right" vertical="center"/>
    </xf>
    <xf numFmtId="41" fontId="0" fillId="0" borderId="1" xfId="0" applyNumberFormat="1" applyBorder="1">
      <alignment vertical="center"/>
    </xf>
    <xf numFmtId="176" fontId="10" fillId="10" borderId="0" xfId="0" applyNumberFormat="1" applyFont="1" applyFill="1" applyAlignment="1">
      <alignment vertical="center"/>
    </xf>
    <xf numFmtId="0" fontId="3" fillId="0" borderId="0" xfId="0" applyFont="1" applyFill="1" applyBorder="1" applyAlignment="1">
      <alignment horizontal="center" vertical="top" wrapText="1"/>
    </xf>
    <xf numFmtId="41" fontId="8" fillId="0" borderId="0" xfId="2" applyNumberFormat="1" applyFont="1" applyFill="1" applyBorder="1" applyAlignment="1">
      <alignment horizontal="right" vertical="center"/>
    </xf>
    <xf numFmtId="41" fontId="0" fillId="0" borderId="0" xfId="0" applyNumberFormat="1" applyFill="1" applyBorder="1">
      <alignment vertical="center"/>
    </xf>
    <xf numFmtId="41" fontId="9" fillId="9" borderId="6" xfId="2" applyNumberFormat="1" applyFont="1" applyFill="1" applyBorder="1" applyAlignment="1">
      <alignment vertical="center"/>
    </xf>
    <xf numFmtId="177" fontId="8" fillId="0" borderId="0" xfId="2" applyNumberFormat="1" applyFont="1" applyFill="1" applyBorder="1" applyAlignment="1">
      <alignment horizontal="right" vertical="center"/>
    </xf>
    <xf numFmtId="176" fontId="8" fillId="0" borderId="0" xfId="2" applyNumberFormat="1" applyFont="1" applyFill="1" applyBorder="1" applyAlignment="1">
      <alignment horizontal="right" vertical="center"/>
    </xf>
    <xf numFmtId="178" fontId="8" fillId="0" borderId="0" xfId="2" applyNumberFormat="1" applyFont="1" applyFill="1" applyBorder="1" applyAlignment="1">
      <alignment vertical="center"/>
    </xf>
    <xf numFmtId="0" fontId="3" fillId="11" borderId="3" xfId="0" applyFont="1" applyFill="1" applyBorder="1" applyAlignment="1">
      <alignment horizontal="center" vertical="top" wrapText="1"/>
    </xf>
    <xf numFmtId="176" fontId="8" fillId="12" borderId="1" xfId="2" applyNumberFormat="1" applyFont="1" applyFill="1" applyBorder="1" applyAlignment="1">
      <alignment horizontal="right" vertical="center"/>
    </xf>
    <xf numFmtId="41" fontId="8" fillId="12" borderId="1" xfId="2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14FCE826-5E59-4E38-85AE-F7085B91D9A3}"/>
    <cellStyle name="표준 3 3" xfId="2" xr:uid="{D2248302-2FCD-4588-97EF-BE954CCA42C7}"/>
  </cellStyles>
  <dxfs count="1">
    <dxf>
      <font>
        <b/>
        <i val="0"/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3</xdr:row>
      <xdr:rowOff>38100</xdr:rowOff>
    </xdr:from>
    <xdr:to>
      <xdr:col>14</xdr:col>
      <xdr:colOff>438150</xdr:colOff>
      <xdr:row>5</xdr:row>
      <xdr:rowOff>19048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709707C-5E5C-47BB-A92E-305917247BCB}"/>
            </a:ext>
          </a:extLst>
        </xdr:cNvPr>
        <xdr:cNvSpPr/>
      </xdr:nvSpPr>
      <xdr:spPr>
        <a:xfrm>
          <a:off x="10467975" y="1085850"/>
          <a:ext cx="1038225" cy="40004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bIns="91440" rtlCol="0" anchor="t"/>
        <a:lstStyle/>
        <a:p>
          <a:pPr algn="ctr"/>
          <a:r>
            <a:rPr lang="ko-KR" altLang="en-US" sz="1100">
              <a:solidFill>
                <a:srgbClr val="C00000"/>
              </a:solidFill>
            </a:rPr>
            <a:t>중첩값 </a:t>
          </a:r>
          <a:r>
            <a:rPr lang="en-US" altLang="ko-KR" sz="1100">
              <a:solidFill>
                <a:srgbClr val="C00000"/>
              </a:solidFill>
            </a:rPr>
            <a:t>&gt; 3  </a:t>
          </a:r>
          <a:endParaRPr lang="ko-KR" altLang="en-US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6149-6533-4CCF-B55A-F1595E293683}">
  <dimension ref="A1:M317"/>
  <sheetViews>
    <sheetView tabSelected="1" zoomScaleNormal="100" workbookViewId="0">
      <pane xSplit="5" ySplit="2" topLeftCell="F3" activePane="bottomRight" state="frozen"/>
      <selection pane="topRight" activeCell="H1" sqref="H1"/>
      <selection pane="bottomLeft" activeCell="A2" sqref="A2"/>
      <selection pane="bottomRight" activeCell="H24" sqref="H24"/>
    </sheetView>
  </sheetViews>
  <sheetFormatPr defaultRowHeight="16.5"/>
  <cols>
    <col min="1" max="1" width="8.75" style="11" bestFit="1" customWidth="1"/>
    <col min="2" max="2" width="7.125" bestFit="1" customWidth="1"/>
    <col min="3" max="3" width="10" customWidth="1"/>
    <col min="4" max="4" width="31.75" bestFit="1" customWidth="1"/>
    <col min="5" max="5" width="8.625" style="1" customWidth="1"/>
    <col min="7" max="7" width="7.625" customWidth="1"/>
    <col min="8" max="13" width="8.625" customWidth="1"/>
  </cols>
  <sheetData>
    <row r="1" spans="1:13">
      <c r="E1" s="22">
        <f>AVERAGE(E3:E317)</f>
        <v>1.6080823492063476</v>
      </c>
    </row>
    <row r="2" spans="1:13" ht="33">
      <c r="A2" s="10" t="s">
        <v>327</v>
      </c>
      <c r="B2" s="12" t="s">
        <v>0</v>
      </c>
      <c r="C2" s="12" t="s">
        <v>1</v>
      </c>
      <c r="D2" s="13" t="s">
        <v>2</v>
      </c>
      <c r="E2" s="12" t="s">
        <v>328</v>
      </c>
      <c r="G2" s="14"/>
      <c r="H2" s="13" t="s">
        <v>334</v>
      </c>
      <c r="I2" s="30" t="s">
        <v>333</v>
      </c>
      <c r="J2" s="12" t="s">
        <v>329</v>
      </c>
      <c r="K2" s="12" t="s">
        <v>330</v>
      </c>
      <c r="L2" s="12" t="s">
        <v>331</v>
      </c>
      <c r="M2" s="12" t="s">
        <v>332</v>
      </c>
    </row>
    <row r="3" spans="1:13">
      <c r="A3" s="33">
        <v>1</v>
      </c>
      <c r="B3" s="2" t="s">
        <v>9</v>
      </c>
      <c r="C3" s="3" t="s">
        <v>5</v>
      </c>
      <c r="D3" s="4" t="s">
        <v>10</v>
      </c>
      <c r="E3" s="8">
        <v>8.8500000000000002E-3</v>
      </c>
      <c r="G3" s="13" t="s">
        <v>337</v>
      </c>
      <c r="H3" s="15">
        <f>COUNTIF($B$3:$B$317, G3)</f>
        <v>41</v>
      </c>
      <c r="I3" s="31">
        <f>SUMIF($B$3:$B$317, G3, $E$3:$E$317) / COUNTIF($B$3:$B$317, G3)</f>
        <v>1.2233134146341464</v>
      </c>
      <c r="J3" s="16">
        <f>IFERROR(SUMIFS($E$3:$E$317, $B$3:$B$317, $G3, $C$3:$C$317, J$2) / COUNTIFS($B$3:$B$317, $G3, $C$3:$C$317, J$2), "")</f>
        <v>0.71161904761904771</v>
      </c>
      <c r="K3" s="16">
        <f t="shared" ref="K3:M7" si="0">IFERROR(SUMIFS($E$3:$E$317, $B$3:$B$317, $G3, $C$3:$C$317, K$2) / COUNTIFS($B$3:$B$317, $G3, $C$3:$C$317, K$2), "")</f>
        <v>1.1304041666666667</v>
      </c>
      <c r="L3" s="16">
        <f t="shared" si="0"/>
        <v>3.1766000000000005</v>
      </c>
      <c r="M3" s="16">
        <f t="shared" si="0"/>
        <v>1.9213333333333333</v>
      </c>
    </row>
    <row r="4" spans="1:13">
      <c r="A4" s="33">
        <v>2</v>
      </c>
      <c r="B4" s="2" t="s">
        <v>9</v>
      </c>
      <c r="C4" s="3" t="s">
        <v>4</v>
      </c>
      <c r="D4" s="4" t="s">
        <v>11</v>
      </c>
      <c r="E4" s="8">
        <v>0.3</v>
      </c>
      <c r="G4" s="13" t="s">
        <v>338</v>
      </c>
      <c r="H4" s="15">
        <f t="shared" ref="H4:H7" si="1">COUNTIF($B$3:$B$317, G4)</f>
        <v>46</v>
      </c>
      <c r="I4" s="31">
        <f t="shared" ref="I4:I7" si="2">SUMIF($B$3:$B$317, G4, $E$3:$E$317) / COUNTIF($B$3:$B$317, G4)</f>
        <v>1.5942826086956523</v>
      </c>
      <c r="J4" s="16">
        <f t="shared" ref="J4:J7" si="3">IFERROR(SUMIFS($E$3:$E$317, $B$3:$B$317, $G4, $C$3:$C$317, J$2) / COUNTIFS($B$3:$B$317, $G4, $C$3:$C$317, J$2), "")</f>
        <v>1.395</v>
      </c>
      <c r="K4" s="16">
        <f t="shared" si="0"/>
        <v>1.4691666666666665</v>
      </c>
      <c r="L4" s="16">
        <f t="shared" si="0"/>
        <v>1.7013333333333334</v>
      </c>
      <c r="M4" s="16">
        <f t="shared" si="0"/>
        <v>4.1550000000000002</v>
      </c>
    </row>
    <row r="5" spans="1:13">
      <c r="A5" s="33">
        <v>3</v>
      </c>
      <c r="B5" s="2" t="s">
        <v>9</v>
      </c>
      <c r="C5" s="3" t="s">
        <v>5</v>
      </c>
      <c r="D5" s="4" t="s">
        <v>12</v>
      </c>
      <c r="E5" s="8">
        <v>2.35</v>
      </c>
      <c r="G5" s="13" t="s">
        <v>340</v>
      </c>
      <c r="H5" s="15">
        <f t="shared" si="1"/>
        <v>90</v>
      </c>
      <c r="I5" s="31">
        <f t="shared" si="2"/>
        <v>2.0600696666666667</v>
      </c>
      <c r="J5" s="16">
        <f t="shared" si="3"/>
        <v>1.5319588095238095</v>
      </c>
      <c r="K5" s="16">
        <f t="shared" si="0"/>
        <v>2.3694827586206886</v>
      </c>
      <c r="L5" s="16">
        <f t="shared" si="0"/>
        <v>2.648277777777778</v>
      </c>
      <c r="M5" s="16">
        <f t="shared" si="0"/>
        <v>4.68</v>
      </c>
    </row>
    <row r="6" spans="1:13">
      <c r="A6" s="33">
        <v>4</v>
      </c>
      <c r="B6" s="2" t="s">
        <v>9</v>
      </c>
      <c r="C6" s="3" t="s">
        <v>5</v>
      </c>
      <c r="D6" s="4" t="s">
        <v>13</v>
      </c>
      <c r="E6" s="8">
        <v>1.91</v>
      </c>
      <c r="G6" s="17" t="s">
        <v>341</v>
      </c>
      <c r="H6" s="15">
        <f t="shared" si="1"/>
        <v>83</v>
      </c>
      <c r="I6" s="31">
        <f t="shared" si="2"/>
        <v>1.5417349397590359</v>
      </c>
      <c r="J6" s="16">
        <f t="shared" si="3"/>
        <v>1.2787571428571429</v>
      </c>
      <c r="K6" s="16">
        <f t="shared" si="0"/>
        <v>1.8578956521739134</v>
      </c>
      <c r="L6" s="16">
        <f t="shared" si="0"/>
        <v>1.6050352941176471</v>
      </c>
      <c r="M6" s="16">
        <f t="shared" si="0"/>
        <v>4.2389999999999999</v>
      </c>
    </row>
    <row r="7" spans="1:13">
      <c r="A7" s="33">
        <v>5</v>
      </c>
      <c r="B7" s="2" t="s">
        <v>9</v>
      </c>
      <c r="C7" s="3" t="s">
        <v>4</v>
      </c>
      <c r="D7" s="4" t="s">
        <v>14</v>
      </c>
      <c r="E7" s="8">
        <v>0.21</v>
      </c>
      <c r="G7" s="18" t="s">
        <v>339</v>
      </c>
      <c r="H7" s="15">
        <f t="shared" si="1"/>
        <v>55</v>
      </c>
      <c r="I7" s="31">
        <f t="shared" si="2"/>
        <v>1.2669603636363638</v>
      </c>
      <c r="J7" s="16">
        <f t="shared" si="3"/>
        <v>1.013948888888889</v>
      </c>
      <c r="K7" s="16">
        <f t="shared" si="0"/>
        <v>0.98058571428571428</v>
      </c>
      <c r="L7" s="16">
        <f t="shared" si="0"/>
        <v>2.0412857142857144</v>
      </c>
      <c r="M7" s="16" t="str">
        <f t="shared" si="0"/>
        <v/>
      </c>
    </row>
    <row r="8" spans="1:13">
      <c r="A8" s="33">
        <v>6</v>
      </c>
      <c r="B8" s="2" t="s">
        <v>9</v>
      </c>
      <c r="C8" s="3" t="s">
        <v>4</v>
      </c>
      <c r="D8" s="4" t="s">
        <v>15</v>
      </c>
      <c r="E8" s="8">
        <v>0.45</v>
      </c>
      <c r="G8" s="23"/>
      <c r="H8" s="27"/>
      <c r="I8" s="28"/>
      <c r="J8" s="29"/>
      <c r="K8" s="29"/>
      <c r="L8" s="29"/>
      <c r="M8" s="29"/>
    </row>
    <row r="9" spans="1:13">
      <c r="A9" s="33">
        <v>7</v>
      </c>
      <c r="B9" s="2" t="s">
        <v>9</v>
      </c>
      <c r="C9" s="3" t="s">
        <v>4</v>
      </c>
      <c r="D9" s="4" t="s">
        <v>16</v>
      </c>
      <c r="E9" s="8">
        <v>0.26</v>
      </c>
      <c r="G9" s="34" t="s">
        <v>336</v>
      </c>
      <c r="H9" s="34"/>
      <c r="I9" s="35"/>
      <c r="J9" s="26">
        <f>SUBTOTAL(109,J11:J27)</f>
        <v>17</v>
      </c>
      <c r="K9" s="26">
        <f>SUBTOTAL(109,K11:K27)</f>
        <v>0</v>
      </c>
      <c r="L9" s="26">
        <f>SUBTOTAL(109,L11:L27)</f>
        <v>0</v>
      </c>
      <c r="M9" s="26">
        <f>SUBTOTAL(109,M11:M27)</f>
        <v>0</v>
      </c>
    </row>
    <row r="10" spans="1:13" ht="16.5" customHeight="1">
      <c r="A10" s="33">
        <v>8</v>
      </c>
      <c r="B10" s="2" t="s">
        <v>9</v>
      </c>
      <c r="C10" s="3" t="s">
        <v>5</v>
      </c>
      <c r="D10" s="4" t="s">
        <v>17</v>
      </c>
      <c r="E10" s="8">
        <v>1.6439999999999999</v>
      </c>
      <c r="H10" s="13" t="s">
        <v>334</v>
      </c>
      <c r="I10" s="30" t="s">
        <v>335</v>
      </c>
      <c r="J10" s="19" t="s">
        <v>329</v>
      </c>
      <c r="K10" s="19" t="s">
        <v>330</v>
      </c>
      <c r="L10" s="19" t="s">
        <v>331</v>
      </c>
      <c r="M10" s="19" t="s">
        <v>332</v>
      </c>
    </row>
    <row r="11" spans="1:13">
      <c r="A11" s="33">
        <v>9</v>
      </c>
      <c r="B11" s="2" t="s">
        <v>9</v>
      </c>
      <c r="C11" s="3" t="s">
        <v>4</v>
      </c>
      <c r="D11" s="4" t="s">
        <v>18</v>
      </c>
      <c r="E11" s="8">
        <v>0.31</v>
      </c>
      <c r="G11" s="13" t="s">
        <v>337</v>
      </c>
      <c r="H11" s="20">
        <f>COUNTIF($B$3:$B$317, G11)</f>
        <v>41</v>
      </c>
      <c r="I11" s="32">
        <f>COUNTIFS($B$3:$B$317, G3, $E$3:$E$317, "&gt;3")</f>
        <v>4</v>
      </c>
      <c r="J11" s="21">
        <f>COUNTIFS($B$3:$B$317, G3, $C$3:$C$317, J$2, $E$3:$E$317, "&gt;3")</f>
        <v>1</v>
      </c>
      <c r="K11" s="21">
        <f t="shared" ref="K11:M11" si="4">COUNTIFS($B$3:$B$317, H3, $C$3:$C$317, K$2, $E$3:$E$317, "&gt;3")</f>
        <v>0</v>
      </c>
      <c r="L11" s="21">
        <f t="shared" si="4"/>
        <v>0</v>
      </c>
      <c r="M11" s="21">
        <f t="shared" si="4"/>
        <v>0</v>
      </c>
    </row>
    <row r="12" spans="1:13">
      <c r="A12" s="33">
        <v>10</v>
      </c>
      <c r="B12" s="2" t="s">
        <v>9</v>
      </c>
      <c r="C12" s="3" t="s">
        <v>4</v>
      </c>
      <c r="D12" s="4" t="s">
        <v>19</v>
      </c>
      <c r="E12" s="8">
        <v>0.82</v>
      </c>
      <c r="G12" s="13" t="s">
        <v>338</v>
      </c>
      <c r="H12" s="20">
        <f t="shared" ref="H12:H15" si="5">COUNTIF($B$3:$B$317, G12)</f>
        <v>46</v>
      </c>
      <c r="I12" s="32">
        <f t="shared" ref="I12:I15" si="6">COUNTIFS($B$3:$B$317, G4, $E$3:$E$317, "&gt;3")</f>
        <v>9</v>
      </c>
      <c r="J12" s="21">
        <f t="shared" ref="J12:J15" si="7">COUNTIFS($B$3:$B$317, G4, $C$3:$C$317, J$2, $E$3:$E$317, "&gt;3")</f>
        <v>4</v>
      </c>
      <c r="K12" s="21">
        <f t="shared" ref="K12:K15" si="8">COUNTIFS($B$3:$B$317, H4, $C$3:$C$317, K$2, $E$3:$E$317, "&gt;3")</f>
        <v>0</v>
      </c>
      <c r="L12" s="21">
        <f t="shared" ref="L12:L15" si="9">COUNTIFS($B$3:$B$317, I4, $C$3:$C$317, L$2, $E$3:$E$317, "&gt;3")</f>
        <v>0</v>
      </c>
      <c r="M12" s="21">
        <f t="shared" ref="M12:M15" si="10">COUNTIFS($B$3:$B$317, J4, $C$3:$C$317, M$2, $E$3:$E$317, "&gt;3")</f>
        <v>0</v>
      </c>
    </row>
    <row r="13" spans="1:13">
      <c r="A13" s="33">
        <v>11</v>
      </c>
      <c r="B13" s="2" t="s">
        <v>9</v>
      </c>
      <c r="C13" s="3" t="s">
        <v>5</v>
      </c>
      <c r="D13" s="4" t="s">
        <v>20</v>
      </c>
      <c r="E13" s="8">
        <v>0.11</v>
      </c>
      <c r="G13" s="13" t="s">
        <v>340</v>
      </c>
      <c r="H13" s="20">
        <f t="shared" si="5"/>
        <v>90</v>
      </c>
      <c r="I13" s="32">
        <f t="shared" si="6"/>
        <v>18</v>
      </c>
      <c r="J13" s="21">
        <f t="shared" si="7"/>
        <v>6</v>
      </c>
      <c r="K13" s="21">
        <f t="shared" si="8"/>
        <v>0</v>
      </c>
      <c r="L13" s="21">
        <f t="shared" si="9"/>
        <v>0</v>
      </c>
      <c r="M13" s="21">
        <f t="shared" si="10"/>
        <v>0</v>
      </c>
    </row>
    <row r="14" spans="1:13">
      <c r="A14" s="33">
        <v>12</v>
      </c>
      <c r="B14" s="2" t="s">
        <v>9</v>
      </c>
      <c r="C14" s="3" t="s">
        <v>4</v>
      </c>
      <c r="D14" s="4" t="s">
        <v>21</v>
      </c>
      <c r="E14" s="8">
        <v>0.4</v>
      </c>
      <c r="G14" s="17" t="s">
        <v>341</v>
      </c>
      <c r="H14" s="20">
        <f t="shared" si="5"/>
        <v>83</v>
      </c>
      <c r="I14" s="32">
        <f t="shared" si="6"/>
        <v>11</v>
      </c>
      <c r="J14" s="21">
        <f t="shared" si="7"/>
        <v>4</v>
      </c>
      <c r="K14" s="21">
        <f t="shared" si="8"/>
        <v>0</v>
      </c>
      <c r="L14" s="21">
        <f t="shared" si="9"/>
        <v>0</v>
      </c>
      <c r="M14" s="21">
        <f t="shared" si="10"/>
        <v>0</v>
      </c>
    </row>
    <row r="15" spans="1:13">
      <c r="A15" s="33">
        <v>13</v>
      </c>
      <c r="B15" s="2" t="s">
        <v>9</v>
      </c>
      <c r="C15" s="3" t="s">
        <v>4</v>
      </c>
      <c r="D15" s="4" t="s">
        <v>22</v>
      </c>
      <c r="E15" s="8">
        <v>0</v>
      </c>
      <c r="G15" s="18" t="s">
        <v>339</v>
      </c>
      <c r="H15" s="20">
        <f t="shared" si="5"/>
        <v>55</v>
      </c>
      <c r="I15" s="32">
        <f t="shared" si="6"/>
        <v>8</v>
      </c>
      <c r="J15" s="21">
        <f t="shared" si="7"/>
        <v>2</v>
      </c>
      <c r="K15" s="21">
        <f t="shared" si="8"/>
        <v>0</v>
      </c>
      <c r="L15" s="21">
        <f t="shared" si="9"/>
        <v>0</v>
      </c>
      <c r="M15" s="21">
        <f t="shared" si="10"/>
        <v>0</v>
      </c>
    </row>
    <row r="16" spans="1:13">
      <c r="A16" s="33">
        <v>14</v>
      </c>
      <c r="B16" s="2" t="s">
        <v>9</v>
      </c>
      <c r="C16" s="3" t="s">
        <v>4</v>
      </c>
      <c r="D16" s="4" t="s">
        <v>23</v>
      </c>
      <c r="E16" s="8">
        <v>0.09</v>
      </c>
    </row>
    <row r="17" spans="1:13">
      <c r="A17" s="33">
        <v>15</v>
      </c>
      <c r="B17" s="2" t="s">
        <v>9</v>
      </c>
      <c r="C17" s="3" t="s">
        <v>3</v>
      </c>
      <c r="D17" s="4" t="s">
        <v>24</v>
      </c>
      <c r="E17" s="8">
        <v>6.46</v>
      </c>
    </row>
    <row r="18" spans="1:13">
      <c r="A18" s="33">
        <v>16</v>
      </c>
      <c r="B18" s="2" t="s">
        <v>9</v>
      </c>
      <c r="C18" s="3" t="s">
        <v>4</v>
      </c>
      <c r="D18" s="4" t="s">
        <v>25</v>
      </c>
      <c r="E18" s="8">
        <v>0</v>
      </c>
    </row>
    <row r="19" spans="1:13">
      <c r="A19" s="33">
        <v>17</v>
      </c>
      <c r="B19" s="2" t="s">
        <v>9</v>
      </c>
      <c r="C19" s="3" t="s">
        <v>3</v>
      </c>
      <c r="D19" s="4" t="s">
        <v>26</v>
      </c>
      <c r="E19" s="8">
        <v>2.2280000000000002</v>
      </c>
    </row>
    <row r="20" spans="1:13">
      <c r="A20" s="33">
        <v>18</v>
      </c>
      <c r="B20" s="2" t="s">
        <v>9</v>
      </c>
      <c r="C20" s="3" t="s">
        <v>5</v>
      </c>
      <c r="D20" s="4" t="s">
        <v>27</v>
      </c>
      <c r="E20" s="8">
        <v>1.65</v>
      </c>
    </row>
    <row r="21" spans="1:13">
      <c r="A21" s="33">
        <v>19</v>
      </c>
      <c r="B21" s="2" t="s">
        <v>9</v>
      </c>
      <c r="C21" s="3" t="s">
        <v>4</v>
      </c>
      <c r="D21" s="4" t="s">
        <v>28</v>
      </c>
      <c r="E21" s="8">
        <v>2.9</v>
      </c>
    </row>
    <row r="22" spans="1:13">
      <c r="A22" s="33">
        <v>20</v>
      </c>
      <c r="B22" s="2" t="s">
        <v>9</v>
      </c>
      <c r="C22" s="3" t="s">
        <v>4</v>
      </c>
      <c r="D22" s="4" t="s">
        <v>29</v>
      </c>
      <c r="E22" s="8">
        <v>1.63</v>
      </c>
      <c r="G22" s="23"/>
      <c r="H22" s="24"/>
      <c r="I22" s="24"/>
      <c r="J22" s="25"/>
      <c r="K22" s="25"/>
      <c r="L22" s="25"/>
      <c r="M22" s="25"/>
    </row>
    <row r="23" spans="1:13">
      <c r="A23" s="33">
        <v>21</v>
      </c>
      <c r="B23" s="2" t="s">
        <v>9</v>
      </c>
      <c r="C23" s="3" t="s">
        <v>6</v>
      </c>
      <c r="D23" s="4" t="s">
        <v>30</v>
      </c>
      <c r="E23" s="8">
        <v>0.58699999999999997</v>
      </c>
      <c r="G23" s="23"/>
      <c r="H23" s="24"/>
      <c r="I23" s="24"/>
      <c r="J23" s="25"/>
      <c r="K23" s="25"/>
      <c r="L23" s="25"/>
      <c r="M23" s="25"/>
    </row>
    <row r="24" spans="1:13">
      <c r="A24" s="33">
        <v>22</v>
      </c>
      <c r="B24" s="2" t="s">
        <v>9</v>
      </c>
      <c r="C24" s="3" t="s">
        <v>5</v>
      </c>
      <c r="D24" s="4" t="s">
        <v>31</v>
      </c>
      <c r="E24" s="8">
        <v>0.82</v>
      </c>
      <c r="G24" s="23"/>
      <c r="H24" s="24"/>
      <c r="I24" s="24"/>
      <c r="J24" s="25"/>
      <c r="K24" s="25"/>
      <c r="L24" s="25"/>
      <c r="M24" s="25"/>
    </row>
    <row r="25" spans="1:13">
      <c r="A25" s="33">
        <v>23</v>
      </c>
      <c r="B25" s="2" t="s">
        <v>9</v>
      </c>
      <c r="C25" s="3" t="s">
        <v>6</v>
      </c>
      <c r="D25" s="4" t="s">
        <v>32</v>
      </c>
      <c r="E25" s="8">
        <v>1.597</v>
      </c>
      <c r="G25" s="23"/>
      <c r="H25" s="24"/>
      <c r="I25" s="24"/>
      <c r="J25" s="25"/>
      <c r="K25" s="25"/>
      <c r="L25" s="25"/>
      <c r="M25" s="25"/>
    </row>
    <row r="26" spans="1:13">
      <c r="A26" s="33">
        <v>24</v>
      </c>
      <c r="B26" s="2" t="s">
        <v>9</v>
      </c>
      <c r="C26" s="3" t="s">
        <v>3</v>
      </c>
      <c r="D26" s="4" t="s">
        <v>33</v>
      </c>
      <c r="E26" s="8">
        <v>0.35499999999999998</v>
      </c>
      <c r="G26" s="23"/>
      <c r="H26" s="24"/>
      <c r="I26" s="24"/>
      <c r="J26" s="25"/>
      <c r="K26" s="25"/>
      <c r="L26" s="25"/>
      <c r="M26" s="25"/>
    </row>
    <row r="27" spans="1:13">
      <c r="A27" s="33">
        <v>25</v>
      </c>
      <c r="B27" s="2" t="s">
        <v>9</v>
      </c>
      <c r="C27" s="3" t="s">
        <v>4</v>
      </c>
      <c r="D27" s="4" t="s">
        <v>34</v>
      </c>
      <c r="E27" s="8">
        <v>0.16</v>
      </c>
      <c r="G27" s="23"/>
      <c r="H27" s="24"/>
      <c r="I27" s="24"/>
      <c r="J27" s="25"/>
      <c r="K27" s="25"/>
      <c r="L27" s="25"/>
      <c r="M27" s="25"/>
    </row>
    <row r="28" spans="1:13">
      <c r="A28" s="33">
        <v>26</v>
      </c>
      <c r="B28" s="2" t="s">
        <v>9</v>
      </c>
      <c r="C28" s="3" t="s">
        <v>4</v>
      </c>
      <c r="D28" s="4" t="s">
        <v>35</v>
      </c>
      <c r="E28" s="8">
        <v>0.53</v>
      </c>
    </row>
    <row r="29" spans="1:13">
      <c r="A29" s="33">
        <v>27</v>
      </c>
      <c r="B29" s="2" t="s">
        <v>9</v>
      </c>
      <c r="C29" s="3" t="s">
        <v>6</v>
      </c>
      <c r="D29" s="4" t="s">
        <v>36</v>
      </c>
      <c r="E29" s="1">
        <v>3.58</v>
      </c>
    </row>
    <row r="30" spans="1:13">
      <c r="A30" s="33">
        <v>28</v>
      </c>
      <c r="B30" s="2" t="s">
        <v>9</v>
      </c>
      <c r="C30" s="3" t="s">
        <v>4</v>
      </c>
      <c r="D30" s="4" t="s">
        <v>37</v>
      </c>
      <c r="E30" s="8">
        <v>1.32</v>
      </c>
    </row>
    <row r="31" spans="1:13">
      <c r="A31" s="33">
        <v>29</v>
      </c>
      <c r="B31" s="2" t="s">
        <v>9</v>
      </c>
      <c r="C31" s="3" t="s">
        <v>3</v>
      </c>
      <c r="D31" s="4" t="s">
        <v>38</v>
      </c>
      <c r="E31" s="8">
        <v>3.95</v>
      </c>
    </row>
    <row r="32" spans="1:13">
      <c r="A32" s="33">
        <v>30</v>
      </c>
      <c r="B32" s="2" t="s">
        <v>9</v>
      </c>
      <c r="C32" s="3" t="s">
        <v>4</v>
      </c>
      <c r="D32" s="4" t="s">
        <v>39</v>
      </c>
      <c r="E32" s="8">
        <v>1.51</v>
      </c>
    </row>
    <row r="33" spans="1:5">
      <c r="A33" s="33">
        <v>31</v>
      </c>
      <c r="B33" s="2" t="s">
        <v>9</v>
      </c>
      <c r="C33" s="3" t="s">
        <v>5</v>
      </c>
      <c r="D33" s="4" t="s">
        <v>40</v>
      </c>
      <c r="E33" s="8">
        <v>0.59699999999999998</v>
      </c>
    </row>
    <row r="34" spans="1:5">
      <c r="A34" s="33">
        <v>32</v>
      </c>
      <c r="B34" s="2" t="s">
        <v>9</v>
      </c>
      <c r="C34" s="3" t="s">
        <v>3</v>
      </c>
      <c r="D34" s="4" t="s">
        <v>41</v>
      </c>
      <c r="E34" s="8">
        <v>2.89</v>
      </c>
    </row>
    <row r="35" spans="1:5">
      <c r="A35" s="33">
        <v>33</v>
      </c>
      <c r="B35" s="2" t="s">
        <v>9</v>
      </c>
      <c r="C35" s="3" t="s">
        <v>4</v>
      </c>
      <c r="D35" s="4" t="s">
        <v>42</v>
      </c>
      <c r="E35" s="8">
        <v>0.47</v>
      </c>
    </row>
    <row r="36" spans="1:5">
      <c r="A36" s="33">
        <v>34</v>
      </c>
      <c r="B36" s="2" t="s">
        <v>9</v>
      </c>
      <c r="C36" s="3" t="s">
        <v>5</v>
      </c>
      <c r="D36" s="4" t="s">
        <v>43</v>
      </c>
      <c r="E36" s="8">
        <v>1.38</v>
      </c>
    </row>
    <row r="37" spans="1:5">
      <c r="A37" s="33">
        <v>35</v>
      </c>
      <c r="B37" s="2" t="s">
        <v>9</v>
      </c>
      <c r="C37" s="3" t="s">
        <v>4</v>
      </c>
      <c r="D37" s="4" t="s">
        <v>44</v>
      </c>
      <c r="E37" s="8">
        <v>0.35</v>
      </c>
    </row>
    <row r="38" spans="1:5">
      <c r="A38" s="33">
        <v>36</v>
      </c>
      <c r="B38" s="2" t="s">
        <v>9</v>
      </c>
      <c r="C38" s="3" t="s">
        <v>5</v>
      </c>
      <c r="D38" s="4" t="s">
        <v>45</v>
      </c>
      <c r="E38" s="8">
        <v>0.5</v>
      </c>
    </row>
    <row r="39" spans="1:5">
      <c r="A39" s="33">
        <v>37</v>
      </c>
      <c r="B39" s="2" t="s">
        <v>9</v>
      </c>
      <c r="C39" s="3" t="s">
        <v>4</v>
      </c>
      <c r="D39" s="4" t="s">
        <v>46</v>
      </c>
      <c r="E39" s="8">
        <v>6.9000000000000006E-2</v>
      </c>
    </row>
    <row r="40" spans="1:5">
      <c r="A40" s="33">
        <v>38</v>
      </c>
      <c r="B40" s="2" t="s">
        <v>9</v>
      </c>
      <c r="C40" s="3" t="s">
        <v>4</v>
      </c>
      <c r="D40" s="4" t="s">
        <v>47</v>
      </c>
      <c r="E40" s="8">
        <v>3.07</v>
      </c>
    </row>
    <row r="41" spans="1:5">
      <c r="A41" s="33">
        <v>39</v>
      </c>
      <c r="B41" s="2" t="s">
        <v>9</v>
      </c>
      <c r="C41" s="3" t="s">
        <v>5</v>
      </c>
      <c r="D41" s="4" t="s">
        <v>48</v>
      </c>
      <c r="E41" s="8">
        <v>2.44</v>
      </c>
    </row>
    <row r="42" spans="1:5">
      <c r="A42" s="33">
        <v>40</v>
      </c>
      <c r="B42" s="2" t="s">
        <v>9</v>
      </c>
      <c r="C42" s="3" t="s">
        <v>5</v>
      </c>
      <c r="D42" s="4" t="s">
        <v>49</v>
      </c>
      <c r="E42" s="8">
        <v>0.155</v>
      </c>
    </row>
    <row r="43" spans="1:5">
      <c r="A43" s="33">
        <v>41</v>
      </c>
      <c r="B43" s="2" t="s">
        <v>9</v>
      </c>
      <c r="C43" s="3" t="s">
        <v>4</v>
      </c>
      <c r="D43" s="4" t="s">
        <v>50</v>
      </c>
      <c r="E43" s="8">
        <v>9.5000000000000001E-2</v>
      </c>
    </row>
    <row r="44" spans="1:5">
      <c r="A44" s="33">
        <v>42</v>
      </c>
      <c r="B44" s="2" t="s">
        <v>51</v>
      </c>
      <c r="C44" s="3" t="s">
        <v>3</v>
      </c>
      <c r="D44" s="4" t="s">
        <v>52</v>
      </c>
      <c r="E44" s="8">
        <v>0.79</v>
      </c>
    </row>
    <row r="45" spans="1:5">
      <c r="A45" s="33">
        <v>43</v>
      </c>
      <c r="B45" s="2" t="s">
        <v>51</v>
      </c>
      <c r="C45" s="3" t="s">
        <v>5</v>
      </c>
      <c r="D45" s="4" t="s">
        <v>53</v>
      </c>
      <c r="E45" s="8">
        <v>3.25</v>
      </c>
    </row>
    <row r="46" spans="1:5">
      <c r="A46" s="33">
        <v>44</v>
      </c>
      <c r="B46" s="2" t="s">
        <v>51</v>
      </c>
      <c r="C46" s="3" t="s">
        <v>4</v>
      </c>
      <c r="D46" s="4" t="s">
        <v>54</v>
      </c>
      <c r="E46" s="8">
        <v>0.127</v>
      </c>
    </row>
    <row r="47" spans="1:5">
      <c r="A47" s="33">
        <v>45</v>
      </c>
      <c r="B47" s="2" t="s">
        <v>51</v>
      </c>
      <c r="C47" s="3" t="s">
        <v>3</v>
      </c>
      <c r="D47" s="4" t="s">
        <v>55</v>
      </c>
      <c r="E47" s="8">
        <v>2.0099999999999998</v>
      </c>
    </row>
    <row r="48" spans="1:5">
      <c r="A48" s="33">
        <v>46</v>
      </c>
      <c r="B48" s="2" t="s">
        <v>51</v>
      </c>
      <c r="C48" s="3" t="s">
        <v>5</v>
      </c>
      <c r="D48" s="4" t="s">
        <v>56</v>
      </c>
      <c r="E48" s="8">
        <v>0.41</v>
      </c>
    </row>
    <row r="49" spans="1:5">
      <c r="A49" s="33">
        <v>47</v>
      </c>
      <c r="B49" s="2" t="s">
        <v>51</v>
      </c>
      <c r="C49" s="3" t="s">
        <v>4</v>
      </c>
      <c r="D49" s="4" t="s">
        <v>57</v>
      </c>
      <c r="E49" s="8">
        <v>2.92</v>
      </c>
    </row>
    <row r="50" spans="1:5">
      <c r="A50" s="33">
        <v>48</v>
      </c>
      <c r="B50" s="2" t="s">
        <v>51</v>
      </c>
      <c r="C50" s="3" t="s">
        <v>4</v>
      </c>
      <c r="D50" s="4" t="s">
        <v>58</v>
      </c>
      <c r="E50" s="8">
        <v>0.33</v>
      </c>
    </row>
    <row r="51" spans="1:5">
      <c r="A51" s="33">
        <v>49</v>
      </c>
      <c r="B51" s="2" t="s">
        <v>51</v>
      </c>
      <c r="C51" s="3" t="s">
        <v>4</v>
      </c>
      <c r="D51" s="4" t="s">
        <v>59</v>
      </c>
      <c r="E51" s="8">
        <v>0.28999999999999998</v>
      </c>
    </row>
    <row r="52" spans="1:5">
      <c r="A52" s="33">
        <v>50</v>
      </c>
      <c r="B52" s="2" t="s">
        <v>51</v>
      </c>
      <c r="C52" s="3" t="s">
        <v>3</v>
      </c>
      <c r="D52" s="4" t="s">
        <v>60</v>
      </c>
      <c r="E52" s="8">
        <v>0.47</v>
      </c>
    </row>
    <row r="53" spans="1:5">
      <c r="A53" s="33">
        <v>51</v>
      </c>
      <c r="B53" s="2" t="s">
        <v>51</v>
      </c>
      <c r="C53" s="3" t="s">
        <v>5</v>
      </c>
      <c r="D53" s="4" t="s">
        <v>61</v>
      </c>
      <c r="E53" s="8">
        <v>2.12</v>
      </c>
    </row>
    <row r="54" spans="1:5">
      <c r="A54" s="33">
        <v>52</v>
      </c>
      <c r="B54" s="2" t="s">
        <v>51</v>
      </c>
      <c r="C54" s="3" t="s">
        <v>4</v>
      </c>
      <c r="D54" s="4" t="s">
        <v>62</v>
      </c>
      <c r="E54" s="8">
        <v>0.03</v>
      </c>
    </row>
    <row r="55" spans="1:5">
      <c r="A55" s="33">
        <v>53</v>
      </c>
      <c r="B55" s="2" t="s">
        <v>51</v>
      </c>
      <c r="C55" s="3" t="s">
        <v>4</v>
      </c>
      <c r="D55" s="4" t="s">
        <v>63</v>
      </c>
      <c r="E55" s="8">
        <v>0.25</v>
      </c>
    </row>
    <row r="56" spans="1:5">
      <c r="A56" s="33">
        <v>54</v>
      </c>
      <c r="B56" s="2" t="s">
        <v>51</v>
      </c>
      <c r="C56" s="3" t="s">
        <v>4</v>
      </c>
      <c r="D56" s="4" t="s">
        <v>64</v>
      </c>
      <c r="E56" s="8">
        <v>2.71</v>
      </c>
    </row>
    <row r="57" spans="1:5">
      <c r="A57" s="33">
        <v>55</v>
      </c>
      <c r="B57" s="2" t="s">
        <v>51</v>
      </c>
      <c r="C57" s="3" t="s">
        <v>3</v>
      </c>
      <c r="D57" s="4" t="s">
        <v>65</v>
      </c>
      <c r="E57" s="8">
        <v>2.4300000000000002</v>
      </c>
    </row>
    <row r="58" spans="1:5">
      <c r="A58" s="33">
        <v>56</v>
      </c>
      <c r="B58" s="2" t="s">
        <v>51</v>
      </c>
      <c r="C58" s="3" t="s">
        <v>6</v>
      </c>
      <c r="D58" s="4" t="s">
        <v>66</v>
      </c>
      <c r="E58" s="8">
        <v>7.84</v>
      </c>
    </row>
    <row r="59" spans="1:5">
      <c r="A59" s="33">
        <v>57</v>
      </c>
      <c r="B59" s="2" t="s">
        <v>51</v>
      </c>
      <c r="C59" s="3" t="s">
        <v>4</v>
      </c>
      <c r="D59" s="4" t="s">
        <v>67</v>
      </c>
      <c r="E59" s="8">
        <v>3.25</v>
      </c>
    </row>
    <row r="60" spans="1:5">
      <c r="A60" s="33">
        <v>58</v>
      </c>
      <c r="B60" s="2" t="s">
        <v>51</v>
      </c>
      <c r="C60" s="3" t="s">
        <v>4</v>
      </c>
      <c r="D60" s="4" t="s">
        <v>68</v>
      </c>
      <c r="E60" s="8">
        <v>0</v>
      </c>
    </row>
    <row r="61" spans="1:5">
      <c r="A61" s="33">
        <v>59</v>
      </c>
      <c r="B61" s="2" t="s">
        <v>51</v>
      </c>
      <c r="C61" s="3" t="s">
        <v>4</v>
      </c>
      <c r="D61" s="4" t="s">
        <v>69</v>
      </c>
      <c r="E61" s="8">
        <v>3.96</v>
      </c>
    </row>
    <row r="62" spans="1:5">
      <c r="A62" s="33">
        <v>60</v>
      </c>
      <c r="B62" s="2" t="s">
        <v>51</v>
      </c>
      <c r="C62" s="3" t="s">
        <v>3</v>
      </c>
      <c r="D62" s="4" t="s">
        <v>70</v>
      </c>
      <c r="E62" s="8">
        <v>0.502</v>
      </c>
    </row>
    <row r="63" spans="1:5">
      <c r="A63" s="33">
        <v>61</v>
      </c>
      <c r="B63" s="2" t="s">
        <v>51</v>
      </c>
      <c r="C63" s="3" t="s">
        <v>5</v>
      </c>
      <c r="D63" s="4" t="s">
        <v>71</v>
      </c>
      <c r="E63" s="8">
        <v>0.52</v>
      </c>
    </row>
    <row r="64" spans="1:5">
      <c r="A64" s="33">
        <v>62</v>
      </c>
      <c r="B64" s="2" t="s">
        <v>51</v>
      </c>
      <c r="C64" s="3" t="s">
        <v>4</v>
      </c>
      <c r="D64" s="4" t="s">
        <v>72</v>
      </c>
      <c r="E64" s="8">
        <v>0.23</v>
      </c>
    </row>
    <row r="65" spans="1:5">
      <c r="A65" s="33">
        <v>63</v>
      </c>
      <c r="B65" s="2" t="s">
        <v>51</v>
      </c>
      <c r="C65" s="3" t="s">
        <v>4</v>
      </c>
      <c r="D65" s="4" t="s">
        <v>73</v>
      </c>
      <c r="E65" s="8">
        <v>0.33</v>
      </c>
    </row>
    <row r="66" spans="1:5">
      <c r="A66" s="33">
        <v>64</v>
      </c>
      <c r="B66" s="2" t="s">
        <v>51</v>
      </c>
      <c r="C66" s="3" t="s">
        <v>5</v>
      </c>
      <c r="D66" s="4" t="s">
        <v>74</v>
      </c>
      <c r="E66" s="8">
        <v>2.68</v>
      </c>
    </row>
    <row r="67" spans="1:5">
      <c r="A67" s="33">
        <v>65</v>
      </c>
      <c r="B67" s="2" t="s">
        <v>51</v>
      </c>
      <c r="C67" s="3" t="s">
        <v>4</v>
      </c>
      <c r="D67" s="4" t="s">
        <v>75</v>
      </c>
      <c r="E67" s="8">
        <v>3.08</v>
      </c>
    </row>
    <row r="68" spans="1:5">
      <c r="A68" s="33">
        <v>66</v>
      </c>
      <c r="B68" s="2" t="s">
        <v>51</v>
      </c>
      <c r="C68" s="3" t="s">
        <v>4</v>
      </c>
      <c r="D68" s="4" t="s">
        <v>76</v>
      </c>
      <c r="E68" s="8">
        <v>1.88</v>
      </c>
    </row>
    <row r="69" spans="1:5">
      <c r="A69" s="33">
        <v>67</v>
      </c>
      <c r="B69" s="2" t="s">
        <v>51</v>
      </c>
      <c r="C69" s="3" t="s">
        <v>4</v>
      </c>
      <c r="D69" s="4" t="s">
        <v>77</v>
      </c>
      <c r="E69" s="8">
        <v>2.46</v>
      </c>
    </row>
    <row r="70" spans="1:5">
      <c r="A70" s="33">
        <v>68</v>
      </c>
      <c r="B70" s="2" t="s">
        <v>51</v>
      </c>
      <c r="C70" s="3" t="s">
        <v>4</v>
      </c>
      <c r="D70" s="4" t="s">
        <v>78</v>
      </c>
      <c r="E70" s="8">
        <v>0.28999999999999998</v>
      </c>
    </row>
    <row r="71" spans="1:5">
      <c r="A71" s="33">
        <v>69</v>
      </c>
      <c r="B71" s="2" t="s">
        <v>51</v>
      </c>
      <c r="C71" s="3" t="s">
        <v>4</v>
      </c>
      <c r="D71" s="4" t="s">
        <v>79</v>
      </c>
      <c r="E71" s="8">
        <v>3.82</v>
      </c>
    </row>
    <row r="72" spans="1:5">
      <c r="A72" s="33">
        <v>70</v>
      </c>
      <c r="B72" s="2" t="s">
        <v>51</v>
      </c>
      <c r="C72" s="3" t="s">
        <v>6</v>
      </c>
      <c r="D72" s="4" t="s">
        <v>80</v>
      </c>
      <c r="E72" s="8">
        <v>0.47</v>
      </c>
    </row>
    <row r="73" spans="1:5">
      <c r="A73" s="33">
        <v>71</v>
      </c>
      <c r="B73" s="2" t="s">
        <v>51</v>
      </c>
      <c r="C73" s="3" t="s">
        <v>4</v>
      </c>
      <c r="D73" s="4" t="s">
        <v>81</v>
      </c>
      <c r="E73" s="8">
        <v>0.35</v>
      </c>
    </row>
    <row r="74" spans="1:5">
      <c r="A74" s="33">
        <v>72</v>
      </c>
      <c r="B74" s="2" t="s">
        <v>51</v>
      </c>
      <c r="C74" s="3" t="s">
        <v>5</v>
      </c>
      <c r="D74" s="4" t="s">
        <v>82</v>
      </c>
      <c r="E74" s="8">
        <v>2.77</v>
      </c>
    </row>
    <row r="75" spans="1:5">
      <c r="A75" s="33">
        <v>73</v>
      </c>
      <c r="B75" s="2" t="s">
        <v>51</v>
      </c>
      <c r="C75" s="3" t="s">
        <v>4</v>
      </c>
      <c r="D75" s="4" t="s">
        <v>83</v>
      </c>
      <c r="E75" s="8">
        <v>1.1579999999999999</v>
      </c>
    </row>
    <row r="76" spans="1:5">
      <c r="A76" s="33">
        <v>74</v>
      </c>
      <c r="B76" s="2" t="s">
        <v>51</v>
      </c>
      <c r="C76" s="3" t="s">
        <v>4</v>
      </c>
      <c r="D76" s="4" t="s">
        <v>84</v>
      </c>
      <c r="E76" s="8">
        <v>1.83</v>
      </c>
    </row>
    <row r="77" spans="1:5">
      <c r="A77" s="33">
        <v>75</v>
      </c>
      <c r="B77" s="2" t="s">
        <v>51</v>
      </c>
      <c r="C77" s="3" t="s">
        <v>5</v>
      </c>
      <c r="D77" s="4" t="s">
        <v>85</v>
      </c>
      <c r="E77" s="8">
        <v>0.38</v>
      </c>
    </row>
    <row r="78" spans="1:5">
      <c r="A78" s="33">
        <v>76</v>
      </c>
      <c r="B78" s="2" t="s">
        <v>51</v>
      </c>
      <c r="C78" s="3" t="s">
        <v>3</v>
      </c>
      <c r="D78" s="4" t="s">
        <v>86</v>
      </c>
      <c r="E78" s="8">
        <v>4.18</v>
      </c>
    </row>
    <row r="79" spans="1:5">
      <c r="A79" s="33">
        <v>77</v>
      </c>
      <c r="B79" s="2" t="s">
        <v>51</v>
      </c>
      <c r="C79" s="3" t="s">
        <v>3</v>
      </c>
      <c r="D79" s="4" t="s">
        <v>87</v>
      </c>
      <c r="E79" s="8">
        <v>4.12</v>
      </c>
    </row>
    <row r="80" spans="1:5">
      <c r="A80" s="33">
        <v>78</v>
      </c>
      <c r="B80" s="2" t="s">
        <v>51</v>
      </c>
      <c r="C80" s="3" t="s">
        <v>3</v>
      </c>
      <c r="D80" s="4" t="s">
        <v>88</v>
      </c>
      <c r="E80" s="8">
        <v>0.21</v>
      </c>
    </row>
    <row r="81" spans="1:5">
      <c r="A81" s="33">
        <v>79</v>
      </c>
      <c r="B81" s="2" t="s">
        <v>51</v>
      </c>
      <c r="C81" s="3" t="s">
        <v>5</v>
      </c>
      <c r="D81" s="4" t="s">
        <v>89</v>
      </c>
      <c r="E81" s="8">
        <v>0.83</v>
      </c>
    </row>
    <row r="82" spans="1:5">
      <c r="A82" s="33">
        <v>80</v>
      </c>
      <c r="B82" s="2" t="s">
        <v>51</v>
      </c>
      <c r="C82" s="3" t="s">
        <v>4</v>
      </c>
      <c r="D82" s="4" t="s">
        <v>90</v>
      </c>
      <c r="E82" s="8">
        <v>2.1</v>
      </c>
    </row>
    <row r="83" spans="1:5">
      <c r="A83" s="33">
        <v>81</v>
      </c>
      <c r="B83" s="2" t="s">
        <v>51</v>
      </c>
      <c r="C83" s="3" t="s">
        <v>4</v>
      </c>
      <c r="D83" s="4" t="s">
        <v>91</v>
      </c>
      <c r="E83" s="8">
        <v>0.57999999999999996</v>
      </c>
    </row>
    <row r="84" spans="1:5">
      <c r="A84" s="33">
        <v>82</v>
      </c>
      <c r="B84" s="2" t="s">
        <v>51</v>
      </c>
      <c r="C84" s="3" t="s">
        <v>4</v>
      </c>
      <c r="D84" s="4" t="s">
        <v>92</v>
      </c>
      <c r="E84" s="8">
        <v>0.11</v>
      </c>
    </row>
    <row r="85" spans="1:5">
      <c r="A85" s="33">
        <v>83</v>
      </c>
      <c r="B85" s="2" t="s">
        <v>51</v>
      </c>
      <c r="C85" s="3" t="s">
        <v>3</v>
      </c>
      <c r="D85" s="4" t="s">
        <v>93</v>
      </c>
      <c r="E85" s="8">
        <v>0.6</v>
      </c>
    </row>
    <row r="86" spans="1:5">
      <c r="A86" s="33">
        <v>84</v>
      </c>
      <c r="B86" s="2" t="s">
        <v>51</v>
      </c>
      <c r="C86" s="3" t="s">
        <v>5</v>
      </c>
      <c r="D86" s="4" t="s">
        <v>94</v>
      </c>
      <c r="E86" s="8">
        <v>3.48</v>
      </c>
    </row>
    <row r="87" spans="1:5">
      <c r="A87" s="33">
        <v>85</v>
      </c>
      <c r="B87" s="2" t="s">
        <v>51</v>
      </c>
      <c r="C87" s="3" t="s">
        <v>5</v>
      </c>
      <c r="D87" s="4" t="s">
        <v>95</v>
      </c>
      <c r="E87" s="8">
        <v>0.65</v>
      </c>
    </row>
    <row r="88" spans="1:5">
      <c r="A88" s="33">
        <v>86</v>
      </c>
      <c r="B88" s="2" t="s">
        <v>51</v>
      </c>
      <c r="C88" s="3" t="s">
        <v>5</v>
      </c>
      <c r="D88" s="4" t="s">
        <v>96</v>
      </c>
      <c r="E88" s="8">
        <v>0.04</v>
      </c>
    </row>
    <row r="89" spans="1:5">
      <c r="A89" s="33">
        <v>87</v>
      </c>
      <c r="B89" s="2" t="s">
        <v>51</v>
      </c>
      <c r="C89" s="3" t="s">
        <v>5</v>
      </c>
      <c r="D89" s="4" t="s">
        <v>97</v>
      </c>
      <c r="E89" s="8">
        <v>0.5</v>
      </c>
    </row>
    <row r="90" spans="1:5">
      <c r="A90" s="33">
        <v>88</v>
      </c>
      <c r="B90" s="2" t="s">
        <v>98</v>
      </c>
      <c r="C90" s="3" t="s">
        <v>5</v>
      </c>
      <c r="D90" s="4" t="s">
        <v>99</v>
      </c>
      <c r="E90" s="8">
        <v>1.89</v>
      </c>
    </row>
    <row r="91" spans="1:5">
      <c r="A91" s="33">
        <v>89</v>
      </c>
      <c r="B91" s="2" t="s">
        <v>98</v>
      </c>
      <c r="C91" s="3" t="s">
        <v>4</v>
      </c>
      <c r="D91" s="5" t="s">
        <v>100</v>
      </c>
      <c r="E91" s="8">
        <v>2.58</v>
      </c>
    </row>
    <row r="92" spans="1:5">
      <c r="A92" s="33">
        <v>90</v>
      </c>
      <c r="B92" s="2" t="s">
        <v>98</v>
      </c>
      <c r="C92" s="3" t="s">
        <v>5</v>
      </c>
      <c r="D92" s="4" t="s">
        <v>101</v>
      </c>
      <c r="E92" s="8">
        <v>1.05</v>
      </c>
    </row>
    <row r="93" spans="1:5">
      <c r="A93" s="33">
        <v>91</v>
      </c>
      <c r="B93" s="2" t="s">
        <v>98</v>
      </c>
      <c r="C93" s="3" t="s">
        <v>5</v>
      </c>
      <c r="D93" s="4" t="s">
        <v>102</v>
      </c>
      <c r="E93" s="8">
        <v>1.41</v>
      </c>
    </row>
    <row r="94" spans="1:5">
      <c r="A94" s="33">
        <v>92</v>
      </c>
      <c r="B94" s="2" t="s">
        <v>98</v>
      </c>
      <c r="C94" s="3" t="s">
        <v>4</v>
      </c>
      <c r="D94" s="4" t="s">
        <v>103</v>
      </c>
      <c r="E94" s="8">
        <v>0.26</v>
      </c>
    </row>
    <row r="95" spans="1:5">
      <c r="A95" s="33">
        <v>93</v>
      </c>
      <c r="B95" s="2" t="s">
        <v>98</v>
      </c>
      <c r="C95" s="3" t="s">
        <v>4</v>
      </c>
      <c r="D95" s="4" t="s">
        <v>104</v>
      </c>
      <c r="E95" s="8">
        <v>0.24</v>
      </c>
    </row>
    <row r="96" spans="1:5">
      <c r="A96" s="33">
        <v>94</v>
      </c>
      <c r="B96" s="2" t="s">
        <v>98</v>
      </c>
      <c r="C96" s="3" t="s">
        <v>6</v>
      </c>
      <c r="D96" s="4" t="s">
        <v>105</v>
      </c>
      <c r="E96" s="8">
        <v>4.68</v>
      </c>
    </row>
    <row r="97" spans="1:5">
      <c r="A97" s="33">
        <v>95</v>
      </c>
      <c r="B97" s="2" t="s">
        <v>98</v>
      </c>
      <c r="C97" s="3" t="s">
        <v>4</v>
      </c>
      <c r="D97" s="4" t="s">
        <v>106</v>
      </c>
      <c r="E97" s="8">
        <v>0.18</v>
      </c>
    </row>
    <row r="98" spans="1:5">
      <c r="A98" s="33">
        <v>96</v>
      </c>
      <c r="B98" s="2" t="s">
        <v>98</v>
      </c>
      <c r="C98" s="3" t="s">
        <v>4</v>
      </c>
      <c r="D98" s="4" t="s">
        <v>107</v>
      </c>
      <c r="E98" s="8">
        <v>1.37</v>
      </c>
    </row>
    <row r="99" spans="1:5">
      <c r="A99" s="33">
        <v>97</v>
      </c>
      <c r="B99" s="2" t="s">
        <v>98</v>
      </c>
      <c r="C99" s="3" t="s">
        <v>5</v>
      </c>
      <c r="D99" s="4" t="s">
        <v>108</v>
      </c>
      <c r="E99" s="8">
        <v>3.33</v>
      </c>
    </row>
    <row r="100" spans="1:5">
      <c r="A100" s="33">
        <v>98</v>
      </c>
      <c r="B100" s="2" t="s">
        <v>98</v>
      </c>
      <c r="C100" s="3" t="s">
        <v>4</v>
      </c>
      <c r="D100" s="4" t="s">
        <v>109</v>
      </c>
      <c r="E100" s="8">
        <v>2.31</v>
      </c>
    </row>
    <row r="101" spans="1:5">
      <c r="A101" s="33">
        <v>99</v>
      </c>
      <c r="B101" s="2" t="s">
        <v>98</v>
      </c>
      <c r="C101" s="3" t="s">
        <v>3</v>
      </c>
      <c r="D101" s="4" t="s">
        <v>110</v>
      </c>
      <c r="E101" s="8">
        <v>5.79</v>
      </c>
    </row>
    <row r="102" spans="1:5">
      <c r="A102" s="33">
        <v>100</v>
      </c>
      <c r="B102" s="2" t="s">
        <v>98</v>
      </c>
      <c r="C102" s="3" t="s">
        <v>5</v>
      </c>
      <c r="D102" s="4" t="s">
        <v>111</v>
      </c>
      <c r="E102" s="8">
        <v>2.93</v>
      </c>
    </row>
    <row r="103" spans="1:5">
      <c r="A103" s="33">
        <v>101</v>
      </c>
      <c r="B103" s="2" t="s">
        <v>98</v>
      </c>
      <c r="C103" s="3" t="s">
        <v>4</v>
      </c>
      <c r="D103" s="4" t="s">
        <v>112</v>
      </c>
      <c r="E103" s="8">
        <v>7.52</v>
      </c>
    </row>
    <row r="104" spans="1:5">
      <c r="A104" s="33">
        <v>102</v>
      </c>
      <c r="B104" s="2" t="s">
        <v>98</v>
      </c>
      <c r="C104" s="3" t="s">
        <v>3</v>
      </c>
      <c r="D104" s="4" t="s">
        <v>113</v>
      </c>
      <c r="E104" s="9">
        <v>0.66</v>
      </c>
    </row>
    <row r="105" spans="1:5">
      <c r="A105" s="33">
        <v>103</v>
      </c>
      <c r="B105" s="2" t="s">
        <v>98</v>
      </c>
      <c r="C105" s="3" t="s">
        <v>5</v>
      </c>
      <c r="D105" s="4" t="s">
        <v>114</v>
      </c>
      <c r="E105" s="8">
        <v>1.56</v>
      </c>
    </row>
    <row r="106" spans="1:5">
      <c r="A106" s="33">
        <v>104</v>
      </c>
      <c r="B106" s="2" t="s">
        <v>98</v>
      </c>
      <c r="C106" s="3" t="s">
        <v>3</v>
      </c>
      <c r="D106" s="4" t="s">
        <v>115</v>
      </c>
      <c r="E106" s="8">
        <v>3.73</v>
      </c>
    </row>
    <row r="107" spans="1:5">
      <c r="A107" s="33">
        <v>105</v>
      </c>
      <c r="B107" s="2" t="s">
        <v>98</v>
      </c>
      <c r="C107" s="3" t="s">
        <v>5</v>
      </c>
      <c r="D107" s="4" t="s">
        <v>116</v>
      </c>
      <c r="E107" s="8">
        <v>4.45</v>
      </c>
    </row>
    <row r="108" spans="1:5">
      <c r="A108" s="33">
        <v>106</v>
      </c>
      <c r="B108" s="2" t="s">
        <v>98</v>
      </c>
      <c r="C108" s="3" t="s">
        <v>4</v>
      </c>
      <c r="D108" s="4" t="s">
        <v>117</v>
      </c>
      <c r="E108" s="8">
        <v>0.49</v>
      </c>
    </row>
    <row r="109" spans="1:5">
      <c r="A109" s="33">
        <v>107</v>
      </c>
      <c r="B109" s="2" t="s">
        <v>98</v>
      </c>
      <c r="C109" s="3" t="s">
        <v>4</v>
      </c>
      <c r="D109" s="4" t="s">
        <v>118</v>
      </c>
      <c r="E109" s="8">
        <v>1.73</v>
      </c>
    </row>
    <row r="110" spans="1:5">
      <c r="A110" s="33">
        <v>108</v>
      </c>
      <c r="B110" s="2" t="s">
        <v>98</v>
      </c>
      <c r="C110" s="3" t="s">
        <v>5</v>
      </c>
      <c r="D110" s="4" t="s">
        <v>119</v>
      </c>
      <c r="E110" s="8">
        <v>2.29</v>
      </c>
    </row>
    <row r="111" spans="1:5">
      <c r="A111" s="33">
        <v>109</v>
      </c>
      <c r="B111" s="2" t="s">
        <v>98</v>
      </c>
      <c r="C111" s="3" t="s">
        <v>5</v>
      </c>
      <c r="D111" s="4" t="s">
        <v>120</v>
      </c>
      <c r="E111" s="8">
        <v>2.56</v>
      </c>
    </row>
    <row r="112" spans="1:5">
      <c r="A112" s="33">
        <v>110</v>
      </c>
      <c r="B112" s="2" t="s">
        <v>98</v>
      </c>
      <c r="C112" s="3" t="s">
        <v>4</v>
      </c>
      <c r="D112" s="4" t="s">
        <v>121</v>
      </c>
      <c r="E112" s="8">
        <v>2.21</v>
      </c>
    </row>
    <row r="113" spans="1:5">
      <c r="A113" s="33">
        <v>111</v>
      </c>
      <c r="B113" s="2" t="s">
        <v>98</v>
      </c>
      <c r="C113" s="3" t="s">
        <v>5</v>
      </c>
      <c r="D113" s="4" t="s">
        <v>122</v>
      </c>
      <c r="E113" s="8">
        <v>2.86</v>
      </c>
    </row>
    <row r="114" spans="1:5">
      <c r="A114" s="33">
        <v>112</v>
      </c>
      <c r="B114" s="2" t="s">
        <v>98</v>
      </c>
      <c r="C114" s="3" t="s">
        <v>4</v>
      </c>
      <c r="D114" s="4" t="s">
        <v>123</v>
      </c>
      <c r="E114" s="8">
        <v>0.22</v>
      </c>
    </row>
    <row r="115" spans="1:5">
      <c r="A115" s="33">
        <v>113</v>
      </c>
      <c r="B115" s="2" t="s">
        <v>98</v>
      </c>
      <c r="C115" s="3" t="s">
        <v>3</v>
      </c>
      <c r="D115" s="4" t="s">
        <v>124</v>
      </c>
      <c r="E115" s="9">
        <v>1.18</v>
      </c>
    </row>
    <row r="116" spans="1:5">
      <c r="A116" s="33">
        <v>114</v>
      </c>
      <c r="B116" s="2" t="s">
        <v>98</v>
      </c>
      <c r="C116" s="3" t="s">
        <v>5</v>
      </c>
      <c r="D116" s="4" t="s">
        <v>125</v>
      </c>
      <c r="E116" s="8">
        <v>2.12</v>
      </c>
    </row>
    <row r="117" spans="1:5">
      <c r="A117" s="33">
        <v>115</v>
      </c>
      <c r="B117" s="2" t="s">
        <v>98</v>
      </c>
      <c r="C117" s="3" t="s">
        <v>5</v>
      </c>
      <c r="D117" s="4" t="s">
        <v>126</v>
      </c>
      <c r="E117" s="8">
        <v>2.19</v>
      </c>
    </row>
    <row r="118" spans="1:5">
      <c r="A118" s="33">
        <v>116</v>
      </c>
      <c r="B118" s="2" t="s">
        <v>98</v>
      </c>
      <c r="C118" s="3" t="s">
        <v>4</v>
      </c>
      <c r="D118" s="4" t="s">
        <v>127</v>
      </c>
      <c r="E118" s="8">
        <v>0.21</v>
      </c>
    </row>
    <row r="119" spans="1:5">
      <c r="A119" s="33">
        <v>117</v>
      </c>
      <c r="B119" s="2" t="s">
        <v>98</v>
      </c>
      <c r="C119" s="3" t="s">
        <v>4</v>
      </c>
      <c r="D119" s="4" t="s">
        <v>128</v>
      </c>
      <c r="E119" s="8">
        <v>2.1</v>
      </c>
    </row>
    <row r="120" spans="1:5">
      <c r="A120" s="33">
        <v>118</v>
      </c>
      <c r="B120" s="2" t="s">
        <v>98</v>
      </c>
      <c r="C120" s="3" t="s">
        <v>5</v>
      </c>
      <c r="D120" s="4" t="s">
        <v>129</v>
      </c>
      <c r="E120" s="8">
        <v>1.7</v>
      </c>
    </row>
    <row r="121" spans="1:5">
      <c r="A121" s="33">
        <v>119</v>
      </c>
      <c r="B121" s="2" t="s">
        <v>98</v>
      </c>
      <c r="C121" s="3" t="s">
        <v>4</v>
      </c>
      <c r="D121" s="4" t="s">
        <v>130</v>
      </c>
      <c r="E121" s="8">
        <v>0.18806999999999999</v>
      </c>
    </row>
    <row r="122" spans="1:5">
      <c r="A122" s="33">
        <v>120</v>
      </c>
      <c r="B122" s="2" t="s">
        <v>98</v>
      </c>
      <c r="C122" s="3" t="s">
        <v>3</v>
      </c>
      <c r="D122" s="4" t="s">
        <v>131</v>
      </c>
      <c r="E122" s="8">
        <v>2.4300000000000002</v>
      </c>
    </row>
    <row r="123" spans="1:5">
      <c r="A123" s="33">
        <v>121</v>
      </c>
      <c r="B123" s="2" t="s">
        <v>98</v>
      </c>
      <c r="C123" s="3" t="s">
        <v>5</v>
      </c>
      <c r="D123" s="4" t="s">
        <v>132</v>
      </c>
      <c r="E123" s="8">
        <v>1.96</v>
      </c>
    </row>
    <row r="124" spans="1:5">
      <c r="A124" s="33">
        <v>122</v>
      </c>
      <c r="B124" s="2" t="s">
        <v>98</v>
      </c>
      <c r="C124" s="3" t="s">
        <v>4</v>
      </c>
      <c r="D124" s="4" t="s">
        <v>133</v>
      </c>
      <c r="E124" s="8">
        <v>4.24</v>
      </c>
    </row>
    <row r="125" spans="1:5">
      <c r="A125" s="33">
        <v>123</v>
      </c>
      <c r="B125" s="2" t="s">
        <v>98</v>
      </c>
      <c r="C125" s="3" t="s">
        <v>3</v>
      </c>
      <c r="D125" s="4" t="s">
        <v>134</v>
      </c>
      <c r="E125" s="8">
        <v>2.625</v>
      </c>
    </row>
    <row r="126" spans="1:5">
      <c r="A126" s="33">
        <v>124</v>
      </c>
      <c r="B126" s="2" t="s">
        <v>98</v>
      </c>
      <c r="C126" s="3" t="s">
        <v>5</v>
      </c>
      <c r="D126" s="4" t="s">
        <v>135</v>
      </c>
      <c r="E126" s="8">
        <v>0.26</v>
      </c>
    </row>
    <row r="127" spans="1:5">
      <c r="A127" s="33">
        <v>125</v>
      </c>
      <c r="B127" s="2" t="s">
        <v>98</v>
      </c>
      <c r="C127" s="3" t="s">
        <v>4</v>
      </c>
      <c r="D127" s="4" t="s">
        <v>136</v>
      </c>
      <c r="E127" s="8">
        <v>0.08</v>
      </c>
    </row>
    <row r="128" spans="1:5">
      <c r="A128" s="33">
        <v>126</v>
      </c>
      <c r="B128" s="2" t="s">
        <v>98</v>
      </c>
      <c r="C128" s="3" t="s">
        <v>4</v>
      </c>
      <c r="D128" s="4" t="s">
        <v>137</v>
      </c>
      <c r="E128" s="8">
        <v>0.56999999999999995</v>
      </c>
    </row>
    <row r="129" spans="1:5">
      <c r="A129" s="33">
        <v>127</v>
      </c>
      <c r="B129" s="2" t="s">
        <v>98</v>
      </c>
      <c r="C129" s="3" t="s">
        <v>3</v>
      </c>
      <c r="D129" s="4" t="s">
        <v>138</v>
      </c>
      <c r="E129" s="8">
        <v>2.3199999999999998</v>
      </c>
    </row>
    <row r="130" spans="1:5">
      <c r="A130" s="33">
        <v>128</v>
      </c>
      <c r="B130" s="2" t="s">
        <v>98</v>
      </c>
      <c r="C130" s="3" t="s">
        <v>5</v>
      </c>
      <c r="D130" s="4" t="s">
        <v>139</v>
      </c>
      <c r="E130" s="8">
        <v>3.58</v>
      </c>
    </row>
    <row r="131" spans="1:5">
      <c r="A131" s="33">
        <v>129</v>
      </c>
      <c r="B131" s="2" t="s">
        <v>98</v>
      </c>
      <c r="C131" s="3" t="s">
        <v>4</v>
      </c>
      <c r="D131" s="4" t="s">
        <v>140</v>
      </c>
      <c r="E131" s="8">
        <v>0.03</v>
      </c>
    </row>
    <row r="132" spans="1:5">
      <c r="A132" s="33">
        <v>130</v>
      </c>
      <c r="B132" s="2" t="s">
        <v>98</v>
      </c>
      <c r="C132" s="3" t="s">
        <v>5</v>
      </c>
      <c r="D132" s="4" t="s">
        <v>141</v>
      </c>
      <c r="E132" s="8">
        <v>1.3</v>
      </c>
    </row>
    <row r="133" spans="1:5">
      <c r="A133" s="33">
        <v>131</v>
      </c>
      <c r="B133" s="2" t="s">
        <v>98</v>
      </c>
      <c r="C133" s="3" t="s">
        <v>4</v>
      </c>
      <c r="D133" s="4" t="s">
        <v>142</v>
      </c>
      <c r="E133" s="8">
        <v>5.3390000000000004</v>
      </c>
    </row>
    <row r="134" spans="1:5">
      <c r="A134" s="33">
        <v>132</v>
      </c>
      <c r="B134" s="2" t="s">
        <v>98</v>
      </c>
      <c r="C134" s="3" t="s">
        <v>4</v>
      </c>
      <c r="D134" s="4" t="s">
        <v>143</v>
      </c>
      <c r="E134" s="8">
        <v>0.19639999999999999</v>
      </c>
    </row>
    <row r="135" spans="1:5">
      <c r="A135" s="33">
        <v>133</v>
      </c>
      <c r="B135" s="2" t="s">
        <v>98</v>
      </c>
      <c r="C135" s="3" t="s">
        <v>5</v>
      </c>
      <c r="D135" s="4" t="s">
        <v>144</v>
      </c>
      <c r="E135" s="8">
        <v>0.44</v>
      </c>
    </row>
    <row r="136" spans="1:5">
      <c r="A136" s="33">
        <v>134</v>
      </c>
      <c r="B136" s="2" t="s">
        <v>98</v>
      </c>
      <c r="C136" s="3" t="s">
        <v>5</v>
      </c>
      <c r="D136" s="4" t="s">
        <v>145</v>
      </c>
      <c r="E136" s="8">
        <v>1.51</v>
      </c>
    </row>
    <row r="137" spans="1:5">
      <c r="A137" s="33">
        <v>135</v>
      </c>
      <c r="B137" s="2" t="s">
        <v>98</v>
      </c>
      <c r="C137" s="3" t="s">
        <v>4</v>
      </c>
      <c r="D137" s="4" t="s">
        <v>146</v>
      </c>
      <c r="E137" s="8">
        <v>0.14729999999999999</v>
      </c>
    </row>
    <row r="138" spans="1:5">
      <c r="A138" s="33">
        <v>136</v>
      </c>
      <c r="B138" s="2" t="s">
        <v>98</v>
      </c>
      <c r="C138" s="3" t="s">
        <v>3</v>
      </c>
      <c r="D138" s="4" t="s">
        <v>147</v>
      </c>
      <c r="E138" s="8">
        <v>0.23</v>
      </c>
    </row>
    <row r="139" spans="1:5">
      <c r="A139" s="33">
        <v>137</v>
      </c>
      <c r="B139" s="2" t="s">
        <v>98</v>
      </c>
      <c r="C139" s="3" t="s">
        <v>4</v>
      </c>
      <c r="D139" s="4" t="s">
        <v>148</v>
      </c>
      <c r="E139" s="8">
        <v>0.43</v>
      </c>
    </row>
    <row r="140" spans="1:5">
      <c r="A140" s="33">
        <v>138</v>
      </c>
      <c r="B140" s="2" t="s">
        <v>98</v>
      </c>
      <c r="C140" s="3" t="s">
        <v>5</v>
      </c>
      <c r="D140" s="4" t="s">
        <v>149</v>
      </c>
      <c r="E140" s="8">
        <v>2.4249999999999998</v>
      </c>
    </row>
    <row r="141" spans="1:5">
      <c r="A141" s="33">
        <v>139</v>
      </c>
      <c r="B141" s="2" t="s">
        <v>98</v>
      </c>
      <c r="C141" s="3" t="s">
        <v>4</v>
      </c>
      <c r="D141" s="4" t="s">
        <v>150</v>
      </c>
      <c r="E141" s="8">
        <v>3.843</v>
      </c>
    </row>
    <row r="142" spans="1:5">
      <c r="A142" s="33">
        <v>140</v>
      </c>
      <c r="B142" s="2" t="s">
        <v>98</v>
      </c>
      <c r="C142" s="3" t="s">
        <v>5</v>
      </c>
      <c r="D142" s="4" t="s">
        <v>151</v>
      </c>
      <c r="E142" s="8">
        <v>2.48</v>
      </c>
    </row>
    <row r="143" spans="1:5">
      <c r="A143" s="33">
        <v>141</v>
      </c>
      <c r="B143" s="2" t="s">
        <v>98</v>
      </c>
      <c r="C143" s="3" t="s">
        <v>3</v>
      </c>
      <c r="D143" s="4" t="s">
        <v>152</v>
      </c>
      <c r="E143" s="8">
        <v>6.32</v>
      </c>
    </row>
    <row r="144" spans="1:5">
      <c r="A144" s="33">
        <v>142</v>
      </c>
      <c r="B144" s="2" t="s">
        <v>98</v>
      </c>
      <c r="C144" s="3" t="s">
        <v>5</v>
      </c>
      <c r="D144" s="4" t="s">
        <v>153</v>
      </c>
      <c r="E144" s="8">
        <v>0.05</v>
      </c>
    </row>
    <row r="145" spans="1:5">
      <c r="A145" s="33">
        <v>143</v>
      </c>
      <c r="B145" s="2" t="s">
        <v>98</v>
      </c>
      <c r="C145" s="3" t="s">
        <v>4</v>
      </c>
      <c r="D145" s="4" t="s">
        <v>154</v>
      </c>
      <c r="E145" s="8">
        <v>0.38700000000000001</v>
      </c>
    </row>
    <row r="146" spans="1:5">
      <c r="A146" s="33">
        <v>144</v>
      </c>
      <c r="B146" s="2" t="s">
        <v>98</v>
      </c>
      <c r="C146" s="3" t="s">
        <v>5</v>
      </c>
      <c r="D146" s="4" t="s">
        <v>155</v>
      </c>
      <c r="E146" s="8">
        <v>2.93</v>
      </c>
    </row>
    <row r="147" spans="1:5">
      <c r="A147" s="33">
        <v>145</v>
      </c>
      <c r="B147" s="2" t="s">
        <v>98</v>
      </c>
      <c r="C147" s="3" t="s">
        <v>4</v>
      </c>
      <c r="D147" s="4" t="s">
        <v>156</v>
      </c>
      <c r="E147" s="8">
        <v>2.9323999999999999</v>
      </c>
    </row>
    <row r="148" spans="1:5">
      <c r="A148" s="33">
        <v>146</v>
      </c>
      <c r="B148" s="2" t="s">
        <v>98</v>
      </c>
      <c r="C148" s="3" t="s">
        <v>4</v>
      </c>
      <c r="D148" s="4" t="s">
        <v>157</v>
      </c>
      <c r="E148" s="8">
        <v>0.65300000000000002</v>
      </c>
    </row>
    <row r="149" spans="1:5">
      <c r="A149" s="33">
        <v>147</v>
      </c>
      <c r="B149" s="2" t="s">
        <v>98</v>
      </c>
      <c r="C149" s="3" t="s">
        <v>4</v>
      </c>
      <c r="D149" s="4" t="s">
        <v>158</v>
      </c>
      <c r="E149" s="8">
        <v>0.17100000000000001</v>
      </c>
    </row>
    <row r="150" spans="1:5">
      <c r="A150" s="33">
        <v>148</v>
      </c>
      <c r="B150" s="2" t="s">
        <v>98</v>
      </c>
      <c r="C150" s="3" t="s">
        <v>4</v>
      </c>
      <c r="D150" s="4" t="s">
        <v>159</v>
      </c>
      <c r="E150" s="8">
        <v>0.90900000000000003</v>
      </c>
    </row>
    <row r="151" spans="1:5">
      <c r="A151" s="33">
        <v>149</v>
      </c>
      <c r="B151" s="2" t="s">
        <v>98</v>
      </c>
      <c r="C151" s="3" t="s">
        <v>5</v>
      </c>
      <c r="D151" s="4" t="s">
        <v>160</v>
      </c>
      <c r="E151" s="8">
        <v>2.29</v>
      </c>
    </row>
    <row r="152" spans="1:5">
      <c r="A152" s="33">
        <v>150</v>
      </c>
      <c r="B152" s="2" t="s">
        <v>98</v>
      </c>
      <c r="C152" s="3" t="s">
        <v>4</v>
      </c>
      <c r="D152" s="4" t="s">
        <v>161</v>
      </c>
      <c r="E152" s="8">
        <v>2.1616</v>
      </c>
    </row>
    <row r="153" spans="1:5">
      <c r="A153" s="33">
        <v>151</v>
      </c>
      <c r="B153" s="2" t="s">
        <v>98</v>
      </c>
      <c r="C153" s="3" t="s">
        <v>4</v>
      </c>
      <c r="D153" s="4" t="s">
        <v>162</v>
      </c>
      <c r="E153" s="8">
        <v>0.08</v>
      </c>
    </row>
    <row r="154" spans="1:5">
      <c r="A154" s="33">
        <v>152</v>
      </c>
      <c r="B154" s="2" t="s">
        <v>98</v>
      </c>
      <c r="C154" s="3" t="s">
        <v>4</v>
      </c>
      <c r="D154" s="4" t="s">
        <v>163</v>
      </c>
      <c r="E154" s="8">
        <v>1.6865000000000001</v>
      </c>
    </row>
    <row r="155" spans="1:5">
      <c r="A155" s="33">
        <v>153</v>
      </c>
      <c r="B155" s="2" t="s">
        <v>98</v>
      </c>
      <c r="C155" s="3" t="s">
        <v>4</v>
      </c>
      <c r="D155" s="4" t="s">
        <v>164</v>
      </c>
      <c r="E155" s="8">
        <v>4.4999999999999998E-2</v>
      </c>
    </row>
    <row r="156" spans="1:5">
      <c r="A156" s="33">
        <v>154</v>
      </c>
      <c r="B156" s="2" t="s">
        <v>98</v>
      </c>
      <c r="C156" s="3" t="s">
        <v>4</v>
      </c>
      <c r="D156" s="4" t="s">
        <v>165</v>
      </c>
      <c r="E156" s="8">
        <v>2.2639999999999998</v>
      </c>
    </row>
    <row r="157" spans="1:5">
      <c r="A157" s="33">
        <v>155</v>
      </c>
      <c r="B157" s="2" t="s">
        <v>98</v>
      </c>
      <c r="C157" s="3" t="s">
        <v>5</v>
      </c>
      <c r="D157" s="4" t="s">
        <v>166</v>
      </c>
      <c r="E157" s="8">
        <v>5.78</v>
      </c>
    </row>
    <row r="158" spans="1:5">
      <c r="A158" s="33">
        <v>156</v>
      </c>
      <c r="B158" s="2" t="s">
        <v>98</v>
      </c>
      <c r="C158" s="3" t="s">
        <v>4</v>
      </c>
      <c r="D158" s="4" t="s">
        <v>167</v>
      </c>
      <c r="E158" s="8">
        <v>2.65</v>
      </c>
    </row>
    <row r="159" spans="1:5">
      <c r="A159" s="33">
        <v>157</v>
      </c>
      <c r="B159" s="2" t="s">
        <v>98</v>
      </c>
      <c r="C159" s="3" t="s">
        <v>3</v>
      </c>
      <c r="D159" s="4" t="s">
        <v>168</v>
      </c>
      <c r="E159" s="8">
        <v>1.38</v>
      </c>
    </row>
    <row r="160" spans="1:5">
      <c r="A160" s="33">
        <v>158</v>
      </c>
      <c r="B160" s="2" t="s">
        <v>98</v>
      </c>
      <c r="C160" s="3" t="s">
        <v>4</v>
      </c>
      <c r="D160" s="4" t="s">
        <v>169</v>
      </c>
      <c r="E160" s="8">
        <v>3.63</v>
      </c>
    </row>
    <row r="161" spans="1:5">
      <c r="A161" s="33">
        <v>159</v>
      </c>
      <c r="B161" s="2" t="s">
        <v>98</v>
      </c>
      <c r="C161" s="3" t="s">
        <v>5</v>
      </c>
      <c r="D161" s="4" t="s">
        <v>170</v>
      </c>
      <c r="E161" s="8">
        <v>0.13</v>
      </c>
    </row>
    <row r="162" spans="1:5">
      <c r="A162" s="33">
        <v>160</v>
      </c>
      <c r="B162" s="2" t="s">
        <v>98</v>
      </c>
      <c r="C162" s="3" t="s">
        <v>4</v>
      </c>
      <c r="D162" s="4" t="s">
        <v>171</v>
      </c>
      <c r="E162" s="8">
        <v>0.96499999999999997</v>
      </c>
    </row>
    <row r="163" spans="1:5">
      <c r="A163" s="33">
        <v>161</v>
      </c>
      <c r="B163" s="2" t="s">
        <v>98</v>
      </c>
      <c r="C163" s="3" t="s">
        <v>4</v>
      </c>
      <c r="D163" s="4" t="s">
        <v>172</v>
      </c>
      <c r="E163" s="8">
        <v>0.32300000000000001</v>
      </c>
    </row>
    <row r="164" spans="1:5">
      <c r="A164" s="33">
        <v>162</v>
      </c>
      <c r="B164" s="2" t="s">
        <v>98</v>
      </c>
      <c r="C164" s="3" t="s">
        <v>5</v>
      </c>
      <c r="D164" s="4" t="s">
        <v>173</v>
      </c>
      <c r="E164" s="8">
        <v>2.29</v>
      </c>
    </row>
    <row r="165" spans="1:5">
      <c r="A165" s="33">
        <v>163</v>
      </c>
      <c r="B165" s="2" t="s">
        <v>98</v>
      </c>
      <c r="C165" s="3" t="s">
        <v>4</v>
      </c>
      <c r="D165" s="4" t="s">
        <v>174</v>
      </c>
      <c r="E165" s="8">
        <v>2.5489999999999999</v>
      </c>
    </row>
    <row r="166" spans="1:5">
      <c r="A166" s="33">
        <v>164</v>
      </c>
      <c r="B166" s="2" t="s">
        <v>98</v>
      </c>
      <c r="C166" s="3" t="s">
        <v>3</v>
      </c>
      <c r="D166" s="4" t="s">
        <v>175</v>
      </c>
      <c r="E166" s="8">
        <v>0.248</v>
      </c>
    </row>
    <row r="167" spans="1:5">
      <c r="A167" s="33">
        <v>165</v>
      </c>
      <c r="B167" s="2" t="s">
        <v>98</v>
      </c>
      <c r="C167" s="3" t="s">
        <v>5</v>
      </c>
      <c r="D167" s="4" t="s">
        <v>176</v>
      </c>
      <c r="E167" s="8">
        <v>6.12</v>
      </c>
    </row>
    <row r="168" spans="1:5">
      <c r="A168" s="33">
        <v>166</v>
      </c>
      <c r="B168" s="2" t="s">
        <v>98</v>
      </c>
      <c r="C168" s="3" t="s">
        <v>4</v>
      </c>
      <c r="D168" s="4" t="s">
        <v>177</v>
      </c>
      <c r="E168" s="8">
        <v>2.3199999999999998</v>
      </c>
    </row>
    <row r="169" spans="1:5">
      <c r="A169" s="33">
        <v>167</v>
      </c>
      <c r="B169" s="2" t="s">
        <v>98</v>
      </c>
      <c r="C169" s="3" t="s">
        <v>4</v>
      </c>
      <c r="D169" s="6" t="s">
        <v>178</v>
      </c>
      <c r="E169" s="8">
        <v>3.38</v>
      </c>
    </row>
    <row r="170" spans="1:5">
      <c r="A170" s="33">
        <v>168</v>
      </c>
      <c r="B170" s="2" t="s">
        <v>98</v>
      </c>
      <c r="C170" s="3" t="s">
        <v>4</v>
      </c>
      <c r="D170" s="4" t="s">
        <v>179</v>
      </c>
      <c r="E170" s="8">
        <v>0.08</v>
      </c>
    </row>
    <row r="171" spans="1:5">
      <c r="A171" s="33">
        <v>169</v>
      </c>
      <c r="B171" s="2" t="s">
        <v>98</v>
      </c>
      <c r="C171" s="3" t="s">
        <v>3</v>
      </c>
      <c r="D171" s="4" t="s">
        <v>180</v>
      </c>
      <c r="E171" s="8">
        <v>0.78600000000000003</v>
      </c>
    </row>
    <row r="172" spans="1:5">
      <c r="A172" s="33">
        <v>170</v>
      </c>
      <c r="B172" s="2" t="s">
        <v>98</v>
      </c>
      <c r="C172" s="3" t="s">
        <v>5</v>
      </c>
      <c r="D172" s="4" t="s">
        <v>181</v>
      </c>
      <c r="E172" s="8">
        <v>4.83</v>
      </c>
    </row>
    <row r="173" spans="1:5">
      <c r="A173" s="33">
        <v>171</v>
      </c>
      <c r="B173" s="2" t="s">
        <v>98</v>
      </c>
      <c r="C173" s="3" t="s">
        <v>3</v>
      </c>
      <c r="D173" s="4" t="s">
        <v>182</v>
      </c>
      <c r="E173" s="8">
        <v>2.71</v>
      </c>
    </row>
    <row r="174" spans="1:5">
      <c r="A174" s="33">
        <v>172</v>
      </c>
      <c r="B174" s="2" t="s">
        <v>98</v>
      </c>
      <c r="C174" s="3" t="s">
        <v>3</v>
      </c>
      <c r="D174" s="4" t="s">
        <v>183</v>
      </c>
      <c r="E174" s="8">
        <v>2.76</v>
      </c>
    </row>
    <row r="175" spans="1:5">
      <c r="A175" s="33">
        <v>173</v>
      </c>
      <c r="B175" s="2" t="s">
        <v>98</v>
      </c>
      <c r="C175" s="3" t="s">
        <v>3</v>
      </c>
      <c r="D175" s="4" t="s">
        <v>8</v>
      </c>
      <c r="E175" s="8">
        <v>5.62</v>
      </c>
    </row>
    <row r="176" spans="1:5">
      <c r="A176" s="33">
        <v>174</v>
      </c>
      <c r="B176" s="2" t="s">
        <v>98</v>
      </c>
      <c r="C176" s="3" t="s">
        <v>3</v>
      </c>
      <c r="D176" s="4" t="s">
        <v>184</v>
      </c>
      <c r="E176" s="8">
        <v>2.88</v>
      </c>
    </row>
    <row r="177" spans="1:5">
      <c r="A177" s="33">
        <v>175</v>
      </c>
      <c r="B177" s="2" t="s">
        <v>98</v>
      </c>
      <c r="C177" s="3" t="s">
        <v>3</v>
      </c>
      <c r="D177" s="4" t="s">
        <v>185</v>
      </c>
      <c r="E177" s="8">
        <v>2.2999999999999998</v>
      </c>
    </row>
    <row r="178" spans="1:5">
      <c r="A178" s="33">
        <v>176</v>
      </c>
      <c r="B178" s="2" t="s">
        <v>98</v>
      </c>
      <c r="C178" s="3" t="s">
        <v>3</v>
      </c>
      <c r="D178" s="4" t="s">
        <v>186</v>
      </c>
      <c r="E178" s="8">
        <v>3.7</v>
      </c>
    </row>
    <row r="179" spans="1:5">
      <c r="A179" s="33">
        <v>177</v>
      </c>
      <c r="B179" s="2" t="s">
        <v>98</v>
      </c>
      <c r="C179" s="3" t="s">
        <v>4</v>
      </c>
      <c r="D179" s="4" t="s">
        <v>187</v>
      </c>
      <c r="E179" s="8">
        <v>0.67200000000000004</v>
      </c>
    </row>
    <row r="180" spans="1:5">
      <c r="A180" s="33">
        <v>178</v>
      </c>
      <c r="B180" s="2" t="s">
        <v>188</v>
      </c>
      <c r="C180" s="3" t="s">
        <v>4</v>
      </c>
      <c r="D180" s="4" t="s">
        <v>189</v>
      </c>
      <c r="E180" s="8">
        <v>0.1026</v>
      </c>
    </row>
    <row r="181" spans="1:5">
      <c r="A181" s="33">
        <v>179</v>
      </c>
      <c r="B181" s="2" t="s">
        <v>188</v>
      </c>
      <c r="C181" s="3" t="s">
        <v>4</v>
      </c>
      <c r="D181" s="4" t="s">
        <v>190</v>
      </c>
      <c r="E181" s="8">
        <v>0.53</v>
      </c>
    </row>
    <row r="182" spans="1:5">
      <c r="A182" s="33">
        <v>180</v>
      </c>
      <c r="B182" s="2" t="s">
        <v>188</v>
      </c>
      <c r="C182" s="3" t="s">
        <v>4</v>
      </c>
      <c r="D182" s="4" t="s">
        <v>191</v>
      </c>
      <c r="E182" s="8">
        <v>0</v>
      </c>
    </row>
    <row r="183" spans="1:5">
      <c r="A183" s="33">
        <v>181</v>
      </c>
      <c r="B183" s="2" t="s">
        <v>188</v>
      </c>
      <c r="C183" s="3" t="s">
        <v>3</v>
      </c>
      <c r="D183" s="4" t="s">
        <v>192</v>
      </c>
      <c r="E183" s="8">
        <v>2.169</v>
      </c>
    </row>
    <row r="184" spans="1:5">
      <c r="A184" s="33">
        <v>182</v>
      </c>
      <c r="B184" s="2" t="s">
        <v>188</v>
      </c>
      <c r="C184" s="3" t="s">
        <v>3</v>
      </c>
      <c r="D184" s="4" t="s">
        <v>193</v>
      </c>
      <c r="E184" s="8">
        <v>0.49099999999999999</v>
      </c>
    </row>
    <row r="185" spans="1:5">
      <c r="A185" s="33">
        <v>183</v>
      </c>
      <c r="B185" s="2" t="s">
        <v>188</v>
      </c>
      <c r="C185" s="3" t="s">
        <v>5</v>
      </c>
      <c r="D185" s="4" t="s">
        <v>194</v>
      </c>
      <c r="E185" s="8">
        <v>2.4300000000000002</v>
      </c>
    </row>
    <row r="186" spans="1:5">
      <c r="A186" s="33">
        <v>184</v>
      </c>
      <c r="B186" s="2" t="s">
        <v>188</v>
      </c>
      <c r="C186" s="3" t="s">
        <v>4</v>
      </c>
      <c r="D186" s="5" t="s">
        <v>7</v>
      </c>
      <c r="E186" s="8">
        <v>2.37</v>
      </c>
    </row>
    <row r="187" spans="1:5">
      <c r="A187" s="33">
        <v>185</v>
      </c>
      <c r="B187" s="2" t="s">
        <v>188</v>
      </c>
      <c r="C187" s="3" t="s">
        <v>4</v>
      </c>
      <c r="D187" s="5" t="s">
        <v>195</v>
      </c>
      <c r="E187" s="8">
        <v>1.7749999999999999</v>
      </c>
    </row>
    <row r="188" spans="1:5">
      <c r="A188" s="33">
        <v>186</v>
      </c>
      <c r="B188" s="2" t="s">
        <v>188</v>
      </c>
      <c r="C188" s="3" t="s">
        <v>4</v>
      </c>
      <c r="D188" s="4" t="s">
        <v>196</v>
      </c>
      <c r="E188" s="8">
        <v>3.6580000000000001E-2</v>
      </c>
    </row>
    <row r="189" spans="1:5">
      <c r="A189" s="33">
        <v>187</v>
      </c>
      <c r="B189" s="2" t="s">
        <v>188</v>
      </c>
      <c r="C189" s="3" t="s">
        <v>3</v>
      </c>
      <c r="D189" s="4" t="s">
        <v>197</v>
      </c>
      <c r="E189" s="8">
        <v>1.099</v>
      </c>
    </row>
    <row r="190" spans="1:5">
      <c r="A190" s="33">
        <v>188</v>
      </c>
      <c r="B190" s="2" t="s">
        <v>188</v>
      </c>
      <c r="C190" s="3" t="s">
        <v>5</v>
      </c>
      <c r="D190" s="4" t="s">
        <v>198</v>
      </c>
      <c r="E190" s="8">
        <v>4.46</v>
      </c>
    </row>
    <row r="191" spans="1:5">
      <c r="A191" s="33">
        <v>189</v>
      </c>
      <c r="B191" s="2" t="s">
        <v>188</v>
      </c>
      <c r="C191" s="3" t="s">
        <v>4</v>
      </c>
      <c r="D191" s="4" t="s">
        <v>199</v>
      </c>
      <c r="E191" s="8">
        <v>0.1638</v>
      </c>
    </row>
    <row r="192" spans="1:5">
      <c r="A192" s="33">
        <v>190</v>
      </c>
      <c r="B192" s="2" t="s">
        <v>188</v>
      </c>
      <c r="C192" s="3" t="s">
        <v>4</v>
      </c>
      <c r="D192" s="4" t="s">
        <v>200</v>
      </c>
      <c r="E192" s="8">
        <v>0.18090000000000001</v>
      </c>
    </row>
    <row r="193" spans="1:5">
      <c r="A193" s="33">
        <v>191</v>
      </c>
      <c r="B193" s="2" t="s">
        <v>188</v>
      </c>
      <c r="C193" s="3" t="s">
        <v>3</v>
      </c>
      <c r="D193" s="4" t="s">
        <v>201</v>
      </c>
      <c r="E193" s="8">
        <v>2.39</v>
      </c>
    </row>
    <row r="194" spans="1:5">
      <c r="A194" s="33">
        <v>192</v>
      </c>
      <c r="B194" s="2" t="s">
        <v>188</v>
      </c>
      <c r="C194" s="3" t="s">
        <v>5</v>
      </c>
      <c r="D194" s="4" t="s">
        <v>202</v>
      </c>
      <c r="E194" s="8">
        <v>0.443</v>
      </c>
    </row>
    <row r="195" spans="1:5">
      <c r="A195" s="33">
        <v>193</v>
      </c>
      <c r="B195" s="2" t="s">
        <v>188</v>
      </c>
      <c r="C195" s="3" t="s">
        <v>4</v>
      </c>
      <c r="D195" s="4" t="s">
        <v>203</v>
      </c>
      <c r="E195" s="8">
        <v>0.28799999999999998</v>
      </c>
    </row>
    <row r="196" spans="1:5">
      <c r="A196" s="33">
        <v>194</v>
      </c>
      <c r="B196" s="2" t="s">
        <v>188</v>
      </c>
      <c r="C196" s="3" t="s">
        <v>4</v>
      </c>
      <c r="D196" s="4" t="s">
        <v>204</v>
      </c>
      <c r="E196" s="8">
        <v>0.2</v>
      </c>
    </row>
    <row r="197" spans="1:5">
      <c r="A197" s="33">
        <v>195</v>
      </c>
      <c r="B197" s="2" t="s">
        <v>188</v>
      </c>
      <c r="C197" s="3" t="s">
        <v>5</v>
      </c>
      <c r="D197" s="4" t="s">
        <v>205</v>
      </c>
      <c r="E197" s="8">
        <v>2.78</v>
      </c>
    </row>
    <row r="198" spans="1:5">
      <c r="A198" s="33">
        <v>196</v>
      </c>
      <c r="B198" s="2" t="s">
        <v>188</v>
      </c>
      <c r="C198" s="3" t="s">
        <v>3</v>
      </c>
      <c r="D198" s="4" t="s">
        <v>206</v>
      </c>
      <c r="E198" s="8">
        <v>3.37</v>
      </c>
    </row>
    <row r="199" spans="1:5">
      <c r="A199" s="33">
        <v>197</v>
      </c>
      <c r="B199" s="2" t="s">
        <v>188</v>
      </c>
      <c r="C199" s="3" t="s">
        <v>3</v>
      </c>
      <c r="D199" s="4" t="s">
        <v>207</v>
      </c>
      <c r="E199" s="8">
        <v>0.5</v>
      </c>
    </row>
    <row r="200" spans="1:5">
      <c r="A200" s="33">
        <v>198</v>
      </c>
      <c r="B200" s="2" t="s">
        <v>188</v>
      </c>
      <c r="C200" s="3" t="s">
        <v>5</v>
      </c>
      <c r="D200" s="4" t="s">
        <v>208</v>
      </c>
      <c r="E200" s="8">
        <v>4.66</v>
      </c>
    </row>
    <row r="201" spans="1:5">
      <c r="A201" s="33">
        <v>199</v>
      </c>
      <c r="B201" s="2" t="s">
        <v>188</v>
      </c>
      <c r="C201" s="3" t="s">
        <v>4</v>
      </c>
      <c r="D201" s="4" t="s">
        <v>209</v>
      </c>
      <c r="E201" s="8">
        <v>0.40799999999999997</v>
      </c>
    </row>
    <row r="202" spans="1:5">
      <c r="A202" s="33">
        <v>200</v>
      </c>
      <c r="B202" s="2" t="s">
        <v>188</v>
      </c>
      <c r="C202" s="3" t="s">
        <v>5</v>
      </c>
      <c r="D202" s="4" t="s">
        <v>210</v>
      </c>
      <c r="E202" s="8">
        <v>2.7E-2</v>
      </c>
    </row>
    <row r="203" spans="1:5">
      <c r="A203" s="33">
        <v>201</v>
      </c>
      <c r="B203" s="2" t="s">
        <v>188</v>
      </c>
      <c r="C203" s="3" t="s">
        <v>4</v>
      </c>
      <c r="D203" s="4" t="s">
        <v>211</v>
      </c>
      <c r="E203" s="8">
        <v>2.4732500000000002</v>
      </c>
    </row>
    <row r="204" spans="1:5">
      <c r="A204" s="33">
        <v>202</v>
      </c>
      <c r="B204" s="2" t="s">
        <v>188</v>
      </c>
      <c r="C204" s="3" t="s">
        <v>5</v>
      </c>
      <c r="D204" s="4" t="s">
        <v>212</v>
      </c>
      <c r="E204" s="8">
        <v>1.488</v>
      </c>
    </row>
    <row r="205" spans="1:5">
      <c r="A205" s="33">
        <v>203</v>
      </c>
      <c r="B205" s="2" t="s">
        <v>188</v>
      </c>
      <c r="C205" s="3" t="s">
        <v>4</v>
      </c>
      <c r="D205" s="4" t="s">
        <v>213</v>
      </c>
      <c r="E205" s="8">
        <v>2.89</v>
      </c>
    </row>
    <row r="206" spans="1:5">
      <c r="A206" s="33">
        <v>204</v>
      </c>
      <c r="B206" s="2" t="s">
        <v>188</v>
      </c>
      <c r="C206" s="3" t="s">
        <v>5</v>
      </c>
      <c r="D206" s="4" t="s">
        <v>214</v>
      </c>
      <c r="E206" s="8">
        <v>0.68079999999999996</v>
      </c>
    </row>
    <row r="207" spans="1:5">
      <c r="A207" s="33">
        <v>205</v>
      </c>
      <c r="B207" s="2" t="s">
        <v>188</v>
      </c>
      <c r="C207" s="3" t="s">
        <v>3</v>
      </c>
      <c r="D207" s="4" t="s">
        <v>215</v>
      </c>
      <c r="E207" s="8">
        <v>3.83</v>
      </c>
    </row>
    <row r="208" spans="1:5">
      <c r="A208" s="33">
        <v>206</v>
      </c>
      <c r="B208" s="2" t="s">
        <v>188</v>
      </c>
      <c r="C208" s="3" t="s">
        <v>4</v>
      </c>
      <c r="D208" s="4" t="s">
        <v>216</v>
      </c>
      <c r="E208" s="8">
        <v>1.7490000000000001</v>
      </c>
    </row>
    <row r="209" spans="1:5">
      <c r="A209" s="33">
        <v>207</v>
      </c>
      <c r="B209" s="2" t="s">
        <v>188</v>
      </c>
      <c r="C209" s="3" t="s">
        <v>4</v>
      </c>
      <c r="D209" s="4" t="s">
        <v>217</v>
      </c>
      <c r="E209" s="8">
        <v>4.8959999999999999</v>
      </c>
    </row>
    <row r="210" spans="1:5">
      <c r="A210" s="33">
        <v>208</v>
      </c>
      <c r="B210" s="2" t="s">
        <v>188</v>
      </c>
      <c r="C210" s="3" t="s">
        <v>4</v>
      </c>
      <c r="D210" s="4" t="s">
        <v>218</v>
      </c>
      <c r="E210" s="8">
        <v>0.15</v>
      </c>
    </row>
    <row r="211" spans="1:5">
      <c r="A211" s="33">
        <v>209</v>
      </c>
      <c r="B211" s="2" t="s">
        <v>188</v>
      </c>
      <c r="C211" s="3" t="s">
        <v>5</v>
      </c>
      <c r="D211" s="4" t="s">
        <v>219</v>
      </c>
      <c r="E211" s="8">
        <v>2.2200000000000002</v>
      </c>
    </row>
    <row r="212" spans="1:5">
      <c r="A212" s="33">
        <v>210</v>
      </c>
      <c r="B212" s="2" t="s">
        <v>188</v>
      </c>
      <c r="C212" s="3" t="s">
        <v>4</v>
      </c>
      <c r="D212" s="4" t="s">
        <v>220</v>
      </c>
      <c r="E212" s="8">
        <v>9.1999999999999998E-2</v>
      </c>
    </row>
    <row r="213" spans="1:5">
      <c r="A213" s="33">
        <v>211</v>
      </c>
      <c r="B213" s="2" t="s">
        <v>188</v>
      </c>
      <c r="C213" s="3" t="s">
        <v>4</v>
      </c>
      <c r="D213" s="4" t="s">
        <v>221</v>
      </c>
      <c r="E213" s="8">
        <v>2.0350000000000001</v>
      </c>
    </row>
    <row r="214" spans="1:5">
      <c r="A214" s="33">
        <v>212</v>
      </c>
      <c r="B214" s="2" t="s">
        <v>188</v>
      </c>
      <c r="C214" s="3" t="s">
        <v>4</v>
      </c>
      <c r="D214" s="4" t="s">
        <v>222</v>
      </c>
      <c r="E214" s="8">
        <v>0.14199999999999999</v>
      </c>
    </row>
    <row r="215" spans="1:5">
      <c r="A215" s="33">
        <v>213</v>
      </c>
      <c r="B215" s="2" t="s">
        <v>188</v>
      </c>
      <c r="C215" s="3" t="s">
        <v>4</v>
      </c>
      <c r="D215" s="4" t="s">
        <v>223</v>
      </c>
      <c r="E215" s="8">
        <v>0.48180000000000001</v>
      </c>
    </row>
    <row r="216" spans="1:5">
      <c r="A216" s="33">
        <v>214</v>
      </c>
      <c r="B216" s="2" t="s">
        <v>188</v>
      </c>
      <c r="C216" s="3" t="s">
        <v>5</v>
      </c>
      <c r="D216" s="4" t="s">
        <v>224</v>
      </c>
      <c r="E216" s="8">
        <v>1.54</v>
      </c>
    </row>
    <row r="217" spans="1:5">
      <c r="A217" s="33">
        <v>215</v>
      </c>
      <c r="B217" s="2" t="s">
        <v>188</v>
      </c>
      <c r="C217" s="3" t="s">
        <v>4</v>
      </c>
      <c r="D217" s="4" t="s">
        <v>225</v>
      </c>
      <c r="E217" s="8">
        <v>0.64300000000000002</v>
      </c>
    </row>
    <row r="218" spans="1:5">
      <c r="A218" s="33">
        <v>216</v>
      </c>
      <c r="B218" s="2" t="s">
        <v>188</v>
      </c>
      <c r="C218" s="3" t="s">
        <v>6</v>
      </c>
      <c r="D218" s="4" t="s">
        <v>226</v>
      </c>
      <c r="E218" s="8">
        <v>4.2389999999999999</v>
      </c>
    </row>
    <row r="219" spans="1:5">
      <c r="A219" s="33">
        <v>217</v>
      </c>
      <c r="B219" s="2" t="s">
        <v>188</v>
      </c>
      <c r="C219" s="3" t="s">
        <v>5</v>
      </c>
      <c r="D219" s="4" t="s">
        <v>227</v>
      </c>
      <c r="E219" s="8">
        <v>3.09</v>
      </c>
    </row>
    <row r="220" spans="1:5">
      <c r="A220" s="33">
        <v>218</v>
      </c>
      <c r="B220" s="2" t="s">
        <v>188</v>
      </c>
      <c r="C220" s="3" t="s">
        <v>4</v>
      </c>
      <c r="D220" s="4" t="s">
        <v>228</v>
      </c>
      <c r="E220" s="8">
        <v>0.25979999999999998</v>
      </c>
    </row>
    <row r="221" spans="1:5">
      <c r="A221" s="33">
        <v>219</v>
      </c>
      <c r="B221" s="2" t="s">
        <v>188</v>
      </c>
      <c r="C221" s="3" t="s">
        <v>4</v>
      </c>
      <c r="D221" s="4" t="s">
        <v>229</v>
      </c>
      <c r="E221" s="8">
        <v>0.112</v>
      </c>
    </row>
    <row r="222" spans="1:5">
      <c r="A222" s="33">
        <v>220</v>
      </c>
      <c r="B222" s="2" t="s">
        <v>188</v>
      </c>
      <c r="C222" s="3" t="s">
        <v>4</v>
      </c>
      <c r="D222" s="4" t="s">
        <v>230</v>
      </c>
      <c r="E222" s="8">
        <v>5.1100000000000003</v>
      </c>
    </row>
    <row r="223" spans="1:5">
      <c r="A223" s="33">
        <v>221</v>
      </c>
      <c r="B223" s="2" t="s">
        <v>188</v>
      </c>
      <c r="C223" s="3" t="s">
        <v>5</v>
      </c>
      <c r="D223" s="4" t="s">
        <v>231</v>
      </c>
      <c r="E223" s="8">
        <v>0.30299999999999999</v>
      </c>
    </row>
    <row r="224" spans="1:5">
      <c r="A224" s="33">
        <v>222</v>
      </c>
      <c r="B224" s="2" t="s">
        <v>188</v>
      </c>
      <c r="C224" s="3" t="s">
        <v>4</v>
      </c>
      <c r="D224" s="4" t="s">
        <v>232</v>
      </c>
      <c r="E224" s="8">
        <v>0.14019999999999999</v>
      </c>
    </row>
    <row r="225" spans="1:5">
      <c r="A225" s="33">
        <v>223</v>
      </c>
      <c r="B225" s="2" t="s">
        <v>188</v>
      </c>
      <c r="C225" s="3" t="s">
        <v>3</v>
      </c>
      <c r="D225" s="4" t="s">
        <v>233</v>
      </c>
      <c r="E225" s="8">
        <v>0.36</v>
      </c>
    </row>
    <row r="226" spans="1:5">
      <c r="A226" s="33">
        <v>224</v>
      </c>
      <c r="B226" s="2" t="s">
        <v>188</v>
      </c>
      <c r="C226" s="3" t="s">
        <v>5</v>
      </c>
      <c r="D226" s="4" t="s">
        <v>234</v>
      </c>
      <c r="E226" s="8">
        <v>4.3099999999999996</v>
      </c>
    </row>
    <row r="227" spans="1:5">
      <c r="A227" s="33">
        <v>225</v>
      </c>
      <c r="B227" s="2" t="s">
        <v>188</v>
      </c>
      <c r="C227" s="3" t="s">
        <v>3</v>
      </c>
      <c r="D227" s="4" t="s">
        <v>235</v>
      </c>
      <c r="E227" s="8">
        <v>1.1000000000000001</v>
      </c>
    </row>
    <row r="228" spans="1:5">
      <c r="A228" s="33">
        <v>226</v>
      </c>
      <c r="B228" s="2" t="s">
        <v>188</v>
      </c>
      <c r="C228" s="3" t="s">
        <v>4</v>
      </c>
      <c r="D228" s="4" t="s">
        <v>236</v>
      </c>
      <c r="E228" s="8">
        <v>2.21</v>
      </c>
    </row>
    <row r="229" spans="1:5">
      <c r="A229" s="33">
        <v>227</v>
      </c>
      <c r="B229" s="2" t="s">
        <v>188</v>
      </c>
      <c r="C229" s="3" t="s">
        <v>5</v>
      </c>
      <c r="D229" s="4" t="s">
        <v>237</v>
      </c>
      <c r="E229" s="8">
        <v>1.5969</v>
      </c>
    </row>
    <row r="230" spans="1:5">
      <c r="A230" s="33">
        <v>228</v>
      </c>
      <c r="B230" s="2" t="s">
        <v>188</v>
      </c>
      <c r="C230" s="3" t="s">
        <v>4</v>
      </c>
      <c r="D230" s="4" t="s">
        <v>238</v>
      </c>
      <c r="E230" s="8">
        <v>0.29409999999999997</v>
      </c>
    </row>
    <row r="231" spans="1:5">
      <c r="A231" s="33">
        <v>229</v>
      </c>
      <c r="B231" s="2" t="s">
        <v>188</v>
      </c>
      <c r="C231" s="3" t="s">
        <v>4</v>
      </c>
      <c r="D231" s="4" t="s">
        <v>239</v>
      </c>
      <c r="E231" s="8">
        <v>8.17</v>
      </c>
    </row>
    <row r="232" spans="1:5">
      <c r="A232" s="33">
        <v>230</v>
      </c>
      <c r="B232" s="2" t="s">
        <v>188</v>
      </c>
      <c r="C232" s="3" t="s">
        <v>5</v>
      </c>
      <c r="D232" s="4" t="s">
        <v>240</v>
      </c>
      <c r="E232" s="8">
        <v>0.109</v>
      </c>
    </row>
    <row r="233" spans="1:5">
      <c r="A233" s="33">
        <v>231</v>
      </c>
      <c r="B233" s="2" t="s">
        <v>188</v>
      </c>
      <c r="C233" s="3" t="s">
        <v>4</v>
      </c>
      <c r="D233" s="4" t="s">
        <v>241</v>
      </c>
      <c r="E233" s="8">
        <v>2.96</v>
      </c>
    </row>
    <row r="234" spans="1:5">
      <c r="A234" s="33">
        <v>232</v>
      </c>
      <c r="B234" s="2" t="s">
        <v>188</v>
      </c>
      <c r="C234" s="3" t="s">
        <v>5</v>
      </c>
      <c r="D234" s="4" t="s">
        <v>242</v>
      </c>
      <c r="E234" s="8">
        <v>0.43669999999999998</v>
      </c>
    </row>
    <row r="235" spans="1:5">
      <c r="A235" s="33">
        <v>233</v>
      </c>
      <c r="B235" s="2" t="s">
        <v>188</v>
      </c>
      <c r="C235" s="3" t="s">
        <v>4</v>
      </c>
      <c r="D235" s="4" t="s">
        <v>243</v>
      </c>
      <c r="E235" s="8">
        <v>0.26490000000000002</v>
      </c>
    </row>
    <row r="236" spans="1:5">
      <c r="A236" s="33">
        <v>234</v>
      </c>
      <c r="B236" s="2" t="s">
        <v>188</v>
      </c>
      <c r="C236" s="3" t="s">
        <v>3</v>
      </c>
      <c r="D236" s="4" t="s">
        <v>244</v>
      </c>
      <c r="E236" s="8">
        <v>2.0455999999999999</v>
      </c>
    </row>
    <row r="237" spans="1:5">
      <c r="A237" s="33">
        <v>235</v>
      </c>
      <c r="B237" s="2" t="s">
        <v>188</v>
      </c>
      <c r="C237" s="3" t="s">
        <v>5</v>
      </c>
      <c r="D237" s="4" t="s">
        <v>245</v>
      </c>
      <c r="E237" s="8">
        <v>0.42399999999999999</v>
      </c>
    </row>
    <row r="238" spans="1:5">
      <c r="A238" s="33">
        <v>236</v>
      </c>
      <c r="B238" s="2" t="s">
        <v>188</v>
      </c>
      <c r="C238" s="3" t="s">
        <v>4</v>
      </c>
      <c r="D238" s="4" t="s">
        <v>246</v>
      </c>
      <c r="E238" s="8">
        <v>0.2077</v>
      </c>
    </row>
    <row r="239" spans="1:5">
      <c r="A239" s="33">
        <v>237</v>
      </c>
      <c r="B239" s="2" t="s">
        <v>188</v>
      </c>
      <c r="C239" s="3" t="s">
        <v>3</v>
      </c>
      <c r="D239" s="4" t="s">
        <v>247</v>
      </c>
      <c r="E239" s="8">
        <v>0.34</v>
      </c>
    </row>
    <row r="240" spans="1:5">
      <c r="A240" s="33">
        <v>238</v>
      </c>
      <c r="B240" s="2" t="s">
        <v>188</v>
      </c>
      <c r="C240" s="3" t="s">
        <v>4</v>
      </c>
      <c r="D240" s="4" t="s">
        <v>248</v>
      </c>
      <c r="E240" s="8">
        <v>1.71</v>
      </c>
    </row>
    <row r="241" spans="1:5">
      <c r="A241" s="33">
        <v>239</v>
      </c>
      <c r="B241" s="2" t="s">
        <v>188</v>
      </c>
      <c r="C241" s="3" t="s">
        <v>3</v>
      </c>
      <c r="D241" s="4" t="s">
        <v>249</v>
      </c>
      <c r="E241" s="8">
        <v>2.8340000000000001</v>
      </c>
    </row>
    <row r="242" spans="1:5">
      <c r="A242" s="33">
        <v>240</v>
      </c>
      <c r="B242" s="2" t="s">
        <v>188</v>
      </c>
      <c r="C242" s="3" t="s">
        <v>5</v>
      </c>
      <c r="D242" s="4" t="s">
        <v>250</v>
      </c>
      <c r="E242" s="8">
        <v>1.44</v>
      </c>
    </row>
    <row r="243" spans="1:5">
      <c r="A243" s="33">
        <v>241</v>
      </c>
      <c r="B243" s="2" t="s">
        <v>188</v>
      </c>
      <c r="C243" s="3" t="s">
        <v>4</v>
      </c>
      <c r="D243" s="4" t="s">
        <v>251</v>
      </c>
      <c r="E243" s="8">
        <v>1.34</v>
      </c>
    </row>
    <row r="244" spans="1:5">
      <c r="A244" s="33">
        <v>242</v>
      </c>
      <c r="B244" s="2" t="s">
        <v>188</v>
      </c>
      <c r="C244" s="3" t="s">
        <v>3</v>
      </c>
      <c r="D244" s="4" t="s">
        <v>252</v>
      </c>
      <c r="E244" s="8">
        <v>0</v>
      </c>
    </row>
    <row r="245" spans="1:5">
      <c r="A245" s="33">
        <v>243</v>
      </c>
      <c r="B245" s="7" t="s">
        <v>188</v>
      </c>
      <c r="C245" s="3" t="s">
        <v>5</v>
      </c>
      <c r="D245" s="4" t="s">
        <v>253</v>
      </c>
      <c r="E245" s="8">
        <v>0.28599999999999998</v>
      </c>
    </row>
    <row r="246" spans="1:5">
      <c r="A246" s="33">
        <v>244</v>
      </c>
      <c r="B246" s="2" t="s">
        <v>188</v>
      </c>
      <c r="C246" s="3" t="s">
        <v>5</v>
      </c>
      <c r="D246" s="4" t="s">
        <v>254</v>
      </c>
      <c r="E246" s="8">
        <v>2.77</v>
      </c>
    </row>
    <row r="247" spans="1:5">
      <c r="A247" s="33">
        <v>245</v>
      </c>
      <c r="B247" s="2" t="s">
        <v>188</v>
      </c>
      <c r="C247" s="3" t="s">
        <v>4</v>
      </c>
      <c r="D247" s="4" t="s">
        <v>255</v>
      </c>
      <c r="E247" s="8">
        <v>0.32</v>
      </c>
    </row>
    <row r="248" spans="1:5">
      <c r="A248" s="33">
        <v>246</v>
      </c>
      <c r="B248" s="2" t="s">
        <v>188</v>
      </c>
      <c r="C248" s="3" t="s">
        <v>4</v>
      </c>
      <c r="D248" s="4" t="s">
        <v>256</v>
      </c>
      <c r="E248" s="8">
        <v>0.42857000000000001</v>
      </c>
    </row>
    <row r="249" spans="1:5">
      <c r="A249" s="33">
        <v>247</v>
      </c>
      <c r="B249" s="2" t="s">
        <v>188</v>
      </c>
      <c r="C249" s="3" t="s">
        <v>4</v>
      </c>
      <c r="D249" s="4" t="s">
        <v>257</v>
      </c>
      <c r="E249" s="8">
        <v>0.17860000000000001</v>
      </c>
    </row>
    <row r="250" spans="1:5">
      <c r="A250" s="33">
        <v>248</v>
      </c>
      <c r="B250" s="2" t="s">
        <v>188</v>
      </c>
      <c r="C250" s="3" t="s">
        <v>4</v>
      </c>
      <c r="D250" s="4" t="s">
        <v>258</v>
      </c>
      <c r="E250" s="8">
        <v>1.25</v>
      </c>
    </row>
    <row r="251" spans="1:5">
      <c r="A251" s="33">
        <v>249</v>
      </c>
      <c r="B251" s="2" t="s">
        <v>188</v>
      </c>
      <c r="C251" s="3" t="s">
        <v>5</v>
      </c>
      <c r="D251" s="4" t="s">
        <v>259</v>
      </c>
      <c r="E251" s="8">
        <v>2.7526000000000002</v>
      </c>
    </row>
    <row r="252" spans="1:5">
      <c r="A252" s="33">
        <v>250</v>
      </c>
      <c r="B252" s="2" t="s">
        <v>188</v>
      </c>
      <c r="C252" s="3" t="s">
        <v>4</v>
      </c>
      <c r="D252" s="4" t="s">
        <v>260</v>
      </c>
      <c r="E252" s="8">
        <v>4.2016999999999998</v>
      </c>
    </row>
    <row r="253" spans="1:5">
      <c r="A253" s="33">
        <v>251</v>
      </c>
      <c r="B253" s="2" t="s">
        <v>188</v>
      </c>
      <c r="C253" s="3" t="s">
        <v>3</v>
      </c>
      <c r="D253" s="4" t="s">
        <v>261</v>
      </c>
      <c r="E253" s="8">
        <v>1.3594999999999999</v>
      </c>
    </row>
    <row r="254" spans="1:5">
      <c r="A254" s="33">
        <v>252</v>
      </c>
      <c r="B254" s="2" t="s">
        <v>188</v>
      </c>
      <c r="C254" s="3" t="s">
        <v>3</v>
      </c>
      <c r="D254" s="4" t="s">
        <v>262</v>
      </c>
      <c r="E254" s="8">
        <v>0.34</v>
      </c>
    </row>
    <row r="255" spans="1:5">
      <c r="A255" s="33">
        <v>253</v>
      </c>
      <c r="B255" s="2" t="s">
        <v>188</v>
      </c>
      <c r="C255" s="3" t="s">
        <v>3</v>
      </c>
      <c r="D255" s="4" t="s">
        <v>263</v>
      </c>
      <c r="E255" s="8">
        <v>2.0674999999999999</v>
      </c>
    </row>
    <row r="256" spans="1:5">
      <c r="A256" s="33">
        <v>254</v>
      </c>
      <c r="B256" s="2" t="s">
        <v>188</v>
      </c>
      <c r="C256" s="3" t="s">
        <v>5</v>
      </c>
      <c r="D256" s="4" t="s">
        <v>264</v>
      </c>
      <c r="E256" s="8">
        <v>2.5499999999999998</v>
      </c>
    </row>
    <row r="257" spans="1:5">
      <c r="A257" s="33">
        <v>255</v>
      </c>
      <c r="B257" s="2" t="s">
        <v>188</v>
      </c>
      <c r="C257" s="3" t="s">
        <v>4</v>
      </c>
      <c r="D257" s="4" t="s">
        <v>265</v>
      </c>
      <c r="E257" s="8">
        <v>6.6699999999999995E-2</v>
      </c>
    </row>
    <row r="258" spans="1:5">
      <c r="A258" s="33">
        <v>256</v>
      </c>
      <c r="B258" s="2" t="s">
        <v>188</v>
      </c>
      <c r="C258" s="3" t="s">
        <v>3</v>
      </c>
      <c r="D258" s="4" t="s">
        <v>266</v>
      </c>
      <c r="E258" s="8">
        <v>2.99</v>
      </c>
    </row>
    <row r="259" spans="1:5">
      <c r="A259" s="33">
        <v>257</v>
      </c>
      <c r="B259" s="2" t="s">
        <v>188</v>
      </c>
      <c r="C259" s="3" t="s">
        <v>5</v>
      </c>
      <c r="D259" s="4" t="s">
        <v>267</v>
      </c>
      <c r="E259" s="8">
        <v>1.9346000000000001</v>
      </c>
    </row>
    <row r="260" spans="1:5">
      <c r="A260" s="33">
        <v>258</v>
      </c>
      <c r="B260" s="2" t="s">
        <v>188</v>
      </c>
      <c r="C260" s="3" t="s">
        <v>4</v>
      </c>
      <c r="D260" s="4" t="s">
        <v>268</v>
      </c>
      <c r="E260" s="8">
        <v>1.66E-2</v>
      </c>
    </row>
    <row r="261" spans="1:5">
      <c r="A261" s="33">
        <v>259</v>
      </c>
      <c r="B261" s="2" t="s">
        <v>188</v>
      </c>
      <c r="C261" s="3" t="s">
        <v>4</v>
      </c>
      <c r="D261" s="4" t="s">
        <v>269</v>
      </c>
      <c r="E261" s="8">
        <v>0</v>
      </c>
    </row>
    <row r="262" spans="1:5">
      <c r="A262" s="33">
        <v>260</v>
      </c>
      <c r="B262" s="2" t="s">
        <v>188</v>
      </c>
      <c r="C262" s="3" t="s">
        <v>4</v>
      </c>
      <c r="D262" s="4" t="s">
        <v>270</v>
      </c>
      <c r="E262" s="8">
        <v>2.86</v>
      </c>
    </row>
    <row r="263" spans="1:5">
      <c r="A263" s="33">
        <v>261</v>
      </c>
      <c r="B263" s="2" t="s">
        <v>271</v>
      </c>
      <c r="C263" s="3" t="s">
        <v>3</v>
      </c>
      <c r="D263" s="4" t="s">
        <v>272</v>
      </c>
      <c r="E263" s="8">
        <v>3.097</v>
      </c>
    </row>
    <row r="264" spans="1:5">
      <c r="A264" s="33">
        <v>262</v>
      </c>
      <c r="B264" s="2" t="s">
        <v>271</v>
      </c>
      <c r="C264" s="3" t="s">
        <v>3</v>
      </c>
      <c r="D264" s="4" t="s">
        <v>273</v>
      </c>
      <c r="E264" s="8">
        <v>0.81</v>
      </c>
    </row>
    <row r="265" spans="1:5">
      <c r="A265" s="33">
        <v>263</v>
      </c>
      <c r="B265" s="2" t="s">
        <v>271</v>
      </c>
      <c r="C265" s="3" t="s">
        <v>3</v>
      </c>
      <c r="D265" s="4" t="s">
        <v>274</v>
      </c>
      <c r="E265" s="8">
        <v>0.82</v>
      </c>
    </row>
    <row r="266" spans="1:5">
      <c r="A266" s="33">
        <v>264</v>
      </c>
      <c r="B266" s="2" t="s">
        <v>271</v>
      </c>
      <c r="C266" s="3" t="s">
        <v>5</v>
      </c>
      <c r="D266" s="4" t="s">
        <v>275</v>
      </c>
      <c r="E266" s="8">
        <v>1.1299999999999999</v>
      </c>
    </row>
    <row r="267" spans="1:5">
      <c r="A267" s="33">
        <v>265</v>
      </c>
      <c r="B267" s="2" t="s">
        <v>271</v>
      </c>
      <c r="C267" s="3" t="s">
        <v>4</v>
      </c>
      <c r="D267" s="4" t="s">
        <v>276</v>
      </c>
      <c r="E267" s="8">
        <v>4.16</v>
      </c>
    </row>
    <row r="268" spans="1:5">
      <c r="A268" s="33">
        <v>266</v>
      </c>
      <c r="B268" s="2" t="s">
        <v>271</v>
      </c>
      <c r="C268" s="3" t="s">
        <v>5</v>
      </c>
      <c r="D268" s="4" t="s">
        <v>277</v>
      </c>
      <c r="E268" s="8">
        <v>1.849</v>
      </c>
    </row>
    <row r="269" spans="1:5">
      <c r="A269" s="33">
        <v>267</v>
      </c>
      <c r="B269" s="2" t="s">
        <v>271</v>
      </c>
      <c r="C269" s="3" t="s">
        <v>4</v>
      </c>
      <c r="D269" s="4" t="s">
        <v>278</v>
      </c>
      <c r="E269" s="8">
        <v>1.44</v>
      </c>
    </row>
    <row r="270" spans="1:5">
      <c r="A270" s="33">
        <v>268</v>
      </c>
      <c r="B270" s="2" t="s">
        <v>271</v>
      </c>
      <c r="C270" s="3" t="s">
        <v>3</v>
      </c>
      <c r="D270" s="4" t="s">
        <v>279</v>
      </c>
      <c r="E270" s="8">
        <v>2.9809999999999999</v>
      </c>
    </row>
    <row r="271" spans="1:5">
      <c r="A271" s="33">
        <v>269</v>
      </c>
      <c r="B271" s="2" t="s">
        <v>271</v>
      </c>
      <c r="C271" s="3" t="s">
        <v>5</v>
      </c>
      <c r="D271" s="4" t="s">
        <v>280</v>
      </c>
      <c r="E271" s="8">
        <v>8.2000000000000003E-2</v>
      </c>
    </row>
    <row r="272" spans="1:5">
      <c r="A272" s="33">
        <v>270</v>
      </c>
      <c r="B272" s="2" t="s">
        <v>271</v>
      </c>
      <c r="C272" s="3" t="s">
        <v>4</v>
      </c>
      <c r="D272" s="4" t="s">
        <v>281</v>
      </c>
      <c r="E272" s="8">
        <v>6.5199999999999994E-2</v>
      </c>
    </row>
    <row r="273" spans="1:5">
      <c r="A273" s="33">
        <v>271</v>
      </c>
      <c r="B273" s="2" t="s">
        <v>271</v>
      </c>
      <c r="C273" s="3" t="s">
        <v>4</v>
      </c>
      <c r="D273" s="4" t="s">
        <v>282</v>
      </c>
      <c r="E273" s="8">
        <v>0.13300000000000001</v>
      </c>
    </row>
    <row r="274" spans="1:5">
      <c r="A274" s="33">
        <v>272</v>
      </c>
      <c r="B274" s="2" t="s">
        <v>271</v>
      </c>
      <c r="C274" s="3" t="s">
        <v>4</v>
      </c>
      <c r="D274" s="4" t="s">
        <v>283</v>
      </c>
      <c r="E274" s="8">
        <v>0.30357000000000001</v>
      </c>
    </row>
    <row r="275" spans="1:5">
      <c r="A275" s="33">
        <v>273</v>
      </c>
      <c r="B275" s="2" t="s">
        <v>271</v>
      </c>
      <c r="C275" s="3" t="s">
        <v>3</v>
      </c>
      <c r="D275" s="4" t="s">
        <v>284</v>
      </c>
      <c r="E275" s="9">
        <v>0.26</v>
      </c>
    </row>
    <row r="276" spans="1:5">
      <c r="A276" s="33">
        <v>274</v>
      </c>
      <c r="B276" s="2" t="s">
        <v>271</v>
      </c>
      <c r="C276" s="3" t="s">
        <v>5</v>
      </c>
      <c r="D276" s="4" t="s">
        <v>285</v>
      </c>
      <c r="E276" s="8">
        <v>0.65900000000000003</v>
      </c>
    </row>
    <row r="277" spans="1:5">
      <c r="A277" s="33">
        <v>275</v>
      </c>
      <c r="B277" s="2" t="s">
        <v>271</v>
      </c>
      <c r="C277" s="3" t="s">
        <v>4</v>
      </c>
      <c r="D277" s="4" t="s">
        <v>286</v>
      </c>
      <c r="E277" s="8">
        <v>0.3105</v>
      </c>
    </row>
    <row r="278" spans="1:5">
      <c r="A278" s="33">
        <v>276</v>
      </c>
      <c r="B278" s="2" t="s">
        <v>271</v>
      </c>
      <c r="C278" s="3" t="s">
        <v>4</v>
      </c>
      <c r="D278" s="4" t="s">
        <v>287</v>
      </c>
      <c r="E278" s="8">
        <v>2.5707</v>
      </c>
    </row>
    <row r="279" spans="1:5">
      <c r="A279" s="33">
        <v>277</v>
      </c>
      <c r="B279" s="2" t="s">
        <v>271</v>
      </c>
      <c r="C279" s="3" t="s">
        <v>4</v>
      </c>
      <c r="D279" s="4" t="s">
        <v>288</v>
      </c>
      <c r="E279" s="8">
        <v>4.5</v>
      </c>
    </row>
    <row r="280" spans="1:5">
      <c r="A280" s="33">
        <v>278</v>
      </c>
      <c r="B280" s="2" t="s">
        <v>271</v>
      </c>
      <c r="C280" s="3" t="s">
        <v>4</v>
      </c>
      <c r="D280" s="4" t="s">
        <v>289</v>
      </c>
      <c r="E280" s="8">
        <v>6.2E-2</v>
      </c>
    </row>
    <row r="281" spans="1:5">
      <c r="A281" s="33">
        <v>279</v>
      </c>
      <c r="B281" s="2" t="s">
        <v>271</v>
      </c>
      <c r="C281" s="3" t="s">
        <v>5</v>
      </c>
      <c r="D281" s="4" t="s">
        <v>290</v>
      </c>
      <c r="E281" s="8">
        <v>0.16300000000000001</v>
      </c>
    </row>
    <row r="282" spans="1:5">
      <c r="A282" s="33">
        <v>280</v>
      </c>
      <c r="B282" s="2" t="s">
        <v>271</v>
      </c>
      <c r="C282" s="3" t="s">
        <v>4</v>
      </c>
      <c r="D282" s="4" t="s">
        <v>291</v>
      </c>
      <c r="E282" s="8">
        <v>0</v>
      </c>
    </row>
    <row r="283" spans="1:5">
      <c r="A283" s="33">
        <v>281</v>
      </c>
      <c r="B283" s="2" t="s">
        <v>271</v>
      </c>
      <c r="C283" s="3" t="s">
        <v>4</v>
      </c>
      <c r="D283" s="4" t="s">
        <v>292</v>
      </c>
      <c r="E283" s="8">
        <v>0.57899999999999996</v>
      </c>
    </row>
    <row r="284" spans="1:5">
      <c r="A284" s="33">
        <v>282</v>
      </c>
      <c r="B284" s="2" t="s">
        <v>271</v>
      </c>
      <c r="C284" s="3" t="s">
        <v>4</v>
      </c>
      <c r="D284" s="4" t="s">
        <v>293</v>
      </c>
      <c r="E284" s="8">
        <v>0</v>
      </c>
    </row>
    <row r="285" spans="1:5">
      <c r="A285" s="33">
        <v>283</v>
      </c>
      <c r="B285" s="2" t="s">
        <v>271</v>
      </c>
      <c r="C285" s="3" t="s">
        <v>4</v>
      </c>
      <c r="D285" s="4" t="s">
        <v>294</v>
      </c>
      <c r="E285" s="8">
        <v>0.33679999999999999</v>
      </c>
    </row>
    <row r="286" spans="1:5">
      <c r="A286" s="33">
        <v>284</v>
      </c>
      <c r="B286" s="2" t="s">
        <v>271</v>
      </c>
      <c r="C286" s="3" t="s">
        <v>4</v>
      </c>
      <c r="D286" s="4" t="s">
        <v>295</v>
      </c>
      <c r="E286" s="8">
        <v>0.84</v>
      </c>
    </row>
    <row r="287" spans="1:5">
      <c r="A287" s="33">
        <v>285</v>
      </c>
      <c r="B287" s="2" t="s">
        <v>271</v>
      </c>
      <c r="C287" s="3" t="s">
        <v>4</v>
      </c>
      <c r="D287" s="4" t="s">
        <v>296</v>
      </c>
      <c r="E287" s="8">
        <v>0.02</v>
      </c>
    </row>
    <row r="288" spans="1:5">
      <c r="A288" s="33">
        <v>286</v>
      </c>
      <c r="B288" s="2" t="s">
        <v>271</v>
      </c>
      <c r="C288" s="3" t="s">
        <v>4</v>
      </c>
      <c r="D288" s="4" t="s">
        <v>297</v>
      </c>
      <c r="E288" s="8">
        <v>9.2999999999999999E-2</v>
      </c>
    </row>
    <row r="289" spans="1:5">
      <c r="A289" s="33">
        <v>287</v>
      </c>
      <c r="B289" s="2" t="s">
        <v>271</v>
      </c>
      <c r="C289" s="3" t="s">
        <v>3</v>
      </c>
      <c r="D289" s="4" t="s">
        <v>298</v>
      </c>
      <c r="E289" s="8">
        <v>2.1</v>
      </c>
    </row>
    <row r="290" spans="1:5">
      <c r="A290" s="33">
        <v>288</v>
      </c>
      <c r="B290" s="2" t="s">
        <v>271</v>
      </c>
      <c r="C290" s="3" t="s">
        <v>4</v>
      </c>
      <c r="D290" s="4" t="s">
        <v>299</v>
      </c>
      <c r="E290" s="8">
        <v>0.38800000000000001</v>
      </c>
    </row>
    <row r="291" spans="1:5">
      <c r="A291" s="33">
        <v>289</v>
      </c>
      <c r="B291" s="2" t="s">
        <v>271</v>
      </c>
      <c r="C291" s="3" t="s">
        <v>3</v>
      </c>
      <c r="D291" s="4" t="s">
        <v>300</v>
      </c>
      <c r="E291" s="8">
        <v>2.5</v>
      </c>
    </row>
    <row r="292" spans="1:5">
      <c r="A292" s="33">
        <v>290</v>
      </c>
      <c r="B292" s="2" t="s">
        <v>271</v>
      </c>
      <c r="C292" s="3" t="s">
        <v>5</v>
      </c>
      <c r="D292" s="4" t="s">
        <v>301</v>
      </c>
      <c r="E292" s="8">
        <v>8.8499999999999995E-2</v>
      </c>
    </row>
    <row r="293" spans="1:5">
      <c r="A293" s="33">
        <v>291</v>
      </c>
      <c r="B293" s="2" t="s">
        <v>271</v>
      </c>
      <c r="C293" s="3" t="s">
        <v>4</v>
      </c>
      <c r="D293" s="4" t="s">
        <v>302</v>
      </c>
      <c r="E293" s="8">
        <v>2.37</v>
      </c>
    </row>
    <row r="294" spans="1:5">
      <c r="A294" s="33">
        <v>292</v>
      </c>
      <c r="B294" s="2" t="s">
        <v>271</v>
      </c>
      <c r="C294" s="3" t="s">
        <v>3</v>
      </c>
      <c r="D294" s="4" t="s">
        <v>303</v>
      </c>
      <c r="E294" s="8">
        <v>3.91</v>
      </c>
    </row>
    <row r="295" spans="1:5">
      <c r="A295" s="33">
        <v>293</v>
      </c>
      <c r="B295" s="2" t="s">
        <v>271</v>
      </c>
      <c r="C295" s="3" t="s">
        <v>5</v>
      </c>
      <c r="D295" s="4" t="s">
        <v>304</v>
      </c>
      <c r="E295" s="8">
        <v>3.766</v>
      </c>
    </row>
    <row r="296" spans="1:5">
      <c r="A296" s="33">
        <v>294</v>
      </c>
      <c r="B296" s="2" t="s">
        <v>271</v>
      </c>
      <c r="C296" s="3" t="s">
        <v>4</v>
      </c>
      <c r="D296" s="4" t="s">
        <v>305</v>
      </c>
      <c r="E296" s="8">
        <v>1.948</v>
      </c>
    </row>
    <row r="297" spans="1:5">
      <c r="A297" s="33">
        <v>295</v>
      </c>
      <c r="B297" s="2" t="s">
        <v>271</v>
      </c>
      <c r="C297" s="3" t="s">
        <v>4</v>
      </c>
      <c r="D297" s="4" t="s">
        <v>306</v>
      </c>
      <c r="E297" s="8">
        <v>0.30496000000000001</v>
      </c>
    </row>
    <row r="298" spans="1:5">
      <c r="A298" s="33">
        <v>296</v>
      </c>
      <c r="B298" s="2" t="s">
        <v>271</v>
      </c>
      <c r="C298" s="3" t="s">
        <v>4</v>
      </c>
      <c r="D298" s="4" t="s">
        <v>307</v>
      </c>
      <c r="E298" s="8">
        <v>0.76829000000000003</v>
      </c>
    </row>
    <row r="299" spans="1:5">
      <c r="A299" s="33">
        <v>297</v>
      </c>
      <c r="B299" s="2" t="s">
        <v>271</v>
      </c>
      <c r="C299" s="3" t="s">
        <v>4</v>
      </c>
      <c r="D299" s="4" t="s">
        <v>308</v>
      </c>
      <c r="E299" s="8">
        <v>1.1859999999999999</v>
      </c>
    </row>
    <row r="300" spans="1:5">
      <c r="A300" s="33">
        <v>298</v>
      </c>
      <c r="B300" s="2" t="s">
        <v>271</v>
      </c>
      <c r="C300" s="3" t="s">
        <v>3</v>
      </c>
      <c r="D300" s="4" t="s">
        <v>309</v>
      </c>
      <c r="E300" s="8">
        <v>0.74399999999999999</v>
      </c>
    </row>
    <row r="301" spans="1:5">
      <c r="A301" s="33">
        <v>299</v>
      </c>
      <c r="B301" s="2" t="s">
        <v>271</v>
      </c>
      <c r="C301" s="3" t="s">
        <v>5</v>
      </c>
      <c r="D301" s="4" t="s">
        <v>310</v>
      </c>
      <c r="E301" s="8">
        <v>0.77</v>
      </c>
    </row>
    <row r="302" spans="1:5">
      <c r="A302" s="33">
        <v>300</v>
      </c>
      <c r="B302" s="2" t="s">
        <v>271</v>
      </c>
      <c r="C302" s="3" t="s">
        <v>4</v>
      </c>
      <c r="D302" s="4" t="s">
        <v>311</v>
      </c>
      <c r="E302" s="8">
        <v>2.5089999999999999</v>
      </c>
    </row>
    <row r="303" spans="1:5">
      <c r="A303" s="33">
        <v>301</v>
      </c>
      <c r="B303" s="2" t="s">
        <v>271</v>
      </c>
      <c r="C303" s="3" t="s">
        <v>4</v>
      </c>
      <c r="D303" s="4" t="s">
        <v>312</v>
      </c>
      <c r="E303" s="8">
        <v>0.14280000000000001</v>
      </c>
    </row>
    <row r="304" spans="1:5">
      <c r="A304" s="33">
        <v>302</v>
      </c>
      <c r="B304" s="2" t="s">
        <v>271</v>
      </c>
      <c r="C304" s="3" t="s">
        <v>5</v>
      </c>
      <c r="D304" s="4" t="s">
        <v>313</v>
      </c>
      <c r="E304" s="8">
        <v>6.7599999999999993E-2</v>
      </c>
    </row>
    <row r="305" spans="1:5">
      <c r="A305" s="33">
        <v>303</v>
      </c>
      <c r="B305" s="2" t="s">
        <v>271</v>
      </c>
      <c r="C305" s="3" t="s">
        <v>5</v>
      </c>
      <c r="D305" s="4" t="s">
        <v>314</v>
      </c>
      <c r="E305" s="8">
        <v>0.58599999999999997</v>
      </c>
    </row>
    <row r="306" spans="1:5">
      <c r="A306" s="33">
        <v>304</v>
      </c>
      <c r="B306" s="2" t="s">
        <v>271</v>
      </c>
      <c r="C306" s="3" t="s">
        <v>4</v>
      </c>
      <c r="D306" s="4" t="s">
        <v>315</v>
      </c>
      <c r="E306" s="8">
        <v>2.0558000000000001</v>
      </c>
    </row>
    <row r="307" spans="1:5">
      <c r="A307" s="33">
        <v>305</v>
      </c>
      <c r="B307" s="2" t="s">
        <v>271</v>
      </c>
      <c r="C307" s="3" t="s">
        <v>3</v>
      </c>
      <c r="D307" s="4" t="s">
        <v>316</v>
      </c>
      <c r="E307" s="8">
        <v>3.45</v>
      </c>
    </row>
    <row r="308" spans="1:5">
      <c r="A308" s="33">
        <v>306</v>
      </c>
      <c r="B308" s="2" t="s">
        <v>271</v>
      </c>
      <c r="C308" s="3" t="s">
        <v>5</v>
      </c>
      <c r="D308" s="4" t="s">
        <v>317</v>
      </c>
      <c r="E308" s="8">
        <v>0.94</v>
      </c>
    </row>
    <row r="309" spans="1:5">
      <c r="A309" s="33">
        <v>307</v>
      </c>
      <c r="B309" s="2" t="s">
        <v>271</v>
      </c>
      <c r="C309" s="3" t="s">
        <v>4</v>
      </c>
      <c r="D309" s="4" t="s">
        <v>318</v>
      </c>
      <c r="E309" s="8">
        <v>0</v>
      </c>
    </row>
    <row r="310" spans="1:5">
      <c r="A310" s="33">
        <v>308</v>
      </c>
      <c r="B310" s="2" t="s">
        <v>271</v>
      </c>
      <c r="C310" s="3" t="s">
        <v>4</v>
      </c>
      <c r="D310" s="4" t="s">
        <v>319</v>
      </c>
      <c r="E310" s="8">
        <v>0.28999999999999998</v>
      </c>
    </row>
    <row r="311" spans="1:5">
      <c r="A311" s="33">
        <v>309</v>
      </c>
      <c r="B311" s="2" t="s">
        <v>271</v>
      </c>
      <c r="C311" s="3" t="s">
        <v>3</v>
      </c>
      <c r="D311" s="4" t="s">
        <v>320</v>
      </c>
      <c r="E311" s="8">
        <v>0</v>
      </c>
    </row>
    <row r="312" spans="1:5">
      <c r="A312" s="33">
        <v>310</v>
      </c>
      <c r="B312" s="2" t="s">
        <v>271</v>
      </c>
      <c r="C312" s="3" t="s">
        <v>5</v>
      </c>
      <c r="D312" s="4" t="s">
        <v>321</v>
      </c>
      <c r="E312" s="8">
        <v>0.41660000000000003</v>
      </c>
    </row>
    <row r="313" spans="1:5">
      <c r="A313" s="33">
        <v>311</v>
      </c>
      <c r="B313" s="2" t="s">
        <v>271</v>
      </c>
      <c r="C313" s="3" t="s">
        <v>3</v>
      </c>
      <c r="D313" s="4" t="s">
        <v>322</v>
      </c>
      <c r="E313" s="8">
        <v>0.68100000000000005</v>
      </c>
    </row>
    <row r="314" spans="1:5">
      <c r="A314" s="33">
        <v>312</v>
      </c>
      <c r="B314" s="2" t="s">
        <v>271</v>
      </c>
      <c r="C314" s="3" t="s">
        <v>3</v>
      </c>
      <c r="D314" s="4" t="s">
        <v>323</v>
      </c>
      <c r="E314" s="8">
        <v>0.497</v>
      </c>
    </row>
    <row r="315" spans="1:5">
      <c r="A315" s="33">
        <v>313</v>
      </c>
      <c r="B315" s="2" t="s">
        <v>271</v>
      </c>
      <c r="C315" s="3" t="s">
        <v>5</v>
      </c>
      <c r="D315" s="4" t="s">
        <v>324</v>
      </c>
      <c r="E315" s="8">
        <v>3.09</v>
      </c>
    </row>
    <row r="316" spans="1:5">
      <c r="A316" s="33">
        <v>314</v>
      </c>
      <c r="B316" s="2" t="s">
        <v>271</v>
      </c>
      <c r="C316" s="3" t="s">
        <v>3</v>
      </c>
      <c r="D316" s="4" t="s">
        <v>325</v>
      </c>
      <c r="E316" s="8">
        <v>6.7279999999999998</v>
      </c>
    </row>
    <row r="317" spans="1:5">
      <c r="A317" s="33">
        <v>315</v>
      </c>
      <c r="B317" s="2" t="s">
        <v>271</v>
      </c>
      <c r="C317" s="3" t="s">
        <v>5</v>
      </c>
      <c r="D317" s="4" t="s">
        <v>326</v>
      </c>
      <c r="E317" s="8">
        <v>0.1205</v>
      </c>
    </row>
  </sheetData>
  <autoFilter ref="A2:E317" xr:uid="{2D276149-6533-4CCF-B55A-F1595E293683}"/>
  <mergeCells count="1">
    <mergeCell ref="G9:I9"/>
  </mergeCells>
  <phoneticPr fontId="1" type="noConversion"/>
  <conditionalFormatting sqref="I3:M8">
    <cfRule type="cellIs" dxfId="0" priority="1" operator="greaterThan">
      <formula>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대전 채널중첩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HoJun, Ki</dc:creator>
  <cp:lastModifiedBy>HoJun, Ki</cp:lastModifiedBy>
  <dcterms:created xsi:type="dcterms:W3CDTF">2026-01-27T12:45:52Z</dcterms:created>
  <dcterms:modified xsi:type="dcterms:W3CDTF">2026-02-11T04:28:32Z</dcterms:modified>
</cp:coreProperties>
</file>