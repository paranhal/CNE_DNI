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충남\"/>
    </mc:Choice>
  </mc:AlternateContent>
  <xr:revisionPtr revIDLastSave="0" documentId="8_{352A1C71-D06C-439F-9E5D-33E44A032B5F}" xr6:coauthVersionLast="36" xr6:coauthVersionMax="36" xr10:uidLastSave="{00000000-0000-0000-0000-000000000000}"/>
  <bookViews>
    <workbookView xWindow="-28920" yWindow="-120" windowWidth="29040" windowHeight="15840" xr2:uid="{41D8FD6B-4126-4715-9A40-78DB0C4BDA96}"/>
  </bookViews>
  <sheets>
    <sheet name="충남 채널중첩" sheetId="2" r:id="rId1"/>
  </sheets>
  <definedNames>
    <definedName name="_xlnm._FilterDatabase" localSheetId="0" hidden="1">'충남 채널중첩'!$A$2:$E$721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  <c r="K19" i="2"/>
  <c r="L19" i="2"/>
  <c r="J19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K21" i="2"/>
  <c r="L21" i="2"/>
  <c r="J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1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J4" i="2"/>
  <c r="M22" i="2" s="1"/>
  <c r="K4" i="2"/>
  <c r="L4" i="2"/>
  <c r="M4" i="2"/>
  <c r="J5" i="2"/>
  <c r="M23" i="2" s="1"/>
  <c r="K5" i="2"/>
  <c r="L5" i="2"/>
  <c r="M5" i="2"/>
  <c r="J6" i="2"/>
  <c r="M24" i="2" s="1"/>
  <c r="K6" i="2"/>
  <c r="L6" i="2"/>
  <c r="M6" i="2"/>
  <c r="J7" i="2"/>
  <c r="M25" i="2" s="1"/>
  <c r="K7" i="2"/>
  <c r="L7" i="2"/>
  <c r="M7" i="2"/>
  <c r="J8" i="2"/>
  <c r="M26" i="2" s="1"/>
  <c r="K8" i="2"/>
  <c r="L8" i="2"/>
  <c r="M8" i="2"/>
  <c r="J9" i="2"/>
  <c r="M27" i="2" s="1"/>
  <c r="K9" i="2"/>
  <c r="L9" i="2"/>
  <c r="M9" i="2"/>
  <c r="J10" i="2"/>
  <c r="M28" i="2" s="1"/>
  <c r="K10" i="2"/>
  <c r="L10" i="2"/>
  <c r="M10" i="2"/>
  <c r="J11" i="2"/>
  <c r="M29" i="2" s="1"/>
  <c r="K11" i="2"/>
  <c r="L11" i="2"/>
  <c r="M11" i="2"/>
  <c r="J12" i="2"/>
  <c r="M30" i="2" s="1"/>
  <c r="K12" i="2"/>
  <c r="L12" i="2"/>
  <c r="M12" i="2"/>
  <c r="J13" i="2"/>
  <c r="M31" i="2" s="1"/>
  <c r="K13" i="2"/>
  <c r="L13" i="2"/>
  <c r="M13" i="2"/>
  <c r="J14" i="2"/>
  <c r="M32" i="2" s="1"/>
  <c r="K14" i="2"/>
  <c r="L14" i="2"/>
  <c r="M14" i="2"/>
  <c r="J15" i="2"/>
  <c r="M33" i="2" s="1"/>
  <c r="K15" i="2"/>
  <c r="L15" i="2"/>
  <c r="M15" i="2"/>
  <c r="J16" i="2"/>
  <c r="M34" i="2" s="1"/>
  <c r="K16" i="2"/>
  <c r="L16" i="2"/>
  <c r="M16" i="2"/>
  <c r="J17" i="2"/>
  <c r="M35" i="2" s="1"/>
  <c r="K17" i="2"/>
  <c r="L17" i="2"/>
  <c r="M17" i="2"/>
  <c r="K3" i="2"/>
  <c r="L3" i="2"/>
  <c r="M3" i="2"/>
  <c r="J3" i="2"/>
  <c r="M21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3" i="2"/>
  <c r="M19" i="2" l="1"/>
</calcChain>
</file>

<file path=xl/sharedStrings.xml><?xml version="1.0" encoding="utf-8"?>
<sst xmlns="http://schemas.openxmlformats.org/spreadsheetml/2006/main" count="2210" uniqueCount="769">
  <si>
    <t>홍성</t>
  </si>
  <si>
    <t>지역</t>
  </si>
  <si>
    <t>학교유형</t>
  </si>
  <si>
    <t>학교명</t>
  </si>
  <si>
    <t>계룡</t>
  </si>
  <si>
    <t>고등학교</t>
  </si>
  <si>
    <t>계룡고등학교</t>
  </si>
  <si>
    <t>초등학교</t>
  </si>
  <si>
    <t>중학교</t>
  </si>
  <si>
    <t>계룡중학교</t>
  </si>
  <si>
    <t>금암초등학교</t>
  </si>
  <si>
    <t>두마초등학교</t>
  </si>
  <si>
    <t>신도초등학교</t>
  </si>
  <si>
    <t>엄사중학교</t>
  </si>
  <si>
    <t>엄사초등학교</t>
  </si>
  <si>
    <t>용남고등학교</t>
  </si>
  <si>
    <t>용남중학교</t>
  </si>
  <si>
    <t>용남초등학교</t>
  </si>
  <si>
    <t>공주</t>
  </si>
  <si>
    <t>경천중학교</t>
  </si>
  <si>
    <t>경천초등학교</t>
  </si>
  <si>
    <t>계룡초등학교</t>
  </si>
  <si>
    <t>공주고등학교</t>
  </si>
  <si>
    <t>공주교동초등학교</t>
  </si>
  <si>
    <t>공주교육대학교부설초등학교</t>
  </si>
  <si>
    <t>공주금성여자고등학교</t>
  </si>
  <si>
    <t>공주금학초등학교</t>
  </si>
  <si>
    <t>공주마이스터고등학교</t>
  </si>
  <si>
    <t>공주봉황초등학교</t>
  </si>
  <si>
    <t>공주북중학교</t>
  </si>
  <si>
    <t>공주생명과학고등학교</t>
  </si>
  <si>
    <t>공주신월초등학교</t>
  </si>
  <si>
    <t>공주여자고등학교</t>
  </si>
  <si>
    <t>공주여자중학교</t>
  </si>
  <si>
    <t>공주영명고등학교</t>
  </si>
  <si>
    <t>공주영명중학교</t>
  </si>
  <si>
    <t>특수학교</t>
  </si>
  <si>
    <t>공주정명학교</t>
  </si>
  <si>
    <t>공주정보고등학교</t>
  </si>
  <si>
    <t>공주중동초등학교</t>
  </si>
  <si>
    <t>공주중학교</t>
  </si>
  <si>
    <t>구산초등학교</t>
  </si>
  <si>
    <t>국립공주대학교사범대학부설고등학교</t>
  </si>
  <si>
    <t>국립공주대학교사범대학부설중학교</t>
  </si>
  <si>
    <t>국립공주대학교사범대학부설특수학교</t>
  </si>
  <si>
    <t>귀산초등학교</t>
  </si>
  <si>
    <t>덕암초등학교</t>
  </si>
  <si>
    <t>마곡초등학교</t>
  </si>
  <si>
    <t>반포중학교</t>
  </si>
  <si>
    <t>반포초등학교</t>
  </si>
  <si>
    <t>봉황중학교</t>
  </si>
  <si>
    <t>사곡중학교</t>
  </si>
  <si>
    <t>상서초등학교</t>
  </si>
  <si>
    <t>석송초등학교</t>
  </si>
  <si>
    <t>수촌초등학교</t>
  </si>
  <si>
    <t>신관초등학교</t>
  </si>
  <si>
    <t>신풍초등학교</t>
  </si>
  <si>
    <t>우성중학교</t>
  </si>
  <si>
    <t>우성초등학교</t>
  </si>
  <si>
    <t>유구중학교</t>
  </si>
  <si>
    <t>유구초등학교</t>
  </si>
  <si>
    <t>의당초등학교</t>
  </si>
  <si>
    <t>이인중학교</t>
  </si>
  <si>
    <t>이인초등학교</t>
  </si>
  <si>
    <t>정안중학교</t>
  </si>
  <si>
    <t>정안초등학교</t>
  </si>
  <si>
    <t>충남과학고등학교</t>
  </si>
  <si>
    <t>탄천중학교</t>
  </si>
  <si>
    <t>탄천초등학교</t>
  </si>
  <si>
    <t>학봉초등학교</t>
  </si>
  <si>
    <t>한일고등학교</t>
  </si>
  <si>
    <t>호계초등학교</t>
  </si>
  <si>
    <t>효포초등학교</t>
  </si>
  <si>
    <t>금산</t>
  </si>
  <si>
    <t>군북초등학교</t>
  </si>
  <si>
    <t>금산고등학교</t>
  </si>
  <si>
    <t>금산동중학교</t>
  </si>
  <si>
    <t>금산동초등학교</t>
  </si>
  <si>
    <t>금산산업고등학교</t>
  </si>
  <si>
    <t>금산여자고등학교</t>
  </si>
  <si>
    <t>금산여자중학교</t>
  </si>
  <si>
    <t>금산중앙초등학교</t>
  </si>
  <si>
    <t>금산중학교</t>
  </si>
  <si>
    <t>금산초등학교</t>
  </si>
  <si>
    <t>금산하이텍고등학교</t>
  </si>
  <si>
    <t>금성초등학교(금산)</t>
  </si>
  <si>
    <t>금성초등학교금계분교장</t>
  </si>
  <si>
    <t>남이초등학교</t>
  </si>
  <si>
    <t>남일초등학교</t>
  </si>
  <si>
    <t>복수중학교</t>
  </si>
  <si>
    <t>복수초등학교</t>
  </si>
  <si>
    <t>부리초등학교</t>
  </si>
  <si>
    <t>상곡초등학교</t>
  </si>
  <si>
    <t>성대초등학교</t>
  </si>
  <si>
    <t>신대초등학교</t>
  </si>
  <si>
    <t>용문초등학교</t>
  </si>
  <si>
    <t>제원중학교</t>
  </si>
  <si>
    <t>제원초등학교</t>
  </si>
  <si>
    <t>진산중학교</t>
  </si>
  <si>
    <t>진산초등학교</t>
  </si>
  <si>
    <t>추부중학교</t>
  </si>
  <si>
    <t>추부초등학교</t>
  </si>
  <si>
    <t>논산</t>
  </si>
  <si>
    <t>가야곡초등학교</t>
  </si>
  <si>
    <t>감곡초등학교</t>
  </si>
  <si>
    <t>강경고등학교</t>
  </si>
  <si>
    <t>강경산양초등학교</t>
  </si>
  <si>
    <t>강경상업고등학교</t>
  </si>
  <si>
    <t>강경여자중학교</t>
  </si>
  <si>
    <t>강경중앙초등학교</t>
  </si>
  <si>
    <t>강경중학교</t>
  </si>
  <si>
    <t>강경황산초등학교</t>
  </si>
  <si>
    <t>건양대학교병설건양고등학교</t>
  </si>
  <si>
    <t>건양대학교병설건양중학교</t>
  </si>
  <si>
    <t>광석중학교</t>
  </si>
  <si>
    <t>광석초등학교</t>
  </si>
  <si>
    <t>구자곡초등학교</t>
  </si>
  <si>
    <t>기민중학교</t>
  </si>
  <si>
    <t>노성중학교</t>
  </si>
  <si>
    <t>노성초등학교</t>
  </si>
  <si>
    <t>논산고등학교</t>
  </si>
  <si>
    <t>논산공업고등학교</t>
  </si>
  <si>
    <t>논산내동초등학교</t>
  </si>
  <si>
    <t>논산대건고등학교</t>
  </si>
  <si>
    <t>논산대건중학교</t>
  </si>
  <si>
    <t>논산동성초등학교</t>
  </si>
  <si>
    <t>논산반월초등학교</t>
  </si>
  <si>
    <t>논산부창초등학교</t>
  </si>
  <si>
    <t>논산여자고등학교</t>
  </si>
  <si>
    <t>논산여자상업고등학교</t>
  </si>
  <si>
    <t>논산여자중학교</t>
  </si>
  <si>
    <t>논산중앙초등학교</t>
  </si>
  <si>
    <t>논산중학교</t>
  </si>
  <si>
    <t>도산초등학교</t>
  </si>
  <si>
    <t>반곡초등학교</t>
  </si>
  <si>
    <t>백석초등학교</t>
  </si>
  <si>
    <t>벌곡초등학교</t>
  </si>
  <si>
    <t>부적초등학교</t>
  </si>
  <si>
    <t>상월초등학교</t>
  </si>
  <si>
    <t>성광온누리학교</t>
  </si>
  <si>
    <t>성덕초등학교</t>
  </si>
  <si>
    <t>성동초등학교</t>
  </si>
  <si>
    <t>쌘뽈여자고등학교</t>
  </si>
  <si>
    <t>쌘뽈여자중학교</t>
  </si>
  <si>
    <t>양촌초등학교</t>
  </si>
  <si>
    <t>연무고등학교</t>
  </si>
  <si>
    <t>연무마이스터고등학교</t>
  </si>
  <si>
    <t>연무여자중학교</t>
  </si>
  <si>
    <t>연무중앙초등학교</t>
  </si>
  <si>
    <t>연무중학교</t>
  </si>
  <si>
    <t>연무초등학교</t>
  </si>
  <si>
    <t>연산중학교</t>
  </si>
  <si>
    <t>연산초등학교</t>
  </si>
  <si>
    <t>왕전초등학교</t>
  </si>
  <si>
    <t>원봉초등학교</t>
  </si>
  <si>
    <t>은진초등학교</t>
  </si>
  <si>
    <t>이화초등학교</t>
  </si>
  <si>
    <t>채운초등학교</t>
  </si>
  <si>
    <t>청동초등학교</t>
  </si>
  <si>
    <t>충남인터넷고등학교</t>
  </si>
  <si>
    <t>충남체육고등학교</t>
  </si>
  <si>
    <t>당진</t>
  </si>
  <si>
    <t>계성초등학교</t>
  </si>
  <si>
    <t>고대중학교</t>
  </si>
  <si>
    <t>고대초등학교</t>
  </si>
  <si>
    <t>고산초등학교</t>
  </si>
  <si>
    <t>기지초등학교</t>
  </si>
  <si>
    <t>당산초등학교</t>
  </si>
  <si>
    <t>당진고등학교</t>
  </si>
  <si>
    <t>당진꿈나래학교</t>
  </si>
  <si>
    <t>당진정보고등학교</t>
  </si>
  <si>
    <t>당진중학교</t>
  </si>
  <si>
    <t>당진중학교대호지분교장</t>
  </si>
  <si>
    <t>당진초등학교</t>
  </si>
  <si>
    <t>대덕초등학교</t>
  </si>
  <si>
    <t>면천중학교</t>
  </si>
  <si>
    <t>면천초등학교</t>
  </si>
  <si>
    <t>북창초등학교</t>
  </si>
  <si>
    <t>삼봉초등학교</t>
  </si>
  <si>
    <t>삼봉초등학교난지분교장</t>
  </si>
  <si>
    <t>상록초등학교</t>
  </si>
  <si>
    <t>서야중학교</t>
  </si>
  <si>
    <t>서정초등학교</t>
  </si>
  <si>
    <t>석문중학교</t>
  </si>
  <si>
    <t>석문초등학교</t>
  </si>
  <si>
    <t>성당초등학교</t>
  </si>
  <si>
    <t>송산중학교</t>
  </si>
  <si>
    <t>송산초등학교</t>
  </si>
  <si>
    <t>송악고등학교</t>
  </si>
  <si>
    <t>송악중학교</t>
  </si>
  <si>
    <t>송악초등학교</t>
  </si>
  <si>
    <t>수청중학교</t>
  </si>
  <si>
    <t>수청초등학교</t>
  </si>
  <si>
    <t>순성중학교</t>
  </si>
  <si>
    <t>순성초등학교</t>
  </si>
  <si>
    <t>신촌초등학교</t>
  </si>
  <si>
    <t>신평고등학교</t>
  </si>
  <si>
    <t>신평중학교</t>
  </si>
  <si>
    <t>신평초등학교</t>
  </si>
  <si>
    <t>우강초등학교</t>
  </si>
  <si>
    <t>원당중학교</t>
  </si>
  <si>
    <t>원당초등학교</t>
  </si>
  <si>
    <t>유곡초등학교</t>
  </si>
  <si>
    <t>전대초등학교</t>
  </si>
  <si>
    <t>정미초등학교</t>
  </si>
  <si>
    <t>조금초등학교</t>
  </si>
  <si>
    <t>천의초등학교</t>
  </si>
  <si>
    <t>초락초등학교</t>
  </si>
  <si>
    <t>탑동초등학교</t>
  </si>
  <si>
    <t>한정초등학교</t>
  </si>
  <si>
    <t>합덕고등학교</t>
  </si>
  <si>
    <t>합덕여자중학교</t>
  </si>
  <si>
    <t>합덕제철고등학교</t>
  </si>
  <si>
    <t>합덕중학교</t>
  </si>
  <si>
    <t>합덕초등학교</t>
  </si>
  <si>
    <t>합도초등학교</t>
  </si>
  <si>
    <t>호서고등학교</t>
  </si>
  <si>
    <t>호서중학교</t>
  </si>
  <si>
    <t>보령</t>
  </si>
  <si>
    <t>개화초등학교</t>
  </si>
  <si>
    <t>관창초등학교</t>
  </si>
  <si>
    <t>광명초등학교</t>
  </si>
  <si>
    <t>남포중학교</t>
  </si>
  <si>
    <t>남포초등학교</t>
  </si>
  <si>
    <t>대관초등학교</t>
  </si>
  <si>
    <t>대남초등학교</t>
  </si>
  <si>
    <t>대명중학교</t>
  </si>
  <si>
    <t>대창초등학교</t>
  </si>
  <si>
    <t>대천고등학교</t>
  </si>
  <si>
    <t>대천동대초등학교</t>
  </si>
  <si>
    <t>대천서중학교</t>
  </si>
  <si>
    <t>대천여자고등학교</t>
  </si>
  <si>
    <t>대천여자상업고등학교</t>
  </si>
  <si>
    <t>대천여자중학교</t>
  </si>
  <si>
    <t>대천중학교</t>
  </si>
  <si>
    <t>대천초등학교</t>
  </si>
  <si>
    <t>명천초등학교</t>
  </si>
  <si>
    <t>미산중학교</t>
  </si>
  <si>
    <t>미산초등학교</t>
  </si>
  <si>
    <t>보령정심학교</t>
  </si>
  <si>
    <t>보령중학교</t>
  </si>
  <si>
    <t>성주초등학교</t>
  </si>
  <si>
    <t>송학초등학교</t>
  </si>
  <si>
    <t>오천초등학교</t>
  </si>
  <si>
    <t>오천초등학교삽시분교장</t>
  </si>
  <si>
    <t>옥계초등학교</t>
  </si>
  <si>
    <t>웅천고등학교</t>
  </si>
  <si>
    <t>웅천중학교</t>
  </si>
  <si>
    <t>웅천초등학교</t>
  </si>
  <si>
    <t>월전초등학교</t>
  </si>
  <si>
    <t>주산산업고등학교</t>
  </si>
  <si>
    <t>주산초등학교</t>
  </si>
  <si>
    <t>주포초등학교</t>
  </si>
  <si>
    <t>천북중학교</t>
  </si>
  <si>
    <t>천북초등학교</t>
  </si>
  <si>
    <t>청라중학교</t>
  </si>
  <si>
    <t>청라초등학교</t>
  </si>
  <si>
    <t>청룡초등학교</t>
  </si>
  <si>
    <t>청룡초등학교장고분교장</t>
  </si>
  <si>
    <t>청보초등학교</t>
  </si>
  <si>
    <t>청소초등학교</t>
  </si>
  <si>
    <t>청파초등학교</t>
  </si>
  <si>
    <t>청파초등학교외연도분교장</t>
  </si>
  <si>
    <t>충남해양과학고등학교</t>
  </si>
  <si>
    <t>한내여자중학교</t>
  </si>
  <si>
    <t>한내초등학교</t>
  </si>
  <si>
    <t>부여</t>
  </si>
  <si>
    <t>구룡초등학교</t>
  </si>
  <si>
    <t>궁남초등학교</t>
  </si>
  <si>
    <t>규암초등학교</t>
  </si>
  <si>
    <t>내산초등학교</t>
  </si>
  <si>
    <t>대왕초등학교</t>
  </si>
  <si>
    <t>백강초등학교</t>
  </si>
  <si>
    <t>백제중학교</t>
  </si>
  <si>
    <t>백제초등학교</t>
  </si>
  <si>
    <t>부여고등학교</t>
  </si>
  <si>
    <t>부여여자고등학교</t>
  </si>
  <si>
    <t>부여여자중학교</t>
  </si>
  <si>
    <t>부여전자고등학교</t>
  </si>
  <si>
    <t>부여정보고등학교</t>
  </si>
  <si>
    <t>부여중학교</t>
  </si>
  <si>
    <t>부여초등학교</t>
  </si>
  <si>
    <t>석성중학교</t>
  </si>
  <si>
    <t>석성초등학교(석양초등학교 석성분교장)</t>
  </si>
  <si>
    <t>석양초등학교</t>
  </si>
  <si>
    <t>세도중학교</t>
  </si>
  <si>
    <t>세도초등학교</t>
  </si>
  <si>
    <t>송간초등학교</t>
  </si>
  <si>
    <t>양화초등학교</t>
  </si>
  <si>
    <t>옥산초등학교</t>
  </si>
  <si>
    <t>외산중학교</t>
  </si>
  <si>
    <t>외산초등학교</t>
  </si>
  <si>
    <t>용강중학교</t>
  </si>
  <si>
    <t>은산중학교</t>
  </si>
  <si>
    <t>은산초등학교</t>
  </si>
  <si>
    <t>임천중학교</t>
  </si>
  <si>
    <t>임천초등학교</t>
  </si>
  <si>
    <t>장암초등학교</t>
  </si>
  <si>
    <t>초촌초등학교</t>
  </si>
  <si>
    <t>한국식품마이스터고등학교</t>
  </si>
  <si>
    <t>합송초등학교</t>
  </si>
  <si>
    <t>홍산중학교</t>
  </si>
  <si>
    <t>홍산초등학교</t>
  </si>
  <si>
    <t>서산</t>
  </si>
  <si>
    <t>가사초등학교</t>
  </si>
  <si>
    <t>강당초등학교</t>
  </si>
  <si>
    <t>고북중학교</t>
  </si>
  <si>
    <t>고북초등학교</t>
  </si>
  <si>
    <t>대산고등학교</t>
  </si>
  <si>
    <t>대산중학교</t>
  </si>
  <si>
    <t>대산초등학교</t>
  </si>
  <si>
    <t>대철중학교</t>
  </si>
  <si>
    <t>동암초등학교</t>
  </si>
  <si>
    <t>명지초등학교</t>
  </si>
  <si>
    <t>부석고등학교</t>
  </si>
  <si>
    <t>부석중학교</t>
  </si>
  <si>
    <t>부석초등학교</t>
  </si>
  <si>
    <t>부석초등학교간월도분교장</t>
  </si>
  <si>
    <t>부성초등학교</t>
  </si>
  <si>
    <t>부춘초등학교</t>
  </si>
  <si>
    <t>서동초등학교</t>
  </si>
  <si>
    <t>서령고등학교</t>
  </si>
  <si>
    <t>서령중학교</t>
  </si>
  <si>
    <t>서령초등학교</t>
  </si>
  <si>
    <t>서림초등학교</t>
  </si>
  <si>
    <t>서산고등학교</t>
  </si>
  <si>
    <t>서산공업고등학교</t>
  </si>
  <si>
    <t>서산대진초등학교</t>
  </si>
  <si>
    <t>서산동문초등학교</t>
  </si>
  <si>
    <t>서산명지중학교</t>
  </si>
  <si>
    <t>서산부춘중학교</t>
  </si>
  <si>
    <t>서산서남초등학교</t>
  </si>
  <si>
    <t>서산석림중학교</t>
  </si>
  <si>
    <t>서산석림초등학교</t>
  </si>
  <si>
    <t>서산성봉학교</t>
  </si>
  <si>
    <t>서산여자중학교</t>
  </si>
  <si>
    <t>서산예천초등학교</t>
  </si>
  <si>
    <t>서산중앙고등학교</t>
  </si>
  <si>
    <t>서산중학교</t>
  </si>
  <si>
    <t>서산초등학교</t>
  </si>
  <si>
    <t>서일고등학교</t>
  </si>
  <si>
    <t>서일중학교</t>
  </si>
  <si>
    <t>성연중학교</t>
  </si>
  <si>
    <t>성연초등학교</t>
  </si>
  <si>
    <t>언암초등학교</t>
  </si>
  <si>
    <t>오산초등학교</t>
  </si>
  <si>
    <t>운산초등학교</t>
  </si>
  <si>
    <t>운신초등학교</t>
  </si>
  <si>
    <t>음암중학교</t>
  </si>
  <si>
    <t>음암초등학교</t>
  </si>
  <si>
    <t>인지중학교</t>
  </si>
  <si>
    <t>인지초등학교</t>
  </si>
  <si>
    <t>차동초등학교</t>
  </si>
  <si>
    <t>팔봉중학교</t>
  </si>
  <si>
    <t>팔봉초등학교</t>
  </si>
  <si>
    <t>학돌초등학교</t>
  </si>
  <si>
    <t>해미중학교</t>
  </si>
  <si>
    <t>해미초등학교</t>
  </si>
  <si>
    <t>서천</t>
  </si>
  <si>
    <t>공동체비전고등학교</t>
  </si>
  <si>
    <t>기산초등학교</t>
  </si>
  <si>
    <t>동강중학교</t>
  </si>
  <si>
    <t>마산초등학교</t>
  </si>
  <si>
    <t>부내초등학교</t>
  </si>
  <si>
    <t>비인중학교</t>
  </si>
  <si>
    <t>비인초등학교</t>
  </si>
  <si>
    <t>서도초등학교</t>
  </si>
  <si>
    <t>서림여자중학교</t>
  </si>
  <si>
    <t>서면중학교</t>
  </si>
  <si>
    <t>서면초등학교</t>
  </si>
  <si>
    <t>서천고등학교</t>
  </si>
  <si>
    <t>서천여자고등학교</t>
  </si>
  <si>
    <t>서천여자정보고등학교</t>
  </si>
  <si>
    <t>서천여자중학교</t>
  </si>
  <si>
    <t>서천중학교</t>
  </si>
  <si>
    <t>서천초등학교</t>
  </si>
  <si>
    <t>송림초등학교</t>
  </si>
  <si>
    <t>송석초등학교</t>
  </si>
  <si>
    <t>시초초등학교</t>
  </si>
  <si>
    <t>오성초등학교</t>
  </si>
  <si>
    <t>장항고등학교</t>
  </si>
  <si>
    <t>장항공업고등학교</t>
  </si>
  <si>
    <t>장항중앙초등학교</t>
  </si>
  <si>
    <t>장항중학교</t>
  </si>
  <si>
    <t>장항초등학교</t>
  </si>
  <si>
    <t>판교중학교</t>
  </si>
  <si>
    <t>한산중학교</t>
  </si>
  <si>
    <t>한산초등학교</t>
  </si>
  <si>
    <t>화양초등학교</t>
  </si>
  <si>
    <t>아산</t>
  </si>
  <si>
    <t>거산초등학교</t>
  </si>
  <si>
    <t>관대초등학교</t>
  </si>
  <si>
    <t>금곡초등학교</t>
  </si>
  <si>
    <t>금성초등학교(아산)</t>
  </si>
  <si>
    <t>남창초등학교</t>
  </si>
  <si>
    <t>도고온천초등학교</t>
  </si>
  <si>
    <t>도고중학교</t>
  </si>
  <si>
    <t>도고초등학교</t>
  </si>
  <si>
    <t>동덕초등학교</t>
  </si>
  <si>
    <t>둔포중학교</t>
  </si>
  <si>
    <t>둔포초등학교</t>
  </si>
  <si>
    <t>모산중학교</t>
  </si>
  <si>
    <t>모산초등학교</t>
  </si>
  <si>
    <t>배방고등학교</t>
  </si>
  <si>
    <t>배방초등학교</t>
  </si>
  <si>
    <t>산동초등학교</t>
  </si>
  <si>
    <t>선도중학교</t>
  </si>
  <si>
    <t>선장초등학교</t>
  </si>
  <si>
    <t>설화고등학교</t>
  </si>
  <si>
    <t>설화중학교</t>
  </si>
  <si>
    <t>송곡초등학교</t>
  </si>
  <si>
    <t>송남중학교</t>
  </si>
  <si>
    <t>송남초등학교</t>
  </si>
  <si>
    <t>신광초등학교</t>
  </si>
  <si>
    <t>신리초등학교(아산)</t>
  </si>
  <si>
    <t>신창중학교</t>
  </si>
  <si>
    <t>신창초등학교</t>
  </si>
  <si>
    <t>신화초등학교</t>
  </si>
  <si>
    <t>쌍룡초등학교</t>
  </si>
  <si>
    <t>아산갈산초등학교</t>
  </si>
  <si>
    <t>아산고등학교</t>
  </si>
  <si>
    <t>아산공수초등학교</t>
  </si>
  <si>
    <t>아산남성초등학교</t>
  </si>
  <si>
    <t>아산배방중학교</t>
  </si>
  <si>
    <t>아산북수초등학교</t>
  </si>
  <si>
    <t>아산성심학교</t>
  </si>
  <si>
    <t>아산세교초등학교</t>
  </si>
  <si>
    <t>아산스마트팩토리마이스터고등학교</t>
  </si>
  <si>
    <t>아산용연초등학교</t>
  </si>
  <si>
    <t>아산중학교</t>
  </si>
  <si>
    <t>아산초등학교</t>
  </si>
  <si>
    <t>아산테크노중학교</t>
  </si>
  <si>
    <t>여해학교</t>
  </si>
  <si>
    <t>연화초등학교</t>
  </si>
  <si>
    <t>염작초등학교</t>
  </si>
  <si>
    <t>염티초등학교</t>
  </si>
  <si>
    <t>영인중학교</t>
  </si>
  <si>
    <t>영인초등학교</t>
  </si>
  <si>
    <t>오목초등학교</t>
  </si>
  <si>
    <t>온양고등학교</t>
  </si>
  <si>
    <t>온양권곡초등학교</t>
  </si>
  <si>
    <t>온양동신초등학교</t>
  </si>
  <si>
    <t>온양신정중학교</t>
  </si>
  <si>
    <t>온양신정초등학교</t>
  </si>
  <si>
    <t>온양여자고등학교</t>
  </si>
  <si>
    <t>온양여자중학교</t>
  </si>
  <si>
    <t>온양온천초등학교</t>
  </si>
  <si>
    <t>온양용화고등학교</t>
  </si>
  <si>
    <t>온양용화중학교</t>
  </si>
  <si>
    <t>온양중앙초등학교</t>
  </si>
  <si>
    <t>온양중학교</t>
  </si>
  <si>
    <t>온양천도초등학교</t>
  </si>
  <si>
    <t>온양초등학교</t>
  </si>
  <si>
    <t>온양초사초등학교</t>
  </si>
  <si>
    <t>온양풍기초등학교</t>
  </si>
  <si>
    <t>온양한올고등학교</t>
  </si>
  <si>
    <t>온양한올중학교</t>
  </si>
  <si>
    <t>용화초등학교</t>
  </si>
  <si>
    <t>월랑초등학교</t>
  </si>
  <si>
    <t>음봉중학교</t>
  </si>
  <si>
    <t>음봉초등학교</t>
  </si>
  <si>
    <t>이순신고등학교</t>
  </si>
  <si>
    <t>인주중학교</t>
  </si>
  <si>
    <t>인주초등학교</t>
  </si>
  <si>
    <t>충남다사랑학교</t>
  </si>
  <si>
    <t>충남삼성고등학교</t>
  </si>
  <si>
    <t>충남외국어고등학교</t>
  </si>
  <si>
    <t>충무초등학교</t>
  </si>
  <si>
    <t>탕정미래초등학교</t>
  </si>
  <si>
    <t>탕정중학교</t>
  </si>
  <si>
    <t>탕정초등학교</t>
  </si>
  <si>
    <t>한들물빛중학교</t>
  </si>
  <si>
    <t>한들물빛초등학교</t>
  </si>
  <si>
    <t>예산</t>
  </si>
  <si>
    <t>고덕중학교</t>
  </si>
  <si>
    <t>고덕초등학교</t>
  </si>
  <si>
    <t>광시중학교</t>
  </si>
  <si>
    <t>구만초등학교</t>
  </si>
  <si>
    <t>금오초등학교</t>
  </si>
  <si>
    <t>대술중학교</t>
  </si>
  <si>
    <t>대술초등학교</t>
  </si>
  <si>
    <t>대흥고등학교</t>
  </si>
  <si>
    <t>대흥중학교</t>
  </si>
  <si>
    <t>대흥초등학교</t>
  </si>
  <si>
    <t>덕산고등학교</t>
  </si>
  <si>
    <t>덕산중학교</t>
  </si>
  <si>
    <t>덕산초등학교</t>
  </si>
  <si>
    <t>보성초등학교</t>
  </si>
  <si>
    <t>봉산초등학교</t>
  </si>
  <si>
    <t>삽교고등학교</t>
  </si>
  <si>
    <t>삽교중학교</t>
  </si>
  <si>
    <t>삽교초등학교</t>
  </si>
  <si>
    <t>수덕초등학교</t>
  </si>
  <si>
    <t>시량초등학교</t>
  </si>
  <si>
    <t>신례원초등학교</t>
  </si>
  <si>
    <t>신암중학교</t>
  </si>
  <si>
    <t>신암초등학교</t>
  </si>
  <si>
    <t>신양중학교</t>
  </si>
  <si>
    <t>신양초등학교</t>
  </si>
  <si>
    <t>양신초등학교</t>
  </si>
  <si>
    <t>예덕초등학교</t>
  </si>
  <si>
    <t>예산고등학교</t>
  </si>
  <si>
    <t>예산꿈빛학교</t>
  </si>
  <si>
    <t>예산여자고등학교</t>
  </si>
  <si>
    <t>예산여자중학교</t>
  </si>
  <si>
    <t>예산예화여자고등학교</t>
  </si>
  <si>
    <t>예산전자공업고등학교</t>
  </si>
  <si>
    <t>예산중앙초등학교</t>
  </si>
  <si>
    <t>예산중학교</t>
  </si>
  <si>
    <t>예산초등학교</t>
  </si>
  <si>
    <t>오가초등학교</t>
  </si>
  <si>
    <t>용동초등학교</t>
  </si>
  <si>
    <t>웅산초등학교</t>
  </si>
  <si>
    <t>응봉초등학교</t>
  </si>
  <si>
    <t>임성중학교</t>
  </si>
  <si>
    <t>조림초등학교</t>
  </si>
  <si>
    <t>평촌초등학교</t>
  </si>
  <si>
    <t>천안</t>
  </si>
  <si>
    <t>광덕초등학교</t>
  </si>
  <si>
    <t>광풍중학교</t>
  </si>
  <si>
    <t>나사렛새꿈학교</t>
  </si>
  <si>
    <t>대홍초등학교</t>
  </si>
  <si>
    <t>도장초등학교</t>
  </si>
  <si>
    <t>도하초등학교</t>
  </si>
  <si>
    <t>드림학교</t>
  </si>
  <si>
    <t>목천고등학교</t>
  </si>
  <si>
    <t>목천중학교</t>
  </si>
  <si>
    <t>목천초등학교</t>
  </si>
  <si>
    <t>미죽초등학교</t>
  </si>
  <si>
    <t>병천고등학교</t>
  </si>
  <si>
    <t>병천중학교</t>
  </si>
  <si>
    <t>병천초등학교</t>
  </si>
  <si>
    <t>보산원초등학교</t>
  </si>
  <si>
    <t>복자여자고등학교</t>
  </si>
  <si>
    <t>복자여자중학교</t>
  </si>
  <si>
    <t>북일고등학교</t>
  </si>
  <si>
    <t>북일여자고등학교</t>
  </si>
  <si>
    <t>삼은초등학교</t>
  </si>
  <si>
    <t>성거초등학교</t>
  </si>
  <si>
    <t>성남초등학교</t>
  </si>
  <si>
    <t>성신초등학교</t>
  </si>
  <si>
    <t>성환고등학교</t>
  </si>
  <si>
    <t>성환중학교</t>
  </si>
  <si>
    <t>성환초등학교</t>
  </si>
  <si>
    <t>소망초등학교</t>
  </si>
  <si>
    <t>수신초등학교</t>
  </si>
  <si>
    <t>신가초등학교</t>
  </si>
  <si>
    <t>신계초등학교</t>
  </si>
  <si>
    <t>신방초등학교</t>
  </si>
  <si>
    <t>신사초등학교</t>
  </si>
  <si>
    <t>신흥초등학교</t>
  </si>
  <si>
    <t>안서초등학교</t>
  </si>
  <si>
    <t>양당초등학교</t>
  </si>
  <si>
    <t>양대초등학교</t>
  </si>
  <si>
    <t>용정초등학교</t>
  </si>
  <si>
    <t>위례초등학교</t>
  </si>
  <si>
    <t>은석초등학교</t>
  </si>
  <si>
    <t>입장중학교</t>
  </si>
  <si>
    <t>입장초등학교</t>
  </si>
  <si>
    <t>직산초등학교</t>
  </si>
  <si>
    <t>천남중학교</t>
  </si>
  <si>
    <t>천동초등학교</t>
  </si>
  <si>
    <t>천성중학교</t>
  </si>
  <si>
    <t>천안가람초등학교</t>
  </si>
  <si>
    <t>천안가온중학교</t>
  </si>
  <si>
    <t>천안가온초등학교</t>
  </si>
  <si>
    <t>천안계광중학교</t>
  </si>
  <si>
    <t>천안고등학교</t>
  </si>
  <si>
    <t>천안공업고등학교</t>
  </si>
  <si>
    <t>천안구성초등학교</t>
  </si>
  <si>
    <t>천안남산초등학교</t>
  </si>
  <si>
    <t>천안늘해랑학교</t>
  </si>
  <si>
    <t>천안능수초등학교</t>
  </si>
  <si>
    <t>천안동성중학교</t>
  </si>
  <si>
    <t>천안동중학교</t>
  </si>
  <si>
    <t>천안두정고등학교</t>
  </si>
  <si>
    <t>천안두정중학교</t>
  </si>
  <si>
    <t>천안두정초등학교</t>
  </si>
  <si>
    <t>천안미라초등학교</t>
  </si>
  <si>
    <t>천안백석중학교</t>
  </si>
  <si>
    <t>천안백석초등학교</t>
  </si>
  <si>
    <t>천안봉명초등학교</t>
  </si>
  <si>
    <t>천안봉서중학교</t>
  </si>
  <si>
    <t>천안봉서초등학교</t>
  </si>
  <si>
    <t>천안부대초등학교</t>
  </si>
  <si>
    <t>천안부성중학교</t>
  </si>
  <si>
    <t>천안부성초등학교</t>
  </si>
  <si>
    <t>천안부영초등학교</t>
  </si>
  <si>
    <t>천안북중학교</t>
  </si>
  <si>
    <t>천안불당고등학교</t>
  </si>
  <si>
    <t>천안불당중학교</t>
  </si>
  <si>
    <t>천안불당초등학교</t>
  </si>
  <si>
    <t>천안불무중학교</t>
  </si>
  <si>
    <t>천안불무초등학교</t>
  </si>
  <si>
    <t>천안삼거리초등학교</t>
  </si>
  <si>
    <t>천안상업고등학교</t>
  </si>
  <si>
    <t>천안새샘중학교</t>
  </si>
  <si>
    <t>천안새샘초등학교</t>
  </si>
  <si>
    <t>천안서당초등학교</t>
  </si>
  <si>
    <t>천안서여자중학교</t>
  </si>
  <si>
    <t>천안서초등학교</t>
  </si>
  <si>
    <t>천안성성중학교</t>
  </si>
  <si>
    <t>천안성성초등학교</t>
  </si>
  <si>
    <t>천안성정중학교</t>
  </si>
  <si>
    <t>천안성정초등학교</t>
  </si>
  <si>
    <t>천안수곡초등학교</t>
  </si>
  <si>
    <t>천안신당고등학교</t>
  </si>
  <si>
    <t>천안신대초등학교</t>
  </si>
  <si>
    <t>천안신방중학교</t>
  </si>
  <si>
    <t>천안신부초등학교</t>
  </si>
  <si>
    <t>천안신안초등학교</t>
  </si>
  <si>
    <t>천안신용초등학교</t>
  </si>
  <si>
    <t>천안신촌초등학교</t>
  </si>
  <si>
    <t>천안쌍용고등학교</t>
  </si>
  <si>
    <t>천안쌍용중학교</t>
  </si>
  <si>
    <t>천안쌍용초등학교</t>
  </si>
  <si>
    <t>천안쌍정초등학교</t>
  </si>
  <si>
    <t>천안아름초등학교</t>
  </si>
  <si>
    <t>천안업성고등학교</t>
  </si>
  <si>
    <t>천안업성초등학교</t>
  </si>
  <si>
    <t>천안여자고등학교</t>
  </si>
  <si>
    <t>천안여자상업고등학교</t>
  </si>
  <si>
    <t>천안여자중학교</t>
  </si>
  <si>
    <t>천안오성고등학교</t>
  </si>
  <si>
    <t>천안오성중학교</t>
  </si>
  <si>
    <t>천안오성초등학교</t>
  </si>
  <si>
    <t>천안와촌초등학교</t>
  </si>
  <si>
    <t>천안용곡중학교</t>
  </si>
  <si>
    <t>천안용곡초등학교</t>
  </si>
  <si>
    <t>천안용소초등학교</t>
  </si>
  <si>
    <t>천안용암초등학교</t>
  </si>
  <si>
    <t>천안월봉고등학교</t>
  </si>
  <si>
    <t>천안월봉중학교</t>
  </si>
  <si>
    <t>천안월봉초등학교</t>
  </si>
  <si>
    <t>천안인애학교</t>
  </si>
  <si>
    <t>천안일봉초등학교</t>
  </si>
  <si>
    <t>천안제일고등학교</t>
  </si>
  <si>
    <t>천안중앙고등학교</t>
  </si>
  <si>
    <t>천안중학교</t>
  </si>
  <si>
    <t>천안차암초등학교</t>
  </si>
  <si>
    <t>천안청당초등학교</t>
  </si>
  <si>
    <t>천안청룡초등학교</t>
  </si>
  <si>
    <t>천안청수고등학교</t>
  </si>
  <si>
    <t>천안청수초등학교</t>
  </si>
  <si>
    <t>천안초등학교</t>
  </si>
  <si>
    <t>천안한들초등학교</t>
  </si>
  <si>
    <t>천안호수초등학교</t>
  </si>
  <si>
    <t>천안희망초등학교</t>
  </si>
  <si>
    <t>충남예술고등학교</t>
  </si>
  <si>
    <t>풍세초등학교</t>
  </si>
  <si>
    <t>행정초등학교</t>
  </si>
  <si>
    <t>환서중학교</t>
  </si>
  <si>
    <t>환서초등학교</t>
  </si>
  <si>
    <t>청양</t>
  </si>
  <si>
    <t>가남초등학교</t>
  </si>
  <si>
    <t>남양초등학교</t>
  </si>
  <si>
    <t>동영중학교</t>
  </si>
  <si>
    <t>목면초등학교</t>
  </si>
  <si>
    <t>수정초등학교</t>
  </si>
  <si>
    <t>운곡초등학교</t>
  </si>
  <si>
    <t>장평초등학교</t>
  </si>
  <si>
    <t>정산고등학교</t>
  </si>
  <si>
    <t>정산중학교</t>
  </si>
  <si>
    <t>정산초등학교</t>
  </si>
  <si>
    <t>청남초등학교</t>
  </si>
  <si>
    <t>청송초등학교</t>
  </si>
  <si>
    <t>청신여자중학교</t>
  </si>
  <si>
    <t>청양고등학교</t>
  </si>
  <si>
    <t>청양초등학교</t>
  </si>
  <si>
    <t>합천초등학교</t>
  </si>
  <si>
    <t>태안</t>
  </si>
  <si>
    <t>고남초등학교</t>
  </si>
  <si>
    <t>근흥중학교</t>
  </si>
  <si>
    <t>근흥초등학교</t>
  </si>
  <si>
    <t>남면중학교</t>
  </si>
  <si>
    <t>남면초등학교</t>
  </si>
  <si>
    <t>대기초등학교</t>
  </si>
  <si>
    <t>만리포고등학교</t>
  </si>
  <si>
    <t>만리포중학교</t>
  </si>
  <si>
    <t>모항초등학교</t>
  </si>
  <si>
    <t>방포초등학교</t>
  </si>
  <si>
    <t>백화초등학교</t>
  </si>
  <si>
    <t>삼성초등학교</t>
  </si>
  <si>
    <t>소원초등학교</t>
  </si>
  <si>
    <t>송암초등학교</t>
  </si>
  <si>
    <t>시목초등학교</t>
  </si>
  <si>
    <t>안면고등학교</t>
  </si>
  <si>
    <t>안면중학교</t>
  </si>
  <si>
    <t>안면초등학교</t>
  </si>
  <si>
    <t>안중초등학교</t>
  </si>
  <si>
    <t>원북초등학교</t>
  </si>
  <si>
    <t>원이중학교</t>
  </si>
  <si>
    <t>이원초등학교</t>
  </si>
  <si>
    <t>이원초등학교관동분교장</t>
  </si>
  <si>
    <t>창기초등학교</t>
  </si>
  <si>
    <t>태안고등학교</t>
  </si>
  <si>
    <t>태안여자고등학교</t>
  </si>
  <si>
    <t>태안여자중학교</t>
  </si>
  <si>
    <t>화동초등학교</t>
  </si>
  <si>
    <t>갈산고등학교</t>
  </si>
  <si>
    <t>갈산중학교</t>
  </si>
  <si>
    <t>갈산초등학교</t>
  </si>
  <si>
    <t>결성초등학교</t>
  </si>
  <si>
    <t>광천중학교</t>
  </si>
  <si>
    <t>광천초등학교</t>
  </si>
  <si>
    <t>구항초등학교</t>
  </si>
  <si>
    <t>금당초등학교</t>
  </si>
  <si>
    <t>금마중학교</t>
  </si>
  <si>
    <t>금마초등학교</t>
  </si>
  <si>
    <t>내포중학교</t>
  </si>
  <si>
    <t>내포초등학교</t>
  </si>
  <si>
    <t>대정초등학교</t>
  </si>
  <si>
    <t>배양초등학교</t>
  </si>
  <si>
    <t>서부초등학교</t>
  </si>
  <si>
    <t>서해삼육고등학교</t>
  </si>
  <si>
    <t>서해삼육중학교</t>
  </si>
  <si>
    <t>서해삼육초등학교</t>
  </si>
  <si>
    <t>신당초등학교</t>
  </si>
  <si>
    <t>용봉초등학교</t>
  </si>
  <si>
    <t>은하초등학교</t>
  </si>
  <si>
    <t>장곡초등학교</t>
  </si>
  <si>
    <t>충남드론항공고등학교</t>
  </si>
  <si>
    <t>풀무농업고등기술학교</t>
  </si>
  <si>
    <t>한국K-POP고등학교</t>
  </si>
  <si>
    <t>한울초등학교</t>
  </si>
  <si>
    <t>홍남초등학교</t>
  </si>
  <si>
    <t>홍동중학교</t>
  </si>
  <si>
    <t>홍동초등학교</t>
  </si>
  <si>
    <t>홍북초등학교</t>
  </si>
  <si>
    <t>홍성고등학교</t>
  </si>
  <si>
    <t>홍성공업고등학교</t>
  </si>
  <si>
    <t>홍성서부중학교</t>
  </si>
  <si>
    <t>홍성여자고등학교</t>
  </si>
  <si>
    <t>홍성여자중학교</t>
  </si>
  <si>
    <t>홍성중학교</t>
  </si>
  <si>
    <t>홍성초등학교</t>
  </si>
  <si>
    <t>홍주고등학교</t>
  </si>
  <si>
    <t>홍주중학교</t>
  </si>
  <si>
    <t>부리중학교</t>
    <phoneticPr fontId="1" type="noConversion"/>
  </si>
  <si>
    <t>채널중첩 도면이 연함</t>
    <phoneticPr fontId="1" type="noConversion"/>
  </si>
  <si>
    <t>가야곡중학교</t>
    <phoneticPr fontId="1" type="noConversion"/>
  </si>
  <si>
    <t>x</t>
    <phoneticPr fontId="1" type="noConversion"/>
  </si>
  <si>
    <t>서야고등학교</t>
    <phoneticPr fontId="1" type="noConversion"/>
  </si>
  <si>
    <t>이미지 오류</t>
    <phoneticPr fontId="1" type="noConversion"/>
  </si>
  <si>
    <t>정렬순번</t>
    <phoneticPr fontId="8" type="noConversion"/>
  </si>
  <si>
    <t>중첩수
평균값</t>
    <phoneticPr fontId="1" type="noConversion"/>
  </si>
  <si>
    <t>초등학교</t>
    <phoneticPr fontId="8" type="noConversion"/>
  </si>
  <si>
    <t>중학교</t>
    <phoneticPr fontId="8" type="noConversion"/>
  </si>
  <si>
    <t>고등학교</t>
    <phoneticPr fontId="8" type="noConversion"/>
  </si>
  <si>
    <t>특수학교</t>
    <phoneticPr fontId="8" type="noConversion"/>
  </si>
  <si>
    <t>당진</t>
    <phoneticPr fontId="1" type="noConversion"/>
  </si>
  <si>
    <t>중첩수 평균값</t>
    <phoneticPr fontId="1" type="noConversion"/>
  </si>
  <si>
    <t>학교수</t>
    <phoneticPr fontId="1" type="noConversion"/>
  </si>
  <si>
    <t>계룡</t>
    <phoneticPr fontId="1" type="noConversion"/>
  </si>
  <si>
    <t>공주</t>
    <phoneticPr fontId="1" type="noConversion"/>
  </si>
  <si>
    <t>금산</t>
    <phoneticPr fontId="1" type="noConversion"/>
  </si>
  <si>
    <t>논산</t>
    <phoneticPr fontId="1" type="noConversion"/>
  </si>
  <si>
    <t>부여</t>
    <phoneticPr fontId="1" type="noConversion"/>
  </si>
  <si>
    <t>보령</t>
    <phoneticPr fontId="1" type="noConversion"/>
  </si>
  <si>
    <t>서산</t>
    <phoneticPr fontId="1" type="noConversion"/>
  </si>
  <si>
    <t>서천</t>
    <phoneticPr fontId="1" type="noConversion"/>
  </si>
  <si>
    <t>아산</t>
    <phoneticPr fontId="1" type="noConversion"/>
  </si>
  <si>
    <t>예산</t>
    <phoneticPr fontId="1" type="noConversion"/>
  </si>
  <si>
    <t>천안</t>
    <phoneticPr fontId="1" type="noConversion"/>
  </si>
  <si>
    <t>청양</t>
    <phoneticPr fontId="1" type="noConversion"/>
  </si>
  <si>
    <t>태안</t>
    <phoneticPr fontId="1" type="noConversion"/>
  </si>
  <si>
    <t>홍성</t>
    <phoneticPr fontId="1" type="noConversion"/>
  </si>
  <si>
    <t>대상
학교수</t>
    <phoneticPr fontId="1" type="noConversion"/>
  </si>
  <si>
    <t>중첩 개선 필요 학교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</si>
</sst>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_);[Red]\(0.00\)"/>
    <numFmt numFmtId="177" formatCode="0_);[Red]\(0\)"/>
    <numFmt numFmtId="180" formatCode="#,##0.00_ 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rgb="FFC00000"/>
        <bgColor rgb="FFC00000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6" fillId="0" borderId="0"/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4" fillId="0" borderId="0" xfId="0" applyNumberFormat="1" applyFont="1" applyAlignment="1">
      <alignment vertical="center"/>
    </xf>
    <xf numFmtId="0" fontId="7" fillId="10" borderId="1" xfId="1" applyFont="1" applyFill="1" applyBorder="1" applyAlignment="1">
      <alignment vertical="top" wrapText="1"/>
    </xf>
    <xf numFmtId="0" fontId="3" fillId="0" borderId="3" xfId="0" applyFont="1" applyFill="1" applyBorder="1">
      <alignment vertical="center"/>
    </xf>
    <xf numFmtId="176" fontId="3" fillId="0" borderId="4" xfId="0" applyNumberFormat="1" applyFont="1" applyFill="1" applyBorder="1" applyAlignment="1">
      <alignment vertical="center"/>
    </xf>
    <xf numFmtId="176" fontId="5" fillId="0" borderId="4" xfId="0" applyNumberFormat="1" applyFont="1" applyFill="1" applyBorder="1" applyAlignment="1">
      <alignment vertical="center"/>
    </xf>
    <xf numFmtId="176" fontId="3" fillId="0" borderId="3" xfId="0" applyNumberFormat="1" applyFont="1" applyFill="1" applyBorder="1" applyAlignment="1">
      <alignment vertical="center"/>
    </xf>
    <xf numFmtId="176" fontId="3" fillId="0" borderId="8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9" fillId="0" borderId="0" xfId="2" applyFont="1" applyBorder="1" applyAlignment="1">
      <alignment horizontal="right" vertical="center"/>
    </xf>
    <xf numFmtId="0" fontId="0" fillId="0" borderId="0" xfId="0" applyAlignment="1">
      <alignment horizontal="center" vertical="top" wrapText="1"/>
    </xf>
    <xf numFmtId="0" fontId="9" fillId="0" borderId="0" xfId="2" applyFont="1" applyAlignment="1">
      <alignment horizontal="center" vertical="top" wrapText="1"/>
    </xf>
    <xf numFmtId="177" fontId="10" fillId="0" borderId="1" xfId="2" applyNumberFormat="1" applyFont="1" applyBorder="1" applyAlignment="1">
      <alignment horizontal="right" vertical="center"/>
    </xf>
    <xf numFmtId="176" fontId="10" fillId="0" borderId="1" xfId="2" applyNumberFormat="1" applyFont="1" applyBorder="1" applyAlignment="1">
      <alignment horizontal="right" vertical="center"/>
    </xf>
    <xf numFmtId="180" fontId="10" fillId="0" borderId="1" xfId="2" applyNumberFormat="1" applyFont="1" applyBorder="1" applyAlignment="1">
      <alignment vertical="center"/>
    </xf>
    <xf numFmtId="0" fontId="3" fillId="3" borderId="7" xfId="0" applyFont="1" applyFill="1" applyBorder="1" applyAlignment="1">
      <alignment horizontal="center" vertical="top" wrapText="1"/>
    </xf>
    <xf numFmtId="177" fontId="10" fillId="0" borderId="5" xfId="2" applyNumberFormat="1" applyFont="1" applyBorder="1" applyAlignment="1">
      <alignment horizontal="right" vertical="center"/>
    </xf>
    <xf numFmtId="176" fontId="10" fillId="0" borderId="5" xfId="2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180" fontId="10" fillId="0" borderId="1" xfId="2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1" fontId="10" fillId="0" borderId="1" xfId="2" applyNumberFormat="1" applyFont="1" applyBorder="1" applyAlignment="1">
      <alignment horizontal="right" vertical="center"/>
    </xf>
    <xf numFmtId="41" fontId="0" fillId="0" borderId="1" xfId="0" applyNumberFormat="1" applyBorder="1">
      <alignment vertical="center"/>
    </xf>
    <xf numFmtId="41" fontId="10" fillId="0" borderId="5" xfId="2" applyNumberFormat="1" applyFont="1" applyBorder="1" applyAlignment="1">
      <alignment horizontal="right" vertical="center"/>
    </xf>
    <xf numFmtId="41" fontId="11" fillId="11" borderId="1" xfId="2" applyNumberFormat="1" applyFont="1" applyFill="1" applyBorder="1" applyAlignment="1">
      <alignment vertical="center"/>
    </xf>
    <xf numFmtId="176" fontId="12" fillId="12" borderId="0" xfId="0" applyNumberFormat="1" applyFont="1" applyFill="1" applyAlignment="1">
      <alignment vertical="center"/>
    </xf>
    <xf numFmtId="0" fontId="3" fillId="13" borderId="3" xfId="0" applyFont="1" applyFill="1" applyBorder="1" applyAlignment="1">
      <alignment horizontal="center" vertical="top" wrapText="1"/>
    </xf>
    <xf numFmtId="41" fontId="10" fillId="14" borderId="1" xfId="2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3">
    <cellStyle name="표준" xfId="0" builtinId="0"/>
    <cellStyle name="표준 2" xfId="1" xr:uid="{14FCE826-5E59-4E38-85AE-F7085B91D9A3}"/>
    <cellStyle name="표준 3 3" xfId="2" xr:uid="{D2248302-2FCD-4588-97EF-BE954CCA42C7}"/>
  </cellStyles>
  <dxfs count="1">
    <dxf>
      <font>
        <b/>
        <i val="0"/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2</xdr:row>
      <xdr:rowOff>104777</xdr:rowOff>
    </xdr:from>
    <xdr:to>
      <xdr:col>14</xdr:col>
      <xdr:colOff>504825</xdr:colOff>
      <xdr:row>4</xdr:row>
      <xdr:rowOff>85725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B448918-4C49-4165-802F-4B09A915CB8E}"/>
            </a:ext>
          </a:extLst>
        </xdr:cNvPr>
        <xdr:cNvSpPr/>
      </xdr:nvSpPr>
      <xdr:spPr>
        <a:xfrm>
          <a:off x="10734675" y="552452"/>
          <a:ext cx="1038225" cy="40004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bIns="91440" rtlCol="0" anchor="t"/>
        <a:lstStyle/>
        <a:p>
          <a:pPr algn="ctr"/>
          <a:r>
            <a:rPr lang="ko-KR" altLang="en-US" sz="1100">
              <a:solidFill>
                <a:srgbClr val="C00000"/>
              </a:solidFill>
            </a:rPr>
            <a:t>중첩값 </a:t>
          </a:r>
          <a:r>
            <a:rPr lang="en-US" altLang="ko-KR" sz="1100">
              <a:solidFill>
                <a:srgbClr val="C00000"/>
              </a:solidFill>
            </a:rPr>
            <a:t>&gt; 3  </a:t>
          </a:r>
          <a:endParaRPr lang="ko-KR" alt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B73A-F1C3-4888-9FF6-499E41CDDECE}">
  <dimension ref="A1:M721"/>
  <sheetViews>
    <sheetView tabSelected="1" zoomScaleNormal="100" workbookViewId="0">
      <pane xSplit="5" ySplit="2" topLeftCell="F3" activePane="bottomRight" state="frozen"/>
      <selection pane="topRight" activeCell="H1" sqref="H1"/>
      <selection pane="bottomLeft" activeCell="A2" sqref="A2"/>
      <selection pane="bottomRight" activeCell="P28" sqref="P28"/>
    </sheetView>
  </sheetViews>
  <sheetFormatPr defaultColWidth="9.25" defaultRowHeight="16.5"/>
  <cols>
    <col min="1" max="1" width="7.375" style="10" bestFit="1" customWidth="1"/>
    <col min="2" max="2" width="9.375" style="6" bestFit="1" customWidth="1"/>
    <col min="3" max="3" width="9.25" style="1" bestFit="1" customWidth="1"/>
    <col min="4" max="4" width="38" style="6" bestFit="1" customWidth="1"/>
    <col min="5" max="5" width="8.625" style="11" customWidth="1"/>
    <col min="6" max="6" width="10" customWidth="1"/>
    <col min="7" max="7" width="7.625" customWidth="1"/>
    <col min="8" max="13" width="8.625" customWidth="1"/>
  </cols>
  <sheetData>
    <row r="1" spans="1:13">
      <c r="E1" s="39">
        <f>AVERAGE(E3:E721)</f>
        <v>2.5091426916037176</v>
      </c>
    </row>
    <row r="2" spans="1:13" s="22" customFormat="1" ht="35.25" customHeight="1">
      <c r="A2" s="12" t="s">
        <v>744</v>
      </c>
      <c r="B2" s="19" t="s">
        <v>1</v>
      </c>
      <c r="C2" s="19" t="s">
        <v>2</v>
      </c>
      <c r="D2" s="20" t="s">
        <v>3</v>
      </c>
      <c r="E2" s="19" t="s">
        <v>745</v>
      </c>
      <c r="G2" s="23"/>
      <c r="H2" s="20" t="s">
        <v>752</v>
      </c>
      <c r="I2" s="40" t="s">
        <v>751</v>
      </c>
      <c r="J2" s="19" t="s">
        <v>746</v>
      </c>
      <c r="K2" s="19" t="s">
        <v>747</v>
      </c>
      <c r="L2" s="19" t="s">
        <v>748</v>
      </c>
      <c r="M2" s="19" t="s">
        <v>749</v>
      </c>
    </row>
    <row r="3" spans="1:13">
      <c r="A3" s="42">
        <v>1</v>
      </c>
      <c r="B3" s="9" t="s">
        <v>4</v>
      </c>
      <c r="C3" s="4" t="s">
        <v>5</v>
      </c>
      <c r="D3" s="13" t="s">
        <v>6</v>
      </c>
      <c r="E3" s="14">
        <v>1.07</v>
      </c>
      <c r="G3" s="20" t="s">
        <v>753</v>
      </c>
      <c r="H3" s="24">
        <f>COUNTIF($B$3:$B$721, G3)</f>
        <v>10</v>
      </c>
      <c r="I3" s="25">
        <f>SUMIF($B$3:$B$721, G3, $E$3:$E$721) / COUNTIF($B$3:$B$721, G3)</f>
        <v>0.58600000000000008</v>
      </c>
      <c r="J3" s="26">
        <f>IFERROR(SUMIFS($E$3:$E$721, $B$3:$B$721, $G3, $C$3:$C$721, J$2) / COUNTIFS($B$3:$B$721, $G3, $C$3:$C$721, J$2), "")</f>
        <v>0.57999999999999996</v>
      </c>
      <c r="K3" s="26">
        <f>IFERROR(SUMIFS($E$3:$E$721, $B$3:$B$721, $G3, $C$3:$C$721, K$2) / COUNTIFS($B$3:$B$721, $G3, $C$3:$C$721, K$2), "")</f>
        <v>0.43333333333333335</v>
      </c>
      <c r="L3" s="26">
        <f>IFERROR(SUMIFS($E$3:$E$721, $B$3:$B$721, $G3, $C$3:$C$721, L$2) / COUNTIFS($B$3:$B$721, $G3, $C$3:$C$721, L$2), "")</f>
        <v>0.83000000000000007</v>
      </c>
      <c r="M3" s="32" t="str">
        <f>IFERROR(SUMIFS($E$3:$E$721, $B$3:$B$721, $G3, $C$3:$C$721, M$2) / COUNTIFS($B$3:$B$721, $G3, $C$3:$C$721, M$2), "")</f>
        <v/>
      </c>
    </row>
    <row r="4" spans="1:13">
      <c r="A4" s="42">
        <v>2</v>
      </c>
      <c r="B4" s="9" t="s">
        <v>4</v>
      </c>
      <c r="C4" s="3" t="s">
        <v>8</v>
      </c>
      <c r="D4" s="13" t="s">
        <v>9</v>
      </c>
      <c r="E4" s="14">
        <v>0</v>
      </c>
      <c r="G4" s="20" t="s">
        <v>754</v>
      </c>
      <c r="H4" s="24">
        <f t="shared" ref="H4:H17" si="0">COUNTIF($B$3:$B$721, G4)</f>
        <v>53</v>
      </c>
      <c r="I4" s="25">
        <f>SUMIF($B$3:$B$721, G4, $E$3:$E$721) / COUNTIF($B$3:$B$721, G4)</f>
        <v>2.4487570943396229</v>
      </c>
      <c r="J4" s="26">
        <f>IFERROR(SUMIFS($E$3:$E$721, $B$3:$B$721, $G4, $C$3:$C$721, J$2) / COUNTIFS($B$3:$B$721, $G4, $C$3:$C$721, J$2), "")</f>
        <v>2.0424225925925925</v>
      </c>
      <c r="K4" s="26">
        <f>IFERROR(SUMIFS($E$3:$E$721, $B$3:$B$721, $G4, $C$3:$C$721, K$2) / COUNTIFS($B$3:$B$721, $G4, $C$3:$C$721, K$2), "")</f>
        <v>2.7647857142857144</v>
      </c>
      <c r="L4" s="26">
        <f>IFERROR(SUMIFS($E$3:$E$721, $B$3:$B$721, $G4, $C$3:$C$721, L$2) / COUNTIFS($B$3:$B$721, $G4, $C$3:$C$721, L$2), "")</f>
        <v>3.3271715999999998</v>
      </c>
      <c r="M4" s="26">
        <f>IFERROR(SUMIFS($E$3:$E$721, $B$3:$B$721, $G4, $C$3:$C$721, M$2) / COUNTIFS($B$3:$B$721, $G4, $C$3:$C$721, M$2), "")</f>
        <v>1.33</v>
      </c>
    </row>
    <row r="5" spans="1:13">
      <c r="A5" s="42">
        <v>3</v>
      </c>
      <c r="B5" s="9" t="s">
        <v>4</v>
      </c>
      <c r="C5" s="2" t="s">
        <v>7</v>
      </c>
      <c r="D5" s="13" t="s">
        <v>10</v>
      </c>
      <c r="E5" s="14">
        <v>0</v>
      </c>
      <c r="G5" s="20" t="s">
        <v>755</v>
      </c>
      <c r="H5" s="24">
        <f t="shared" si="0"/>
        <v>29</v>
      </c>
      <c r="I5" s="25">
        <f>SUMIF($B$3:$B$721, G5, $E$3:$E$721) / COUNTIF($B$3:$B$721, G5)</f>
        <v>1.7953603448275863</v>
      </c>
      <c r="J5" s="26">
        <f>IFERROR(SUMIFS($E$3:$E$721, $B$3:$B$721, $G5, $C$3:$C$721, J$2) / COUNTIFS($B$3:$B$721, $G5, $C$3:$C$721, J$2), "")</f>
        <v>1.8978176470588237</v>
      </c>
      <c r="K5" s="26">
        <f>IFERROR(SUMIFS($E$3:$E$721, $B$3:$B$721, $G5, $C$3:$C$721, K$2) / COUNTIFS($B$3:$B$721, $G5, $C$3:$C$721, K$2), "")</f>
        <v>1.5252250000000001</v>
      </c>
      <c r="L5" s="26">
        <f>IFERROR(SUMIFS($E$3:$E$721, $B$3:$B$721, $G5, $C$3:$C$721, L$2) / COUNTIFS($B$3:$B$721, $G5, $C$3:$C$721, L$2), "")</f>
        <v>1.9001874999999999</v>
      </c>
      <c r="M5" s="32" t="str">
        <f>IFERROR(SUMIFS($E$3:$E$721, $B$3:$B$721, $G5, $C$3:$C$721, M$2) / COUNTIFS($B$3:$B$721, $G5, $C$3:$C$721, M$2), "")</f>
        <v/>
      </c>
    </row>
    <row r="6" spans="1:13">
      <c r="A6" s="42">
        <v>4</v>
      </c>
      <c r="B6" s="9" t="s">
        <v>4</v>
      </c>
      <c r="C6" s="2" t="s">
        <v>7</v>
      </c>
      <c r="D6" s="13" t="s">
        <v>11</v>
      </c>
      <c r="E6" s="14">
        <v>0.21</v>
      </c>
      <c r="G6" s="20" t="s">
        <v>756</v>
      </c>
      <c r="H6" s="24">
        <f t="shared" si="0"/>
        <v>59</v>
      </c>
      <c r="I6" s="25">
        <f>SUMIF($B$3:$B$721, G6, $E$3:$E$721) / COUNTIF($B$3:$B$721, G6)</f>
        <v>0.66476167796610175</v>
      </c>
      <c r="J6" s="26">
        <f>IFERROR(SUMIFS($E$3:$E$721, $B$3:$B$721, $G6, $C$3:$C$721, J$2) / COUNTIFS($B$3:$B$721, $G6, $C$3:$C$721, J$2), "")</f>
        <v>0.58300354838709667</v>
      </c>
      <c r="K6" s="26">
        <f>IFERROR(SUMIFS($E$3:$E$721, $B$3:$B$721, $G6, $C$3:$C$721, K$2) / COUNTIFS($B$3:$B$721, $G6, $C$3:$C$721, K$2), "")</f>
        <v>0.57456928571428567</v>
      </c>
      <c r="L6" s="26">
        <f>IFERROR(SUMIFS($E$3:$E$721, $B$3:$B$721, $G6, $C$3:$C$721, L$2) / COUNTIFS($B$3:$B$721, $G6, $C$3:$C$721, L$2), "")</f>
        <v>0.91762761538461546</v>
      </c>
      <c r="M6" s="26">
        <f>IFERROR(SUMIFS($E$3:$E$721, $B$3:$B$721, $G6, $C$3:$C$721, M$2) / COUNTIFS($B$3:$B$721, $G6, $C$3:$C$721, M$2), "")</f>
        <v>1.1747000000000001</v>
      </c>
    </row>
    <row r="7" spans="1:13">
      <c r="A7" s="42">
        <v>5</v>
      </c>
      <c r="B7" s="9" t="s">
        <v>4</v>
      </c>
      <c r="C7" s="2" t="s">
        <v>7</v>
      </c>
      <c r="D7" s="13" t="s">
        <v>12</v>
      </c>
      <c r="E7" s="14">
        <v>1.04</v>
      </c>
      <c r="G7" s="20" t="s">
        <v>750</v>
      </c>
      <c r="H7" s="24">
        <f t="shared" si="0"/>
        <v>57</v>
      </c>
      <c r="I7" s="25">
        <f>SUMIF($B$3:$B$721, G7, $E$3:$E$721) / COUNTIF($B$3:$B$721, G7)</f>
        <v>2.518094210526316</v>
      </c>
      <c r="J7" s="26">
        <f>IFERROR(SUMIFS($E$3:$E$721, $B$3:$B$721, $G7, $C$3:$C$721, J$2) / COUNTIFS($B$3:$B$721, $G7, $C$3:$C$721, J$2), "")</f>
        <v>2.4782206060606065</v>
      </c>
      <c r="K7" s="26">
        <f>IFERROR(SUMIFS($E$3:$E$721, $B$3:$B$721, $G7, $C$3:$C$721, K$2) / COUNTIFS($B$3:$B$721, $G7, $C$3:$C$721, K$2), "")</f>
        <v>2.1520193333333335</v>
      </c>
      <c r="L7" s="26">
        <f>IFERROR(SUMIFS($E$3:$E$721, $B$3:$B$721, $G7, $C$3:$C$721, L$2) / COUNTIFS($B$3:$B$721, $G7, $C$3:$C$721, L$2), "")</f>
        <v>3.4099750000000002</v>
      </c>
      <c r="M7" s="26">
        <f>IFERROR(SUMIFS($E$3:$E$721, $B$3:$B$721, $G7, $C$3:$C$721, M$2) / COUNTIFS($B$3:$B$721, $G7, $C$3:$C$721, M$2), "")</f>
        <v>2.19</v>
      </c>
    </row>
    <row r="8" spans="1:13">
      <c r="A8" s="42">
        <v>6</v>
      </c>
      <c r="B8" s="9" t="s">
        <v>4</v>
      </c>
      <c r="C8" s="3" t="s">
        <v>8</v>
      </c>
      <c r="D8" s="13" t="s">
        <v>13</v>
      </c>
      <c r="E8" s="14">
        <v>0.03</v>
      </c>
      <c r="G8" s="20" t="s">
        <v>757</v>
      </c>
      <c r="H8" s="24">
        <f t="shared" si="0"/>
        <v>36</v>
      </c>
      <c r="I8" s="25">
        <f>SUMIF($B$3:$B$721, G8, $E$3:$E$721) / COUNTIF($B$3:$B$721, G8)</f>
        <v>3.3044611111111113</v>
      </c>
      <c r="J8" s="26">
        <f>IFERROR(SUMIFS($E$3:$E$721, $B$3:$B$721, $G8, $C$3:$C$721, J$2) / COUNTIFS($B$3:$B$721, $G8, $C$3:$C$721, J$2), "")</f>
        <v>3.1762809523809521</v>
      </c>
      <c r="K8" s="26">
        <f>IFERROR(SUMIFS($E$3:$E$721, $B$3:$B$721, $G8, $C$3:$C$721, K$2) / COUNTIFS($B$3:$B$721, $G8, $C$3:$C$721, K$2), "")</f>
        <v>2.7913699999999997</v>
      </c>
      <c r="L8" s="26">
        <f>IFERROR(SUMIFS($E$3:$E$721, $B$3:$B$721, $G8, $C$3:$C$721, L$2) / COUNTIFS($B$3:$B$721, $G8, $C$3:$C$721, L$2), "")</f>
        <v>4.8689999999999998</v>
      </c>
      <c r="M8" s="26" t="str">
        <f>IFERROR(SUMIFS($E$3:$E$721, $B$3:$B$721, $G8, $C$3:$C$721, M$2) / COUNTIFS($B$3:$B$721, $G8, $C$3:$C$721, M$2), "")</f>
        <v/>
      </c>
    </row>
    <row r="9" spans="1:13">
      <c r="A9" s="42">
        <v>7</v>
      </c>
      <c r="B9" s="9" t="s">
        <v>4</v>
      </c>
      <c r="C9" s="2" t="s">
        <v>7</v>
      </c>
      <c r="D9" s="13" t="s">
        <v>14</v>
      </c>
      <c r="E9" s="14">
        <v>1</v>
      </c>
      <c r="G9" s="20" t="s">
        <v>758</v>
      </c>
      <c r="H9" s="24">
        <f t="shared" si="0"/>
        <v>47</v>
      </c>
      <c r="I9" s="25">
        <f>SUMIF($B$3:$B$721, G9, $E$3:$E$721) / COUNTIF($B$3:$B$721, G9)</f>
        <v>1.6169282978723409</v>
      </c>
      <c r="J9" s="26">
        <f>IFERROR(SUMIFS($E$3:$E$721, $B$3:$B$721, $G9, $C$3:$C$721, J$2) / COUNTIFS($B$3:$B$721, $G9, $C$3:$C$721, J$2), "")</f>
        <v>2.068809655172414</v>
      </c>
      <c r="K9" s="26">
        <f>IFERROR(SUMIFS($E$3:$E$721, $B$3:$B$721, $G9, $C$3:$C$721, K$2) / COUNTIFS($B$3:$B$721, $G9, $C$3:$C$721, K$2), "")</f>
        <v>0.94217272727272716</v>
      </c>
      <c r="L9" s="26">
        <f>IFERROR(SUMIFS($E$3:$E$721, $B$3:$B$721, $G9, $C$3:$C$721, L$2) / COUNTIFS($B$3:$B$721, $G9, $C$3:$C$721, L$2), "")</f>
        <v>0.93937500000000007</v>
      </c>
      <c r="M9" s="26">
        <f>IFERROR(SUMIFS($E$3:$E$721, $B$3:$B$721, $G9, $C$3:$C$721, M$2) / COUNTIFS($B$3:$B$721, $G9, $C$3:$C$721, M$2), "")</f>
        <v>0</v>
      </c>
    </row>
    <row r="10" spans="1:13">
      <c r="A10" s="42">
        <v>8</v>
      </c>
      <c r="B10" s="9" t="s">
        <v>4</v>
      </c>
      <c r="C10" s="4" t="s">
        <v>5</v>
      </c>
      <c r="D10" s="13" t="s">
        <v>15</v>
      </c>
      <c r="E10" s="14">
        <v>0.59</v>
      </c>
      <c r="G10" s="20" t="s">
        <v>759</v>
      </c>
      <c r="H10" s="24">
        <f t="shared" si="0"/>
        <v>54</v>
      </c>
      <c r="I10" s="25">
        <f>SUMIF($B$3:$B$721, G10, $E$3:$E$721) / COUNTIF($B$3:$B$721, G10)</f>
        <v>4.7238561894137385</v>
      </c>
      <c r="J10" s="26">
        <f>IFERROR(SUMIFS($E$3:$E$721, $B$3:$B$721, $G10, $C$3:$C$721, J$2) / COUNTIFS($B$3:$B$721, $G10, $C$3:$C$721, J$2), "")</f>
        <v>4.5621378571428579</v>
      </c>
      <c r="K10" s="26">
        <f>IFERROR(SUMIFS($E$3:$E$721, $B$3:$B$721, $G10, $C$3:$C$721, K$2) / COUNTIFS($B$3:$B$721, $G10, $C$3:$C$721, K$2), "")</f>
        <v>4.9090812500000007</v>
      </c>
      <c r="L10" s="26">
        <f>IFERROR(SUMIFS($E$3:$E$721, $B$3:$B$721, $G10, $C$3:$C$721, L$2) / COUNTIFS($B$3:$B$721, $G10, $C$3:$C$721, L$2), "")</f>
        <v>4.9350712162937453</v>
      </c>
      <c r="M10" s="26">
        <f>IFERROR(SUMIFS($E$3:$E$721, $B$3:$B$721, $G10, $C$3:$C$721, M$2) / COUNTIFS($B$3:$B$721, $G10, $C$3:$C$721, M$2), "")</f>
        <v>5.1333000000000002</v>
      </c>
    </row>
    <row r="11" spans="1:13">
      <c r="A11" s="42">
        <v>9</v>
      </c>
      <c r="B11" s="9" t="s">
        <v>4</v>
      </c>
      <c r="C11" s="3" t="s">
        <v>8</v>
      </c>
      <c r="D11" s="13" t="s">
        <v>16</v>
      </c>
      <c r="E11" s="14">
        <v>1.27</v>
      </c>
      <c r="G11" s="20" t="s">
        <v>760</v>
      </c>
      <c r="H11" s="24">
        <f t="shared" si="0"/>
        <v>30</v>
      </c>
      <c r="I11" s="25">
        <f>SUMIF($B$3:$B$721, G11, $E$3:$E$721) / COUNTIF($B$3:$B$721, G11)</f>
        <v>4.1726385666666657</v>
      </c>
      <c r="J11" s="26">
        <f>IFERROR(SUMIFS($E$3:$E$721, $B$3:$B$721, $G11, $C$3:$C$721, J$2) / COUNTIFS($B$3:$B$721, $G11, $C$3:$C$721, J$2), "")</f>
        <v>3.9562466666666665</v>
      </c>
      <c r="K11" s="26">
        <f>IFERROR(SUMIFS($E$3:$E$721, $B$3:$B$721, $G11, $C$3:$C$721, K$2) / COUNTIFS($B$3:$B$721, $G11, $C$3:$C$721, K$2), "")</f>
        <v>4.1433285555555557</v>
      </c>
      <c r="L11" s="26">
        <f>IFERROR(SUMIFS($E$3:$E$721, $B$3:$B$721, $G11, $C$3:$C$721, L$2) / COUNTIFS($B$3:$B$721, $G11, $C$3:$C$721, L$2), "")</f>
        <v>4.7575833333333337</v>
      </c>
      <c r="M11" s="32" t="str">
        <f>IFERROR(SUMIFS($E$3:$E$721, $B$3:$B$721, $G11, $C$3:$C$721, M$2) / COUNTIFS($B$3:$B$721, $G11, $C$3:$C$721, M$2), "")</f>
        <v/>
      </c>
    </row>
    <row r="12" spans="1:13">
      <c r="A12" s="42">
        <v>10</v>
      </c>
      <c r="B12" s="9" t="s">
        <v>4</v>
      </c>
      <c r="C12" s="2" t="s">
        <v>7</v>
      </c>
      <c r="D12" s="13" t="s">
        <v>17</v>
      </c>
      <c r="E12" s="14">
        <v>0.65</v>
      </c>
      <c r="G12" s="20" t="s">
        <v>761</v>
      </c>
      <c r="H12" s="24">
        <f t="shared" si="0"/>
        <v>83</v>
      </c>
      <c r="I12" s="25">
        <f>SUMIF($B$3:$B$721, G12, $E$3:$E$721) / COUNTIF($B$3:$B$721, G12)</f>
        <v>1.7280087743170598</v>
      </c>
      <c r="J12" s="26">
        <f>IFERROR(SUMIFS($E$3:$E$721, $B$3:$B$721, $G12, $C$3:$C$721, J$2) / COUNTIFS($B$3:$B$721, $G12, $C$3:$C$721, J$2), "")</f>
        <v>1.8178602345768289</v>
      </c>
      <c r="K12" s="26">
        <f>IFERROR(SUMIFS($E$3:$E$721, $B$3:$B$721, $G12, $C$3:$C$721, K$2) / COUNTIFS($B$3:$B$721, $G12, $C$3:$C$721, K$2), "")</f>
        <v>1.4873598852941179</v>
      </c>
      <c r="L12" s="26">
        <f>IFERROR(SUMIFS($E$3:$E$721, $B$3:$B$721, $G12, $C$3:$C$721, L$2) / COUNTIFS($B$3:$B$721, $G12, $C$3:$C$721, L$2), "")</f>
        <v>2.1063283698335415</v>
      </c>
      <c r="M12" s="26">
        <f>IFERROR(SUMIFS($E$3:$E$721, $B$3:$B$721, $G12, $C$3:$C$721, M$2) / COUNTIFS($B$3:$B$721, $G12, $C$3:$C$721, M$2), "")</f>
        <v>0.47758900000000004</v>
      </c>
    </row>
    <row r="13" spans="1:13">
      <c r="A13" s="42">
        <v>11</v>
      </c>
      <c r="B13" s="9" t="s">
        <v>18</v>
      </c>
      <c r="C13" s="3" t="s">
        <v>8</v>
      </c>
      <c r="D13" s="13" t="s">
        <v>19</v>
      </c>
      <c r="E13" s="14">
        <v>0.34</v>
      </c>
      <c r="G13" s="20" t="s">
        <v>762</v>
      </c>
      <c r="H13" s="24">
        <f t="shared" si="0"/>
        <v>43</v>
      </c>
      <c r="I13" s="25">
        <f>SUMIF($B$3:$B$721, G13, $E$3:$E$721) / COUNTIF($B$3:$B$721, G13)</f>
        <v>3.5095348837209297</v>
      </c>
      <c r="J13" s="26">
        <f>IFERROR(SUMIFS($E$3:$E$721, $B$3:$B$721, $G13, $C$3:$C$721, J$2) / COUNTIFS($B$3:$B$721, $G13, $C$3:$C$721, J$2), "")</f>
        <v>3.4762499999999998</v>
      </c>
      <c r="K13" s="26">
        <f>IFERROR(SUMIFS($E$3:$E$721, $B$3:$B$721, $G13, $C$3:$C$721, K$2) / COUNTIFS($B$3:$B$721, $G13, $C$3:$C$721, K$2), "")</f>
        <v>2.852727272727273</v>
      </c>
      <c r="L13" s="26">
        <f>IFERROR(SUMIFS($E$3:$E$721, $B$3:$B$721, $G13, $C$3:$C$721, L$2) / COUNTIFS($B$3:$B$721, $G13, $C$3:$C$721, L$2), "")</f>
        <v>4.6885714285714286</v>
      </c>
      <c r="M13" s="26">
        <f>IFERROR(SUMIFS($E$3:$E$721, $B$3:$B$721, $G13, $C$3:$C$721, M$2) / COUNTIFS($B$3:$B$721, $G13, $C$3:$C$721, M$2), "")</f>
        <v>3.28</v>
      </c>
    </row>
    <row r="14" spans="1:13">
      <c r="A14" s="42">
        <v>12</v>
      </c>
      <c r="B14" s="9" t="s">
        <v>18</v>
      </c>
      <c r="C14" s="2" t="s">
        <v>7</v>
      </c>
      <c r="D14" s="13" t="s">
        <v>20</v>
      </c>
      <c r="E14" s="14">
        <v>1.27</v>
      </c>
      <c r="G14" s="20" t="s">
        <v>763</v>
      </c>
      <c r="H14" s="24">
        <f t="shared" si="0"/>
        <v>135</v>
      </c>
      <c r="I14" s="25">
        <f>SUMIF($B$3:$B$721, G14, $E$3:$E$721) / COUNTIF($B$3:$B$721, G14)</f>
        <v>2.3444947407407426</v>
      </c>
      <c r="J14" s="26">
        <f>IFERROR(SUMIFS($E$3:$E$721, $B$3:$B$721, $G14, $C$3:$C$721, J$2) / COUNTIFS($B$3:$B$721, $G14, $C$3:$C$721, J$2), "")</f>
        <v>2.2177023076923081</v>
      </c>
      <c r="K14" s="26">
        <f>IFERROR(SUMIFS($E$3:$E$721, $B$3:$B$721, $G14, $C$3:$C$721, K$2) / COUNTIFS($B$3:$B$721, $G14, $C$3:$C$721, K$2), "")</f>
        <v>2.7584164516129035</v>
      </c>
      <c r="L14" s="26">
        <f>IFERROR(SUMIFS($E$3:$E$721, $B$3:$B$721, $G14, $C$3:$C$721, L$2) / COUNTIFS($B$3:$B$721, $G14, $C$3:$C$721, L$2), "")</f>
        <v>2.2172772727272725</v>
      </c>
      <c r="M14" s="26">
        <f>IFERROR(SUMIFS($E$3:$E$721, $B$3:$B$721, $G14, $C$3:$C$721, M$2) / COUNTIFS($B$3:$B$721, $G14, $C$3:$C$721, M$2), "")</f>
        <v>2.3087500000000003</v>
      </c>
    </row>
    <row r="15" spans="1:13">
      <c r="A15" s="42">
        <v>13</v>
      </c>
      <c r="B15" s="9" t="s">
        <v>18</v>
      </c>
      <c r="C15" s="2" t="s">
        <v>7</v>
      </c>
      <c r="D15" s="13" t="s">
        <v>21</v>
      </c>
      <c r="E15" s="14">
        <v>0.94</v>
      </c>
      <c r="G15" s="20" t="s">
        <v>764</v>
      </c>
      <c r="H15" s="24">
        <f t="shared" si="0"/>
        <v>16</v>
      </c>
      <c r="I15" s="25">
        <f>SUMIF($B$3:$B$721, G15, $E$3:$E$721) / COUNTIF($B$3:$B$721, G15)</f>
        <v>0.61812500000000004</v>
      </c>
      <c r="J15" s="26">
        <f>IFERROR(SUMIFS($E$3:$E$721, $B$3:$B$721, $G15, $C$3:$C$721, J$2) / COUNTIFS($B$3:$B$721, $G15, $C$3:$C$721, J$2), "")</f>
        <v>0.54999999999999993</v>
      </c>
      <c r="K15" s="26">
        <f>IFERROR(SUMIFS($E$3:$E$721, $B$3:$B$721, $G15, $C$3:$C$721, K$2) / COUNTIFS($B$3:$B$721, $G15, $C$3:$C$721, K$2), "")</f>
        <v>0.83333333333333337</v>
      </c>
      <c r="L15" s="26">
        <f>IFERROR(SUMIFS($E$3:$E$721, $B$3:$B$721, $G15, $C$3:$C$721, L$2) / COUNTIFS($B$3:$B$721, $G15, $C$3:$C$721, L$2), "")</f>
        <v>0.67</v>
      </c>
      <c r="M15" s="32" t="str">
        <f>IFERROR(SUMIFS($E$3:$E$721, $B$3:$B$721, $G15, $C$3:$C$721, M$2) / COUNTIFS($B$3:$B$721, $G15, $C$3:$C$721, M$2), "")</f>
        <v/>
      </c>
    </row>
    <row r="16" spans="1:13">
      <c r="A16" s="42">
        <v>14</v>
      </c>
      <c r="B16" s="9" t="s">
        <v>18</v>
      </c>
      <c r="C16" s="4" t="s">
        <v>5</v>
      </c>
      <c r="D16" s="13" t="s">
        <v>22</v>
      </c>
      <c r="E16" s="14">
        <v>6.44</v>
      </c>
      <c r="G16" s="27" t="s">
        <v>765</v>
      </c>
      <c r="H16" s="28">
        <f t="shared" si="0"/>
        <v>28</v>
      </c>
      <c r="I16" s="29">
        <f>SUMIF($B$3:$B$721, G16, $E$3:$E$721) / COUNTIF($B$3:$B$721, G16)</f>
        <v>2.9400000000000004</v>
      </c>
      <c r="J16" s="26">
        <f>IFERROR(SUMIFS($E$3:$E$721, $B$3:$B$721, $G16, $C$3:$C$721, J$2) / COUNTIFS($B$3:$B$721, $G16, $C$3:$C$721, J$2), "")</f>
        <v>2.6366666666666672</v>
      </c>
      <c r="K16" s="26">
        <f>IFERROR(SUMIFS($E$3:$E$721, $B$3:$B$721, $G16, $C$3:$C$721, K$2) / COUNTIFS($B$3:$B$721, $G16, $C$3:$C$721, K$2), "")</f>
        <v>1.781666666666667</v>
      </c>
      <c r="L16" s="26">
        <f>IFERROR(SUMIFS($E$3:$E$721, $B$3:$B$721, $G16, $C$3:$C$721, L$2) / COUNTIFS($B$3:$B$721, $G16, $C$3:$C$721, L$2), "")</f>
        <v>6.0425000000000004</v>
      </c>
      <c r="M16" s="32" t="str">
        <f>IFERROR(SUMIFS($E$3:$E$721, $B$3:$B$721, $G16, $C$3:$C$721, M$2) / COUNTIFS($B$3:$B$721, $G16, $C$3:$C$721, M$2), "")</f>
        <v/>
      </c>
    </row>
    <row r="17" spans="1:13">
      <c r="A17" s="42">
        <v>15</v>
      </c>
      <c r="B17" s="9" t="s">
        <v>18</v>
      </c>
      <c r="C17" s="2" t="s">
        <v>7</v>
      </c>
      <c r="D17" s="13" t="s">
        <v>23</v>
      </c>
      <c r="E17" s="14">
        <v>4.83</v>
      </c>
      <c r="G17" s="30" t="s">
        <v>766</v>
      </c>
      <c r="H17" s="24">
        <f t="shared" si="0"/>
        <v>39</v>
      </c>
      <c r="I17" s="25">
        <f>SUMIF($B$3:$B$721, G17, $E$3:$E$721) / COUNTIF($B$3:$B$721, G17)</f>
        <v>3.7256410256410257</v>
      </c>
      <c r="J17" s="26">
        <f>IFERROR(SUMIFS($E$3:$E$721, $B$3:$B$721, $G17, $C$3:$C$721, J$2) / COUNTIFS($B$3:$B$721, $G17, $C$3:$C$721, J$2), "")</f>
        <v>3.2024999999999997</v>
      </c>
      <c r="K17" s="26">
        <f>IFERROR(SUMIFS($E$3:$E$721, $B$3:$B$721, $G17, $C$3:$C$721, K$2) / COUNTIFS($B$3:$B$721, $G17, $C$3:$C$721, K$2), "")</f>
        <v>3.72</v>
      </c>
      <c r="L17" s="26">
        <f>IFERROR(SUMIFS($E$3:$E$721, $B$3:$B$721, $G17, $C$3:$C$721, L$2) / COUNTIFS($B$3:$B$721, $G17, $C$3:$C$721, L$2), "")</f>
        <v>4.8944444444444457</v>
      </c>
      <c r="M17" s="32" t="str">
        <f>IFERROR(SUMIFS($E$3:$E$721, $B$3:$B$721, $G17, $C$3:$C$721, M$2) / COUNTIFS($B$3:$B$721, $G17, $C$3:$C$721, M$2), "")</f>
        <v/>
      </c>
    </row>
    <row r="18" spans="1:13">
      <c r="A18" s="42">
        <v>16</v>
      </c>
      <c r="B18" s="9" t="s">
        <v>18</v>
      </c>
      <c r="C18" s="2" t="s">
        <v>7</v>
      </c>
      <c r="D18" s="13" t="s">
        <v>24</v>
      </c>
      <c r="E18" s="14">
        <v>0.57899999999999996</v>
      </c>
      <c r="G18" s="21"/>
      <c r="H18" s="21"/>
      <c r="I18" s="21"/>
    </row>
    <row r="19" spans="1:13" ht="27" customHeight="1">
      <c r="A19" s="42">
        <v>17</v>
      </c>
      <c r="B19" s="9" t="s">
        <v>18</v>
      </c>
      <c r="C19" s="4" t="s">
        <v>5</v>
      </c>
      <c r="D19" s="13" t="s">
        <v>25</v>
      </c>
      <c r="E19" s="14">
        <v>3.4037999999999999</v>
      </c>
      <c r="G19" s="33" t="s">
        <v>768</v>
      </c>
      <c r="H19" s="33"/>
      <c r="I19" s="34"/>
      <c r="J19" s="38">
        <f>SUBTOTAL(109,J21:J35)</f>
        <v>122</v>
      </c>
      <c r="K19" s="38">
        <f t="shared" ref="K19:M19" si="1">SUBTOTAL(109,K21:K35)</f>
        <v>0</v>
      </c>
      <c r="L19" s="38">
        <f t="shared" si="1"/>
        <v>0</v>
      </c>
      <c r="M19" s="38">
        <f t="shared" si="1"/>
        <v>0</v>
      </c>
    </row>
    <row r="20" spans="1:13" ht="33">
      <c r="A20" s="42">
        <v>18</v>
      </c>
      <c r="B20" s="9" t="s">
        <v>18</v>
      </c>
      <c r="C20" s="2" t="s">
        <v>7</v>
      </c>
      <c r="D20" s="13" t="s">
        <v>26</v>
      </c>
      <c r="E20" s="14">
        <v>2.1</v>
      </c>
      <c r="H20" s="20" t="s">
        <v>752</v>
      </c>
      <c r="I20" s="40" t="s">
        <v>767</v>
      </c>
      <c r="J20" s="31" t="s">
        <v>746</v>
      </c>
      <c r="K20" s="31" t="s">
        <v>747</v>
      </c>
      <c r="L20" s="31" t="s">
        <v>748</v>
      </c>
      <c r="M20" s="31" t="s">
        <v>749</v>
      </c>
    </row>
    <row r="21" spans="1:13">
      <c r="A21" s="42">
        <v>19</v>
      </c>
      <c r="B21" s="9" t="s">
        <v>18</v>
      </c>
      <c r="C21" s="4" t="s">
        <v>5</v>
      </c>
      <c r="D21" s="13" t="s">
        <v>27</v>
      </c>
      <c r="E21" s="14">
        <v>6.12</v>
      </c>
      <c r="G21" s="20" t="s">
        <v>753</v>
      </c>
      <c r="H21" s="35">
        <f>COUNTIF($B$3:$B$721, G21)</f>
        <v>10</v>
      </c>
      <c r="I21" s="41">
        <f>COUNTIFS($B$3:$B$721, G3, $E$3:$E$721, "&gt;3")</f>
        <v>0</v>
      </c>
      <c r="J21" s="36">
        <f>COUNTIFS($B$3:$B$721, G3, $C$3:$C$721, J$2, $E$3:$E$721, "&gt;3")</f>
        <v>0</v>
      </c>
      <c r="K21" s="36">
        <f>COUNTIFS($B$3:$B$721, H3, $C$3:$C$721, K$2, $E$3:$E$721, "&gt;3")</f>
        <v>0</v>
      </c>
      <c r="L21" s="36">
        <f>COUNTIFS($B$3:$B$721, I3, $C$3:$C$721, L$2, $E$3:$E$721, "&gt;3")</f>
        <v>0</v>
      </c>
      <c r="M21" s="36">
        <f>COUNTIFS($B$3:$B$721, J3, $C$3:$C$721, M$2, $E$3:$E$721, "&gt;3")</f>
        <v>0</v>
      </c>
    </row>
    <row r="22" spans="1:13">
      <c r="A22" s="42">
        <v>20</v>
      </c>
      <c r="B22" s="9" t="s">
        <v>18</v>
      </c>
      <c r="C22" s="2" t="s">
        <v>7</v>
      </c>
      <c r="D22" s="13" t="s">
        <v>28</v>
      </c>
      <c r="E22" s="14">
        <v>0</v>
      </c>
      <c r="G22" s="20" t="s">
        <v>754</v>
      </c>
      <c r="H22" s="35">
        <f t="shared" ref="H22:H35" si="2">COUNTIF($B$3:$B$721, G22)</f>
        <v>53</v>
      </c>
      <c r="I22" s="41">
        <f>COUNTIFS($B$3:$B$721, G4, $E$3:$E$721, "&gt;3")</f>
        <v>18</v>
      </c>
      <c r="J22" s="36">
        <f>COUNTIFS($B$3:$B$721, G4, $C$3:$C$721, J$2, $E$3:$E$721, "&gt;3")</f>
        <v>6</v>
      </c>
      <c r="K22" s="36">
        <f>COUNTIFS($B$3:$B$721, H4, $C$3:$C$721, K$2, $E$3:$E$721, "&gt;3")</f>
        <v>0</v>
      </c>
      <c r="L22" s="36">
        <f>COUNTIFS($B$3:$B$721, I4, $C$3:$C$721, L$2, $E$3:$E$721, "&gt;3")</f>
        <v>0</v>
      </c>
      <c r="M22" s="36">
        <f>COUNTIFS($B$3:$B$721, J4, $C$3:$C$721, M$2, $E$3:$E$721, "&gt;3")</f>
        <v>0</v>
      </c>
    </row>
    <row r="23" spans="1:13">
      <c r="A23" s="42">
        <v>21</v>
      </c>
      <c r="B23" s="9" t="s">
        <v>18</v>
      </c>
      <c r="C23" s="3" t="s">
        <v>8</v>
      </c>
      <c r="D23" s="13" t="s">
        <v>29</v>
      </c>
      <c r="E23" s="14">
        <v>4.34</v>
      </c>
      <c r="G23" s="20" t="s">
        <v>755</v>
      </c>
      <c r="H23" s="35">
        <f t="shared" si="2"/>
        <v>29</v>
      </c>
      <c r="I23" s="41">
        <f>COUNTIFS($B$3:$B$721, G5, $E$3:$E$721, "&gt;3")</f>
        <v>4</v>
      </c>
      <c r="J23" s="36">
        <f>COUNTIFS($B$3:$B$721, G5, $C$3:$C$721, J$2, $E$3:$E$721, "&gt;3")</f>
        <v>3</v>
      </c>
      <c r="K23" s="36">
        <f>COUNTIFS($B$3:$B$721, H5, $C$3:$C$721, K$2, $E$3:$E$721, "&gt;3")</f>
        <v>0</v>
      </c>
      <c r="L23" s="36">
        <f>COUNTIFS($B$3:$B$721, I5, $C$3:$C$721, L$2, $E$3:$E$721, "&gt;3")</f>
        <v>0</v>
      </c>
      <c r="M23" s="36">
        <f>COUNTIFS($B$3:$B$721, J5, $C$3:$C$721, M$2, $E$3:$E$721, "&gt;3")</f>
        <v>0</v>
      </c>
    </row>
    <row r="24" spans="1:13">
      <c r="A24" s="42">
        <v>22</v>
      </c>
      <c r="B24" s="9" t="s">
        <v>18</v>
      </c>
      <c r="C24" s="4" t="s">
        <v>5</v>
      </c>
      <c r="D24" s="13" t="s">
        <v>30</v>
      </c>
      <c r="E24" s="14">
        <v>6.8235000000000001</v>
      </c>
      <c r="G24" s="20" t="s">
        <v>756</v>
      </c>
      <c r="H24" s="35">
        <f t="shared" si="2"/>
        <v>59</v>
      </c>
      <c r="I24" s="41">
        <f>COUNTIFS($B$3:$B$721, G6, $E$3:$E$721, "&gt;3")</f>
        <v>2</v>
      </c>
      <c r="J24" s="36">
        <f>COUNTIFS($B$3:$B$721, G6, $C$3:$C$721, J$2, $E$3:$E$721, "&gt;3")</f>
        <v>0</v>
      </c>
      <c r="K24" s="36">
        <f>COUNTIFS($B$3:$B$721, H6, $C$3:$C$721, K$2, $E$3:$E$721, "&gt;3")</f>
        <v>0</v>
      </c>
      <c r="L24" s="36">
        <f>COUNTIFS($B$3:$B$721, I6, $C$3:$C$721, L$2, $E$3:$E$721, "&gt;3")</f>
        <v>0</v>
      </c>
      <c r="M24" s="36">
        <f>COUNTIFS($B$3:$B$721, J6, $C$3:$C$721, M$2, $E$3:$E$721, "&gt;3")</f>
        <v>0</v>
      </c>
    </row>
    <row r="25" spans="1:13">
      <c r="A25" s="42">
        <v>23</v>
      </c>
      <c r="B25" s="9" t="s">
        <v>18</v>
      </c>
      <c r="C25" s="2" t="s">
        <v>7</v>
      </c>
      <c r="D25" s="13" t="s">
        <v>31</v>
      </c>
      <c r="E25" s="14">
        <v>8.2025000000000006</v>
      </c>
      <c r="G25" s="20" t="s">
        <v>750</v>
      </c>
      <c r="H25" s="35">
        <f t="shared" si="2"/>
        <v>57</v>
      </c>
      <c r="I25" s="41">
        <f>COUNTIFS($B$3:$B$721, G7, $E$3:$E$721, "&gt;3")</f>
        <v>17</v>
      </c>
      <c r="J25" s="36">
        <f>COUNTIFS($B$3:$B$721, G7, $C$3:$C$721, J$2, $E$3:$E$721, "&gt;3")</f>
        <v>10</v>
      </c>
      <c r="K25" s="36">
        <f>COUNTIFS($B$3:$B$721, H7, $C$3:$C$721, K$2, $E$3:$E$721, "&gt;3")</f>
        <v>0</v>
      </c>
      <c r="L25" s="36">
        <f>COUNTIFS($B$3:$B$721, I7, $C$3:$C$721, L$2, $E$3:$E$721, "&gt;3")</f>
        <v>0</v>
      </c>
      <c r="M25" s="36">
        <f>COUNTIFS($B$3:$B$721, J7, $C$3:$C$721, M$2, $E$3:$E$721, "&gt;3")</f>
        <v>0</v>
      </c>
    </row>
    <row r="26" spans="1:13">
      <c r="A26" s="42">
        <v>24</v>
      </c>
      <c r="B26" s="9" t="s">
        <v>18</v>
      </c>
      <c r="C26" s="4" t="s">
        <v>5</v>
      </c>
      <c r="D26" s="13" t="s">
        <v>32</v>
      </c>
      <c r="E26" s="14">
        <v>0</v>
      </c>
      <c r="G26" s="20" t="s">
        <v>757</v>
      </c>
      <c r="H26" s="35">
        <f t="shared" si="2"/>
        <v>36</v>
      </c>
      <c r="I26" s="41">
        <f>COUNTIFS($B$3:$B$721, G8, $E$3:$E$721, "&gt;3")</f>
        <v>17</v>
      </c>
      <c r="J26" s="36">
        <f>COUNTIFS($B$3:$B$721, G8, $C$3:$C$721, J$2, $E$3:$E$721, "&gt;3")</f>
        <v>10</v>
      </c>
      <c r="K26" s="36">
        <f>COUNTIFS($B$3:$B$721, H8, $C$3:$C$721, K$2, $E$3:$E$721, "&gt;3")</f>
        <v>0</v>
      </c>
      <c r="L26" s="36">
        <f>COUNTIFS($B$3:$B$721, I8, $C$3:$C$721, L$2, $E$3:$E$721, "&gt;3")</f>
        <v>0</v>
      </c>
      <c r="M26" s="36">
        <f>COUNTIFS($B$3:$B$721, J8, $C$3:$C$721, M$2, $E$3:$E$721, "&gt;3")</f>
        <v>0</v>
      </c>
    </row>
    <row r="27" spans="1:13">
      <c r="A27" s="42">
        <v>25</v>
      </c>
      <c r="B27" s="9" t="s">
        <v>18</v>
      </c>
      <c r="C27" s="3" t="s">
        <v>8</v>
      </c>
      <c r="D27" s="13" t="s">
        <v>33</v>
      </c>
      <c r="E27" s="14">
        <v>5.6390000000000002</v>
      </c>
      <c r="G27" s="20" t="s">
        <v>758</v>
      </c>
      <c r="H27" s="35">
        <f t="shared" si="2"/>
        <v>47</v>
      </c>
      <c r="I27" s="41">
        <f>COUNTIFS($B$3:$B$721, G9, $E$3:$E$721, "&gt;3")</f>
        <v>7</v>
      </c>
      <c r="J27" s="36">
        <f>COUNTIFS($B$3:$B$721, G9, $C$3:$C$721, J$2, $E$3:$E$721, "&gt;3")</f>
        <v>7</v>
      </c>
      <c r="K27" s="36">
        <f>COUNTIFS($B$3:$B$721, H9, $C$3:$C$721, K$2, $E$3:$E$721, "&gt;3")</f>
        <v>0</v>
      </c>
      <c r="L27" s="36">
        <f>COUNTIFS($B$3:$B$721, I9, $C$3:$C$721, L$2, $E$3:$E$721, "&gt;3")</f>
        <v>0</v>
      </c>
      <c r="M27" s="36">
        <f>COUNTIFS($B$3:$B$721, J9, $C$3:$C$721, M$2, $E$3:$E$721, "&gt;3")</f>
        <v>0</v>
      </c>
    </row>
    <row r="28" spans="1:13">
      <c r="A28" s="42">
        <v>26</v>
      </c>
      <c r="B28" s="9" t="s">
        <v>18</v>
      </c>
      <c r="C28" s="4" t="s">
        <v>5</v>
      </c>
      <c r="D28" s="13" t="s">
        <v>34</v>
      </c>
      <c r="E28" s="14">
        <v>3.40625</v>
      </c>
      <c r="G28" s="20" t="s">
        <v>759</v>
      </c>
      <c r="H28" s="35">
        <f t="shared" si="2"/>
        <v>54</v>
      </c>
      <c r="I28" s="41">
        <f>COUNTIFS($B$3:$B$721, G10, $E$3:$E$721, "&gt;3")</f>
        <v>39</v>
      </c>
      <c r="J28" s="36">
        <f>COUNTIFS($B$3:$B$721, G10, $C$3:$C$721, J$2, $E$3:$E$721, "&gt;3")</f>
        <v>20</v>
      </c>
      <c r="K28" s="36">
        <f>COUNTIFS($B$3:$B$721, H10, $C$3:$C$721, K$2, $E$3:$E$721, "&gt;3")</f>
        <v>0</v>
      </c>
      <c r="L28" s="36">
        <f>COUNTIFS($B$3:$B$721, I10, $C$3:$C$721, L$2, $E$3:$E$721, "&gt;3")</f>
        <v>0</v>
      </c>
      <c r="M28" s="36">
        <f>COUNTIFS($B$3:$B$721, J10, $C$3:$C$721, M$2, $E$3:$E$721, "&gt;3")</f>
        <v>0</v>
      </c>
    </row>
    <row r="29" spans="1:13">
      <c r="A29" s="42">
        <v>27</v>
      </c>
      <c r="B29" s="9" t="s">
        <v>18</v>
      </c>
      <c r="C29" s="3" t="s">
        <v>8</v>
      </c>
      <c r="D29" s="13" t="s">
        <v>35</v>
      </c>
      <c r="E29" s="14">
        <v>4.4000000000000004</v>
      </c>
      <c r="G29" s="20" t="s">
        <v>760</v>
      </c>
      <c r="H29" s="35">
        <f t="shared" si="2"/>
        <v>30</v>
      </c>
      <c r="I29" s="41">
        <f>COUNTIFS($B$3:$B$721, G11, $E$3:$E$721, "&gt;3")</f>
        <v>25</v>
      </c>
      <c r="J29" s="36">
        <f>COUNTIFS($B$3:$B$721, G11, $C$3:$C$721, J$2, $E$3:$E$721, "&gt;3")</f>
        <v>10</v>
      </c>
      <c r="K29" s="36">
        <f>COUNTIFS($B$3:$B$721, H11, $C$3:$C$721, K$2, $E$3:$E$721, "&gt;3")</f>
        <v>0</v>
      </c>
      <c r="L29" s="36">
        <f>COUNTIFS($B$3:$B$721, I11, $C$3:$C$721, L$2, $E$3:$E$721, "&gt;3")</f>
        <v>0</v>
      </c>
      <c r="M29" s="36">
        <f>COUNTIFS($B$3:$B$721, J11, $C$3:$C$721, M$2, $E$3:$E$721, "&gt;3")</f>
        <v>0</v>
      </c>
    </row>
    <row r="30" spans="1:13">
      <c r="A30" s="42">
        <v>28</v>
      </c>
      <c r="B30" s="9" t="s">
        <v>18</v>
      </c>
      <c r="C30" s="5" t="s">
        <v>36</v>
      </c>
      <c r="D30" s="13" t="s">
        <v>37</v>
      </c>
      <c r="E30" s="14">
        <v>2.35</v>
      </c>
      <c r="G30" s="20" t="s">
        <v>761</v>
      </c>
      <c r="H30" s="35">
        <f t="shared" si="2"/>
        <v>83</v>
      </c>
      <c r="I30" s="41">
        <f>COUNTIFS($B$3:$B$721, G12, $E$3:$E$721, "&gt;3")</f>
        <v>13</v>
      </c>
      <c r="J30" s="36">
        <f>COUNTIFS($B$3:$B$721, G12, $C$3:$C$721, J$2, $E$3:$E$721, "&gt;3")</f>
        <v>7</v>
      </c>
      <c r="K30" s="36">
        <f>COUNTIFS($B$3:$B$721, H12, $C$3:$C$721, K$2, $E$3:$E$721, "&gt;3")</f>
        <v>0</v>
      </c>
      <c r="L30" s="36">
        <f>COUNTIFS($B$3:$B$721, I12, $C$3:$C$721, L$2, $E$3:$E$721, "&gt;3")</f>
        <v>0</v>
      </c>
      <c r="M30" s="36">
        <f>COUNTIFS($B$3:$B$721, J12, $C$3:$C$721, M$2, $E$3:$E$721, "&gt;3")</f>
        <v>0</v>
      </c>
    </row>
    <row r="31" spans="1:13">
      <c r="A31" s="42">
        <v>29</v>
      </c>
      <c r="B31" s="9" t="s">
        <v>18</v>
      </c>
      <c r="C31" s="4" t="s">
        <v>5</v>
      </c>
      <c r="D31" s="13" t="s">
        <v>38</v>
      </c>
      <c r="E31" s="14">
        <v>3.86585</v>
      </c>
      <c r="G31" s="20" t="s">
        <v>762</v>
      </c>
      <c r="H31" s="35">
        <f t="shared" si="2"/>
        <v>43</v>
      </c>
      <c r="I31" s="41">
        <f>COUNTIFS($B$3:$B$721, G13, $E$3:$E$721, "&gt;3")</f>
        <v>26</v>
      </c>
      <c r="J31" s="36">
        <f>COUNTIFS($B$3:$B$721, G13, $C$3:$C$721, J$2, $E$3:$E$721, "&gt;3")</f>
        <v>15</v>
      </c>
      <c r="K31" s="36">
        <f>COUNTIFS($B$3:$B$721, H13, $C$3:$C$721, K$2, $E$3:$E$721, "&gt;3")</f>
        <v>0</v>
      </c>
      <c r="L31" s="36">
        <f>COUNTIFS($B$3:$B$721, I13, $C$3:$C$721, L$2, $E$3:$E$721, "&gt;3")</f>
        <v>0</v>
      </c>
      <c r="M31" s="36">
        <f>COUNTIFS($B$3:$B$721, J13, $C$3:$C$721, M$2, $E$3:$E$721, "&gt;3")</f>
        <v>0</v>
      </c>
    </row>
    <row r="32" spans="1:13">
      <c r="A32" s="42">
        <v>30</v>
      </c>
      <c r="B32" s="9" t="s">
        <v>18</v>
      </c>
      <c r="C32" s="2" t="s">
        <v>7</v>
      </c>
      <c r="D32" s="13" t="s">
        <v>39</v>
      </c>
      <c r="E32" s="14">
        <v>2.35</v>
      </c>
      <c r="G32" s="20" t="s">
        <v>763</v>
      </c>
      <c r="H32" s="35">
        <f t="shared" si="2"/>
        <v>135</v>
      </c>
      <c r="I32" s="41">
        <f>COUNTIFS($B$3:$B$721, G14, $E$3:$E$721, "&gt;3")</f>
        <v>36</v>
      </c>
      <c r="J32" s="36">
        <f>COUNTIFS($B$3:$B$721, G14, $C$3:$C$721, J$2, $E$3:$E$721, "&gt;3")</f>
        <v>18</v>
      </c>
      <c r="K32" s="36">
        <f>COUNTIFS($B$3:$B$721, H14, $C$3:$C$721, K$2, $E$3:$E$721, "&gt;3")</f>
        <v>0</v>
      </c>
      <c r="L32" s="36">
        <f>COUNTIFS($B$3:$B$721, I14, $C$3:$C$721, L$2, $E$3:$E$721, "&gt;3")</f>
        <v>0</v>
      </c>
      <c r="M32" s="36">
        <f>COUNTIFS($B$3:$B$721, J14, $C$3:$C$721, M$2, $E$3:$E$721, "&gt;3")</f>
        <v>0</v>
      </c>
    </row>
    <row r="33" spans="1:13">
      <c r="A33" s="42">
        <v>31</v>
      </c>
      <c r="B33" s="9" t="s">
        <v>18</v>
      </c>
      <c r="C33" s="3" t="s">
        <v>8</v>
      </c>
      <c r="D33" s="13" t="s">
        <v>40</v>
      </c>
      <c r="E33" s="14">
        <v>4.3899999999999997</v>
      </c>
      <c r="G33" s="20" t="s">
        <v>764</v>
      </c>
      <c r="H33" s="35">
        <f t="shared" si="2"/>
        <v>16</v>
      </c>
      <c r="I33" s="41">
        <f>COUNTIFS($B$3:$B$721, G15, $E$3:$E$721, "&gt;3")</f>
        <v>0</v>
      </c>
      <c r="J33" s="36">
        <f>COUNTIFS($B$3:$B$721, G15, $C$3:$C$721, J$2, $E$3:$E$721, "&gt;3")</f>
        <v>0</v>
      </c>
      <c r="K33" s="36">
        <f>COUNTIFS($B$3:$B$721, H15, $C$3:$C$721, K$2, $E$3:$E$721, "&gt;3")</f>
        <v>0</v>
      </c>
      <c r="L33" s="36">
        <f>COUNTIFS($B$3:$B$721, I15, $C$3:$C$721, L$2, $E$3:$E$721, "&gt;3")</f>
        <v>0</v>
      </c>
      <c r="M33" s="36">
        <f>COUNTIFS($B$3:$B$721, J15, $C$3:$C$721, M$2, $E$3:$E$721, "&gt;3")</f>
        <v>0</v>
      </c>
    </row>
    <row r="34" spans="1:13">
      <c r="A34" s="42">
        <v>32</v>
      </c>
      <c r="B34" s="9" t="s">
        <v>18</v>
      </c>
      <c r="C34" s="2" t="s">
        <v>7</v>
      </c>
      <c r="D34" s="13" t="s">
        <v>41</v>
      </c>
      <c r="E34" s="14">
        <v>2.9481999999999999</v>
      </c>
      <c r="G34" s="27" t="s">
        <v>765</v>
      </c>
      <c r="H34" s="37">
        <f t="shared" si="2"/>
        <v>28</v>
      </c>
      <c r="I34" s="41">
        <f>COUNTIFS($B$3:$B$721, G16, $E$3:$E$721, "&gt;3")</f>
        <v>11</v>
      </c>
      <c r="J34" s="36">
        <f>COUNTIFS($B$3:$B$721, G16, $C$3:$C$721, J$2, $E$3:$E$721, "&gt;3")</f>
        <v>7</v>
      </c>
      <c r="K34" s="36">
        <f>COUNTIFS($B$3:$B$721, H16, $C$3:$C$721, K$2, $E$3:$E$721, "&gt;3")</f>
        <v>0</v>
      </c>
      <c r="L34" s="36">
        <f>COUNTIFS($B$3:$B$721, I16, $C$3:$C$721, L$2, $E$3:$E$721, "&gt;3")</f>
        <v>0</v>
      </c>
      <c r="M34" s="36">
        <f>COUNTIFS($B$3:$B$721, J16, $C$3:$C$721, M$2, $E$3:$E$721, "&gt;3")</f>
        <v>0</v>
      </c>
    </row>
    <row r="35" spans="1:13">
      <c r="A35" s="42">
        <v>33</v>
      </c>
      <c r="B35" s="9" t="s">
        <v>18</v>
      </c>
      <c r="C35" s="4" t="s">
        <v>5</v>
      </c>
      <c r="D35" s="13" t="s">
        <v>42</v>
      </c>
      <c r="E35" s="14">
        <v>1.06</v>
      </c>
      <c r="G35" s="30" t="s">
        <v>766</v>
      </c>
      <c r="H35" s="35">
        <f t="shared" si="2"/>
        <v>39</v>
      </c>
      <c r="I35" s="41">
        <f>COUNTIFS($B$3:$B$721, G17, $E$3:$E$721, "&gt;3")</f>
        <v>21</v>
      </c>
      <c r="J35" s="36">
        <f>COUNTIFS($B$3:$B$721, G17, $C$3:$C$721, J$2, $E$3:$E$721, "&gt;3")</f>
        <v>9</v>
      </c>
      <c r="K35" s="36">
        <f>COUNTIFS($B$3:$B$721, H17, $C$3:$C$721, K$2, $E$3:$E$721, "&gt;3")</f>
        <v>0</v>
      </c>
      <c r="L35" s="36">
        <f>COUNTIFS($B$3:$B$721, I17, $C$3:$C$721, L$2, $E$3:$E$721, "&gt;3")</f>
        <v>0</v>
      </c>
      <c r="M35" s="36">
        <f>COUNTIFS($B$3:$B$721, J17, $C$3:$C$721, M$2, $E$3:$E$721, "&gt;3")</f>
        <v>0</v>
      </c>
    </row>
    <row r="36" spans="1:13">
      <c r="A36" s="42">
        <v>34</v>
      </c>
      <c r="B36" s="9" t="s">
        <v>18</v>
      </c>
      <c r="C36" s="3" t="s">
        <v>8</v>
      </c>
      <c r="D36" s="13" t="s">
        <v>43</v>
      </c>
      <c r="E36" s="14">
        <v>1.01</v>
      </c>
    </row>
    <row r="37" spans="1:13">
      <c r="A37" s="42">
        <v>35</v>
      </c>
      <c r="B37" s="9" t="s">
        <v>18</v>
      </c>
      <c r="C37" s="5" t="s">
        <v>36</v>
      </c>
      <c r="D37" s="13" t="s">
        <v>44</v>
      </c>
      <c r="E37" s="14">
        <v>0.31</v>
      </c>
    </row>
    <row r="38" spans="1:13">
      <c r="A38" s="42">
        <v>36</v>
      </c>
      <c r="B38" s="9" t="s">
        <v>18</v>
      </c>
      <c r="C38" s="2" t="s">
        <v>7</v>
      </c>
      <c r="D38" s="13" t="s">
        <v>45</v>
      </c>
      <c r="E38" s="14">
        <v>1.0832999999999999</v>
      </c>
    </row>
    <row r="39" spans="1:13">
      <c r="A39" s="42">
        <v>37</v>
      </c>
      <c r="B39" s="9" t="s">
        <v>18</v>
      </c>
      <c r="C39" s="2" t="s">
        <v>7</v>
      </c>
      <c r="D39" s="13" t="s">
        <v>46</v>
      </c>
      <c r="E39" s="14">
        <v>0</v>
      </c>
    </row>
    <row r="40" spans="1:13">
      <c r="A40" s="42">
        <v>38</v>
      </c>
      <c r="B40" s="9" t="s">
        <v>18</v>
      </c>
      <c r="C40" s="2" t="s">
        <v>7</v>
      </c>
      <c r="D40" s="13" t="s">
        <v>47</v>
      </c>
      <c r="E40" s="14">
        <v>0</v>
      </c>
    </row>
    <row r="41" spans="1:13">
      <c r="A41" s="42">
        <v>39</v>
      </c>
      <c r="B41" s="9" t="s">
        <v>18</v>
      </c>
      <c r="C41" s="3" t="s">
        <v>8</v>
      </c>
      <c r="D41" s="13" t="s">
        <v>48</v>
      </c>
      <c r="E41" s="14">
        <v>1.19</v>
      </c>
    </row>
    <row r="42" spans="1:13">
      <c r="A42" s="42">
        <v>40</v>
      </c>
      <c r="B42" s="9" t="s">
        <v>18</v>
      </c>
      <c r="C42" s="2" t="s">
        <v>7</v>
      </c>
      <c r="D42" s="13" t="s">
        <v>49</v>
      </c>
      <c r="E42" s="14">
        <v>0.127</v>
      </c>
    </row>
    <row r="43" spans="1:13">
      <c r="A43" s="42">
        <v>41</v>
      </c>
      <c r="B43" s="9" t="s">
        <v>18</v>
      </c>
      <c r="C43" s="3" t="s">
        <v>8</v>
      </c>
      <c r="D43" s="13" t="s">
        <v>50</v>
      </c>
      <c r="E43" s="14">
        <v>6.73</v>
      </c>
    </row>
    <row r="44" spans="1:13">
      <c r="A44" s="42">
        <v>42</v>
      </c>
      <c r="B44" s="9" t="s">
        <v>18</v>
      </c>
      <c r="C44" s="3" t="s">
        <v>8</v>
      </c>
      <c r="D44" s="13" t="s">
        <v>51</v>
      </c>
      <c r="E44" s="14">
        <v>1</v>
      </c>
    </row>
    <row r="45" spans="1:13">
      <c r="A45" s="42">
        <v>43</v>
      </c>
      <c r="B45" s="9" t="s">
        <v>18</v>
      </c>
      <c r="C45" s="2" t="s">
        <v>7</v>
      </c>
      <c r="D45" s="13" t="s">
        <v>52</v>
      </c>
      <c r="E45" s="14">
        <v>0</v>
      </c>
    </row>
    <row r="46" spans="1:13">
      <c r="A46" s="42">
        <v>44</v>
      </c>
      <c r="B46" s="9" t="s">
        <v>18</v>
      </c>
      <c r="C46" s="2" t="s">
        <v>7</v>
      </c>
      <c r="D46" s="13" t="s">
        <v>53</v>
      </c>
      <c r="E46" s="14">
        <v>3.45</v>
      </c>
    </row>
    <row r="47" spans="1:13">
      <c r="A47" s="42">
        <v>45</v>
      </c>
      <c r="B47" s="9" t="s">
        <v>18</v>
      </c>
      <c r="C47" s="2" t="s">
        <v>7</v>
      </c>
      <c r="D47" s="13" t="s">
        <v>54</v>
      </c>
      <c r="E47" s="14">
        <v>0.49056</v>
      </c>
    </row>
    <row r="48" spans="1:13">
      <c r="A48" s="42">
        <v>46</v>
      </c>
      <c r="B48" s="9" t="s">
        <v>18</v>
      </c>
      <c r="C48" s="2" t="s">
        <v>7</v>
      </c>
      <c r="D48" s="13" t="s">
        <v>55</v>
      </c>
      <c r="E48" s="14">
        <v>6.5</v>
      </c>
    </row>
    <row r="49" spans="1:5">
      <c r="A49" s="42">
        <v>47</v>
      </c>
      <c r="B49" s="9" t="s">
        <v>18</v>
      </c>
      <c r="C49" s="2" t="s">
        <v>7</v>
      </c>
      <c r="D49" s="13" t="s">
        <v>56</v>
      </c>
      <c r="E49" s="14">
        <v>6.65625</v>
      </c>
    </row>
    <row r="50" spans="1:5">
      <c r="A50" s="42">
        <v>48</v>
      </c>
      <c r="B50" s="9" t="s">
        <v>18</v>
      </c>
      <c r="C50" s="3" t="s">
        <v>8</v>
      </c>
      <c r="D50" s="13" t="s">
        <v>57</v>
      </c>
      <c r="E50" s="14">
        <v>1.923</v>
      </c>
    </row>
    <row r="51" spans="1:5">
      <c r="A51" s="42">
        <v>49</v>
      </c>
      <c r="B51" s="9" t="s">
        <v>18</v>
      </c>
      <c r="C51" s="2" t="s">
        <v>7</v>
      </c>
      <c r="D51" s="13" t="s">
        <v>58</v>
      </c>
      <c r="E51" s="14">
        <v>1</v>
      </c>
    </row>
    <row r="52" spans="1:5">
      <c r="A52" s="42">
        <v>50</v>
      </c>
      <c r="B52" s="9" t="s">
        <v>18</v>
      </c>
      <c r="C52" s="3" t="s">
        <v>8</v>
      </c>
      <c r="D52" s="13" t="s">
        <v>59</v>
      </c>
      <c r="E52" s="14">
        <v>0</v>
      </c>
    </row>
    <row r="53" spans="1:5">
      <c r="A53" s="42">
        <v>51</v>
      </c>
      <c r="B53" s="9" t="s">
        <v>18</v>
      </c>
      <c r="C53" s="2" t="s">
        <v>7</v>
      </c>
      <c r="D53" s="13" t="s">
        <v>60</v>
      </c>
      <c r="E53" s="14">
        <v>1</v>
      </c>
    </row>
    <row r="54" spans="1:5">
      <c r="A54" s="42">
        <v>52</v>
      </c>
      <c r="B54" s="9" t="s">
        <v>18</v>
      </c>
      <c r="C54" s="2" t="s">
        <v>7</v>
      </c>
      <c r="D54" s="13" t="s">
        <v>61</v>
      </c>
      <c r="E54" s="14">
        <v>0</v>
      </c>
    </row>
    <row r="55" spans="1:5">
      <c r="A55" s="42">
        <v>53</v>
      </c>
      <c r="B55" s="9" t="s">
        <v>18</v>
      </c>
      <c r="C55" s="3" t="s">
        <v>8</v>
      </c>
      <c r="D55" s="13" t="s">
        <v>62</v>
      </c>
      <c r="E55" s="14">
        <v>0</v>
      </c>
    </row>
    <row r="56" spans="1:5">
      <c r="A56" s="42">
        <v>54</v>
      </c>
      <c r="B56" s="9" t="s">
        <v>18</v>
      </c>
      <c r="C56" s="2" t="s">
        <v>7</v>
      </c>
      <c r="D56" s="13" t="s">
        <v>63</v>
      </c>
      <c r="E56" s="14">
        <v>0.32690000000000002</v>
      </c>
    </row>
    <row r="57" spans="1:5">
      <c r="A57" s="42">
        <v>55</v>
      </c>
      <c r="B57" s="9" t="s">
        <v>18</v>
      </c>
      <c r="C57" s="3" t="s">
        <v>8</v>
      </c>
      <c r="D57" s="13" t="s">
        <v>64</v>
      </c>
      <c r="E57" s="14">
        <v>0</v>
      </c>
    </row>
    <row r="58" spans="1:5">
      <c r="A58" s="42">
        <v>56</v>
      </c>
      <c r="B58" s="9" t="s">
        <v>18</v>
      </c>
      <c r="C58" s="2" t="s">
        <v>7</v>
      </c>
      <c r="D58" s="13" t="s">
        <v>65</v>
      </c>
      <c r="E58" s="14">
        <v>2.2599999999999998</v>
      </c>
    </row>
    <row r="59" spans="1:5">
      <c r="A59" s="42">
        <v>57</v>
      </c>
      <c r="B59" s="9" t="s">
        <v>18</v>
      </c>
      <c r="C59" s="4" t="s">
        <v>5</v>
      </c>
      <c r="D59" s="13" t="s">
        <v>66</v>
      </c>
      <c r="E59" s="14">
        <v>2.5316000000000002E-2</v>
      </c>
    </row>
    <row r="60" spans="1:5">
      <c r="A60" s="42">
        <v>58</v>
      </c>
      <c r="B60" s="9" t="s">
        <v>18</v>
      </c>
      <c r="C60" s="3" t="s">
        <v>8</v>
      </c>
      <c r="D60" s="13" t="s">
        <v>67</v>
      </c>
      <c r="E60" s="14">
        <v>7.7450000000000001</v>
      </c>
    </row>
    <row r="61" spans="1:5">
      <c r="A61" s="42">
        <v>59</v>
      </c>
      <c r="B61" s="9" t="s">
        <v>18</v>
      </c>
      <c r="C61" s="2" t="s">
        <v>7</v>
      </c>
      <c r="D61" s="13" t="s">
        <v>68</v>
      </c>
      <c r="E61" s="14">
        <v>6.36</v>
      </c>
    </row>
    <row r="62" spans="1:5">
      <c r="A62" s="42">
        <v>60</v>
      </c>
      <c r="B62" s="9" t="s">
        <v>18</v>
      </c>
      <c r="C62" s="2" t="s">
        <v>7</v>
      </c>
      <c r="D62" s="13" t="s">
        <v>69</v>
      </c>
      <c r="E62" s="14">
        <v>0.64700000000000002</v>
      </c>
    </row>
    <row r="63" spans="1:5">
      <c r="A63" s="42">
        <v>61</v>
      </c>
      <c r="B63" s="9" t="s">
        <v>18</v>
      </c>
      <c r="C63" s="4" t="s">
        <v>5</v>
      </c>
      <c r="D63" s="13" t="s">
        <v>70</v>
      </c>
      <c r="E63" s="14">
        <v>2.1269999999999998</v>
      </c>
    </row>
    <row r="64" spans="1:5">
      <c r="A64" s="42">
        <v>62</v>
      </c>
      <c r="B64" s="9" t="s">
        <v>18</v>
      </c>
      <c r="C64" s="2" t="s">
        <v>7</v>
      </c>
      <c r="D64" s="13" t="s">
        <v>71</v>
      </c>
      <c r="E64" s="14">
        <v>1.56</v>
      </c>
    </row>
    <row r="65" spans="1:5">
      <c r="A65" s="42">
        <v>63</v>
      </c>
      <c r="B65" s="9" t="s">
        <v>18</v>
      </c>
      <c r="C65" s="2" t="s">
        <v>7</v>
      </c>
      <c r="D65" s="13" t="s">
        <v>72</v>
      </c>
      <c r="E65" s="14">
        <v>0.4647</v>
      </c>
    </row>
    <row r="66" spans="1:5">
      <c r="A66" s="42">
        <v>64</v>
      </c>
      <c r="B66" s="9" t="s">
        <v>73</v>
      </c>
      <c r="C66" s="2" t="s">
        <v>7</v>
      </c>
      <c r="D66" s="13" t="s">
        <v>74</v>
      </c>
      <c r="E66" s="14">
        <v>0.31569999999999998</v>
      </c>
    </row>
    <row r="67" spans="1:5">
      <c r="A67" s="42">
        <v>65</v>
      </c>
      <c r="B67" s="9" t="s">
        <v>73</v>
      </c>
      <c r="C67" s="4" t="s">
        <v>5</v>
      </c>
      <c r="D67" s="13" t="s">
        <v>75</v>
      </c>
      <c r="E67" s="14">
        <v>2.2000000000000002</v>
      </c>
    </row>
    <row r="68" spans="1:5">
      <c r="A68" s="42">
        <v>66</v>
      </c>
      <c r="B68" s="9" t="s">
        <v>73</v>
      </c>
      <c r="C68" s="3" t="s">
        <v>8</v>
      </c>
      <c r="D68" s="13" t="s">
        <v>76</v>
      </c>
      <c r="E68" s="14">
        <v>0.76190000000000002</v>
      </c>
    </row>
    <row r="69" spans="1:5">
      <c r="A69" s="42">
        <v>67</v>
      </c>
      <c r="B69" s="9" t="s">
        <v>73</v>
      </c>
      <c r="C69" s="2" t="s">
        <v>7</v>
      </c>
      <c r="D69" s="13" t="s">
        <v>77</v>
      </c>
      <c r="E69" s="14">
        <v>1.64</v>
      </c>
    </row>
    <row r="70" spans="1:5">
      <c r="A70" s="42">
        <v>68</v>
      </c>
      <c r="B70" s="9" t="s">
        <v>73</v>
      </c>
      <c r="C70" s="4" t="s">
        <v>5</v>
      </c>
      <c r="D70" s="13" t="s">
        <v>78</v>
      </c>
      <c r="E70" s="14">
        <v>1.39</v>
      </c>
    </row>
    <row r="71" spans="1:5">
      <c r="A71" s="42">
        <v>69</v>
      </c>
      <c r="B71" s="9" t="s">
        <v>73</v>
      </c>
      <c r="C71" s="4" t="s">
        <v>5</v>
      </c>
      <c r="D71" s="13" t="s">
        <v>79</v>
      </c>
      <c r="E71" s="14">
        <v>1.8833</v>
      </c>
    </row>
    <row r="72" spans="1:5">
      <c r="A72" s="42">
        <v>70</v>
      </c>
      <c r="B72" s="9" t="s">
        <v>73</v>
      </c>
      <c r="C72" s="3" t="s">
        <v>8</v>
      </c>
      <c r="D72" s="13" t="s">
        <v>80</v>
      </c>
      <c r="E72" s="14">
        <v>0.77700000000000002</v>
      </c>
    </row>
    <row r="73" spans="1:5">
      <c r="A73" s="42">
        <v>71</v>
      </c>
      <c r="B73" s="9" t="s">
        <v>73</v>
      </c>
      <c r="C73" s="2" t="s">
        <v>7</v>
      </c>
      <c r="D73" s="13" t="s">
        <v>81</v>
      </c>
      <c r="E73" s="14">
        <v>0.88880000000000003</v>
      </c>
    </row>
    <row r="74" spans="1:5">
      <c r="A74" s="42">
        <v>72</v>
      </c>
      <c r="B74" s="9" t="s">
        <v>73</v>
      </c>
      <c r="C74" s="3" t="s">
        <v>8</v>
      </c>
      <c r="D74" s="13" t="s">
        <v>82</v>
      </c>
      <c r="E74" s="14">
        <v>1.8849</v>
      </c>
    </row>
    <row r="75" spans="1:5">
      <c r="A75" s="42">
        <v>73</v>
      </c>
      <c r="B75" s="9" t="s">
        <v>73</v>
      </c>
      <c r="C75" s="2" t="s">
        <v>7</v>
      </c>
      <c r="D75" s="13" t="s">
        <v>83</v>
      </c>
      <c r="E75" s="14">
        <v>2.96</v>
      </c>
    </row>
    <row r="76" spans="1:5">
      <c r="A76" s="42">
        <v>74</v>
      </c>
      <c r="B76" s="9" t="s">
        <v>73</v>
      </c>
      <c r="C76" s="4" t="s">
        <v>5</v>
      </c>
      <c r="D76" s="13" t="s">
        <v>84</v>
      </c>
      <c r="E76" s="14">
        <v>2.1274500000000001</v>
      </c>
    </row>
    <row r="77" spans="1:5">
      <c r="A77" s="42">
        <v>75</v>
      </c>
      <c r="B77" s="7" t="s">
        <v>73</v>
      </c>
      <c r="C77" s="2" t="s">
        <v>7</v>
      </c>
      <c r="D77" s="13" t="s">
        <v>85</v>
      </c>
      <c r="E77" s="14">
        <v>2.86</v>
      </c>
    </row>
    <row r="78" spans="1:5">
      <c r="A78" s="42">
        <v>76</v>
      </c>
      <c r="B78" s="9" t="s">
        <v>73</v>
      </c>
      <c r="C78" s="2" t="s">
        <v>7</v>
      </c>
      <c r="D78" s="13" t="s">
        <v>86</v>
      </c>
      <c r="E78" s="14">
        <v>1.75</v>
      </c>
    </row>
    <row r="79" spans="1:5">
      <c r="A79" s="42">
        <v>77</v>
      </c>
      <c r="B79" s="9" t="s">
        <v>73</v>
      </c>
      <c r="C79" s="2" t="s">
        <v>7</v>
      </c>
      <c r="D79" s="13" t="s">
        <v>87</v>
      </c>
      <c r="E79" s="14">
        <v>1.0165999999999999</v>
      </c>
    </row>
    <row r="80" spans="1:5">
      <c r="A80" s="42">
        <v>78</v>
      </c>
      <c r="B80" s="9" t="s">
        <v>73</v>
      </c>
      <c r="C80" s="2" t="s">
        <v>7</v>
      </c>
      <c r="D80" s="13" t="s">
        <v>88</v>
      </c>
      <c r="E80" s="14">
        <v>2.625</v>
      </c>
    </row>
    <row r="81" spans="1:6">
      <c r="A81" s="42">
        <v>79</v>
      </c>
      <c r="B81" s="9" t="s">
        <v>73</v>
      </c>
      <c r="C81" s="3" t="s">
        <v>8</v>
      </c>
      <c r="D81" s="13" t="s">
        <v>89</v>
      </c>
      <c r="E81" s="14">
        <v>1.4419999999999999</v>
      </c>
    </row>
    <row r="82" spans="1:6">
      <c r="A82" s="42">
        <v>80</v>
      </c>
      <c r="B82" s="9" t="s">
        <v>73</v>
      </c>
      <c r="C82" s="2" t="s">
        <v>7</v>
      </c>
      <c r="D82" s="13" t="s">
        <v>90</v>
      </c>
      <c r="E82" s="14">
        <v>3.3380000000000001</v>
      </c>
    </row>
    <row r="83" spans="1:6">
      <c r="A83" s="42">
        <v>81</v>
      </c>
      <c r="B83" s="9" t="s">
        <v>73</v>
      </c>
      <c r="C83" s="3" t="s">
        <v>8</v>
      </c>
      <c r="D83" s="13" t="s">
        <v>738</v>
      </c>
      <c r="E83" s="14">
        <v>1.5860000000000001</v>
      </c>
    </row>
    <row r="84" spans="1:6">
      <c r="A84" s="42">
        <v>82</v>
      </c>
      <c r="B84" s="9" t="s">
        <v>73</v>
      </c>
      <c r="C84" s="2" t="s">
        <v>7</v>
      </c>
      <c r="D84" s="13" t="s">
        <v>91</v>
      </c>
      <c r="E84" s="14">
        <v>3.1</v>
      </c>
    </row>
    <row r="85" spans="1:6">
      <c r="A85" s="42">
        <v>83</v>
      </c>
      <c r="B85" s="9" t="s">
        <v>73</v>
      </c>
      <c r="C85" s="2" t="s">
        <v>7</v>
      </c>
      <c r="D85" s="13" t="s">
        <v>92</v>
      </c>
      <c r="E85" s="14">
        <v>1.3480000000000001</v>
      </c>
    </row>
    <row r="86" spans="1:6">
      <c r="A86" s="42">
        <v>84</v>
      </c>
      <c r="B86" s="9" t="s">
        <v>73</v>
      </c>
      <c r="C86" s="2" t="s">
        <v>7</v>
      </c>
      <c r="D86" s="13" t="s">
        <v>93</v>
      </c>
      <c r="E86" s="14">
        <v>1.34</v>
      </c>
    </row>
    <row r="87" spans="1:6">
      <c r="A87" s="42">
        <v>85</v>
      </c>
      <c r="B87" s="9" t="s">
        <v>73</v>
      </c>
      <c r="C87" s="2" t="s">
        <v>7</v>
      </c>
      <c r="D87" s="13" t="s">
        <v>94</v>
      </c>
      <c r="E87" s="14">
        <v>1.1875</v>
      </c>
    </row>
    <row r="88" spans="1:6">
      <c r="A88" s="42">
        <v>86</v>
      </c>
      <c r="B88" s="9" t="s">
        <v>73</v>
      </c>
      <c r="C88" s="2" t="s">
        <v>7</v>
      </c>
      <c r="D88" s="13" t="s">
        <v>95</v>
      </c>
      <c r="E88" s="14">
        <v>2.4300000000000002</v>
      </c>
    </row>
    <row r="89" spans="1:6">
      <c r="A89" s="42">
        <v>87</v>
      </c>
      <c r="B89" s="9" t="s">
        <v>73</v>
      </c>
      <c r="C89" s="3" t="s">
        <v>8</v>
      </c>
      <c r="D89" s="13" t="s">
        <v>96</v>
      </c>
      <c r="E89" s="14">
        <v>0.76</v>
      </c>
      <c r="F89" s="1" t="s">
        <v>739</v>
      </c>
    </row>
    <row r="90" spans="1:6">
      <c r="A90" s="42">
        <v>88</v>
      </c>
      <c r="B90" s="9" t="s">
        <v>73</v>
      </c>
      <c r="C90" s="2" t="s">
        <v>7</v>
      </c>
      <c r="D90" s="13" t="s">
        <v>97</v>
      </c>
      <c r="E90" s="14">
        <v>3.35</v>
      </c>
    </row>
    <row r="91" spans="1:6">
      <c r="A91" s="42">
        <v>89</v>
      </c>
      <c r="B91" s="9" t="s">
        <v>73</v>
      </c>
      <c r="C91" s="3" t="s">
        <v>8</v>
      </c>
      <c r="D91" s="13" t="s">
        <v>98</v>
      </c>
      <c r="E91" s="14">
        <v>3.4</v>
      </c>
    </row>
    <row r="92" spans="1:6">
      <c r="A92" s="42">
        <v>90</v>
      </c>
      <c r="B92" s="9" t="s">
        <v>73</v>
      </c>
      <c r="C92" s="2" t="s">
        <v>7</v>
      </c>
      <c r="D92" s="13" t="s">
        <v>99</v>
      </c>
      <c r="E92" s="14">
        <v>0.78700000000000003</v>
      </c>
    </row>
    <row r="93" spans="1:6">
      <c r="A93" s="42">
        <v>91</v>
      </c>
      <c r="B93" s="9" t="s">
        <v>73</v>
      </c>
      <c r="C93" s="3" t="s">
        <v>8</v>
      </c>
      <c r="D93" s="13" t="s">
        <v>100</v>
      </c>
      <c r="E93" s="14">
        <v>1.59</v>
      </c>
    </row>
    <row r="94" spans="1:6">
      <c r="A94" s="42">
        <v>92</v>
      </c>
      <c r="B94" s="9" t="s">
        <v>73</v>
      </c>
      <c r="C94" s="2" t="s">
        <v>7</v>
      </c>
      <c r="D94" s="13" t="s">
        <v>101</v>
      </c>
      <c r="E94" s="14">
        <v>1.3263</v>
      </c>
    </row>
    <row r="95" spans="1:6">
      <c r="A95" s="42">
        <v>93</v>
      </c>
      <c r="B95" s="9" t="s">
        <v>102</v>
      </c>
      <c r="C95" s="3" t="s">
        <v>8</v>
      </c>
      <c r="D95" s="13" t="s">
        <v>740</v>
      </c>
      <c r="E95" s="14">
        <v>0.77</v>
      </c>
    </row>
    <row r="96" spans="1:6">
      <c r="A96" s="42">
        <v>94</v>
      </c>
      <c r="B96" s="9" t="s">
        <v>102</v>
      </c>
      <c r="C96" s="2" t="s">
        <v>7</v>
      </c>
      <c r="D96" s="13" t="s">
        <v>103</v>
      </c>
      <c r="E96" s="14">
        <v>0.20449999999999999</v>
      </c>
    </row>
    <row r="97" spans="1:5">
      <c r="A97" s="42">
        <v>95</v>
      </c>
      <c r="B97" s="9" t="s">
        <v>102</v>
      </c>
      <c r="C97" s="2" t="s">
        <v>7</v>
      </c>
      <c r="D97" s="13" t="s">
        <v>104</v>
      </c>
      <c r="E97" s="14">
        <v>0.27079999999999999</v>
      </c>
    </row>
    <row r="98" spans="1:5">
      <c r="A98" s="42">
        <v>96</v>
      </c>
      <c r="B98" s="9" t="s">
        <v>102</v>
      </c>
      <c r="C98" s="4" t="s">
        <v>5</v>
      </c>
      <c r="D98" s="13" t="s">
        <v>105</v>
      </c>
      <c r="E98" s="14">
        <v>0</v>
      </c>
    </row>
    <row r="99" spans="1:5">
      <c r="A99" s="42">
        <v>97</v>
      </c>
      <c r="B99" s="9" t="s">
        <v>102</v>
      </c>
      <c r="C99" s="2" t="s">
        <v>7</v>
      </c>
      <c r="D99" s="13" t="s">
        <v>106</v>
      </c>
      <c r="E99" s="14">
        <v>0.96360000000000001</v>
      </c>
    </row>
    <row r="100" spans="1:5">
      <c r="A100" s="42">
        <v>98</v>
      </c>
      <c r="B100" s="9" t="s">
        <v>102</v>
      </c>
      <c r="C100" s="4" t="s">
        <v>5</v>
      </c>
      <c r="D100" s="13" t="s">
        <v>107</v>
      </c>
      <c r="E100" s="14">
        <v>0.48480000000000001</v>
      </c>
    </row>
    <row r="101" spans="1:5">
      <c r="A101" s="42">
        <v>99</v>
      </c>
      <c r="B101" s="9" t="s">
        <v>102</v>
      </c>
      <c r="C101" s="3" t="s">
        <v>8</v>
      </c>
      <c r="D101" s="13" t="s">
        <v>108</v>
      </c>
      <c r="E101" s="14">
        <v>0.48</v>
      </c>
    </row>
    <row r="102" spans="1:5">
      <c r="A102" s="42">
        <v>100</v>
      </c>
      <c r="B102" s="9" t="s">
        <v>102</v>
      </c>
      <c r="C102" s="2" t="s">
        <v>7</v>
      </c>
      <c r="D102" s="13" t="s">
        <v>109</v>
      </c>
      <c r="E102" s="14">
        <v>0</v>
      </c>
    </row>
    <row r="103" spans="1:5">
      <c r="A103" s="42">
        <v>101</v>
      </c>
      <c r="B103" s="9" t="s">
        <v>102</v>
      </c>
      <c r="C103" s="3" t="s">
        <v>8</v>
      </c>
      <c r="D103" s="13" t="s">
        <v>110</v>
      </c>
      <c r="E103" s="14">
        <v>0</v>
      </c>
    </row>
    <row r="104" spans="1:5">
      <c r="A104" s="42">
        <v>102</v>
      </c>
      <c r="B104" s="9" t="s">
        <v>102</v>
      </c>
      <c r="C104" s="2" t="s">
        <v>7</v>
      </c>
      <c r="D104" s="13" t="s">
        <v>111</v>
      </c>
      <c r="E104" s="14">
        <v>0.8</v>
      </c>
    </row>
    <row r="105" spans="1:5">
      <c r="A105" s="42">
        <v>103</v>
      </c>
      <c r="B105" s="9" t="s">
        <v>102</v>
      </c>
      <c r="C105" s="4" t="s">
        <v>5</v>
      </c>
      <c r="D105" s="13" t="s">
        <v>112</v>
      </c>
      <c r="E105" s="14">
        <v>1</v>
      </c>
    </row>
    <row r="106" spans="1:5">
      <c r="A106" s="42">
        <v>104</v>
      </c>
      <c r="B106" s="9" t="s">
        <v>102</v>
      </c>
      <c r="C106" s="3" t="s">
        <v>8</v>
      </c>
      <c r="D106" s="13" t="s">
        <v>113</v>
      </c>
      <c r="E106" s="14">
        <v>0</v>
      </c>
    </row>
    <row r="107" spans="1:5">
      <c r="A107" s="42">
        <v>105</v>
      </c>
      <c r="B107" s="9" t="s">
        <v>102</v>
      </c>
      <c r="C107" s="3" t="s">
        <v>8</v>
      </c>
      <c r="D107" s="13" t="s">
        <v>114</v>
      </c>
      <c r="E107" s="14">
        <v>3.35</v>
      </c>
    </row>
    <row r="108" spans="1:5">
      <c r="A108" s="42">
        <v>106</v>
      </c>
      <c r="B108" s="9" t="s">
        <v>102</v>
      </c>
      <c r="C108" s="2" t="s">
        <v>7</v>
      </c>
      <c r="D108" s="13" t="s">
        <v>115</v>
      </c>
      <c r="E108" s="14">
        <v>1</v>
      </c>
    </row>
    <row r="109" spans="1:5">
      <c r="A109" s="42">
        <v>107</v>
      </c>
      <c r="B109" s="9" t="s">
        <v>102</v>
      </c>
      <c r="C109" s="2" t="s">
        <v>7</v>
      </c>
      <c r="D109" s="13" t="s">
        <v>116</v>
      </c>
      <c r="E109" s="14">
        <v>1.0555000000000001</v>
      </c>
    </row>
    <row r="110" spans="1:5">
      <c r="A110" s="42">
        <v>108</v>
      </c>
      <c r="B110" s="9" t="s">
        <v>102</v>
      </c>
      <c r="C110" s="3" t="s">
        <v>8</v>
      </c>
      <c r="D110" s="13" t="s">
        <v>117</v>
      </c>
      <c r="E110" s="14">
        <v>0.46150000000000002</v>
      </c>
    </row>
    <row r="111" spans="1:5">
      <c r="A111" s="42">
        <v>109</v>
      </c>
      <c r="B111" s="9" t="s">
        <v>102</v>
      </c>
      <c r="C111" s="3" t="s">
        <v>8</v>
      </c>
      <c r="D111" s="13" t="s">
        <v>118</v>
      </c>
      <c r="E111" s="14">
        <v>0.73680000000000001</v>
      </c>
    </row>
    <row r="112" spans="1:5">
      <c r="A112" s="42">
        <v>110</v>
      </c>
      <c r="B112" s="9" t="s">
        <v>102</v>
      </c>
      <c r="C112" s="2" t="s">
        <v>7</v>
      </c>
      <c r="D112" s="13" t="s">
        <v>119</v>
      </c>
      <c r="E112" s="14">
        <v>0.375</v>
      </c>
    </row>
    <row r="113" spans="1:5">
      <c r="A113" s="42">
        <v>111</v>
      </c>
      <c r="B113" s="9" t="s">
        <v>102</v>
      </c>
      <c r="C113" s="4" t="s">
        <v>5</v>
      </c>
      <c r="D113" s="13" t="s">
        <v>120</v>
      </c>
      <c r="E113" s="14">
        <v>0.68115899999999996</v>
      </c>
    </row>
    <row r="114" spans="1:5">
      <c r="A114" s="42">
        <v>112</v>
      </c>
      <c r="B114" s="9" t="s">
        <v>102</v>
      </c>
      <c r="C114" s="4" t="s">
        <v>5</v>
      </c>
      <c r="D114" s="13" t="s">
        <v>121</v>
      </c>
      <c r="E114" s="14">
        <v>1.1411</v>
      </c>
    </row>
    <row r="115" spans="1:5">
      <c r="A115" s="42">
        <v>113</v>
      </c>
      <c r="B115" s="9" t="s">
        <v>102</v>
      </c>
      <c r="C115" s="2" t="s">
        <v>7</v>
      </c>
      <c r="D115" s="13" t="s">
        <v>122</v>
      </c>
      <c r="E115" s="14">
        <v>0</v>
      </c>
    </row>
    <row r="116" spans="1:5">
      <c r="A116" s="42">
        <v>114</v>
      </c>
      <c r="B116" s="9" t="s">
        <v>102</v>
      </c>
      <c r="C116" s="4" t="s">
        <v>5</v>
      </c>
      <c r="D116" s="13" t="s">
        <v>123</v>
      </c>
      <c r="E116" s="14">
        <v>1.2</v>
      </c>
    </row>
    <row r="117" spans="1:5">
      <c r="A117" s="42">
        <v>115</v>
      </c>
      <c r="B117" s="9" t="s">
        <v>102</v>
      </c>
      <c r="C117" s="3" t="s">
        <v>8</v>
      </c>
      <c r="D117" s="13" t="s">
        <v>124</v>
      </c>
      <c r="E117" s="14">
        <v>0.25900000000000001</v>
      </c>
    </row>
    <row r="118" spans="1:5">
      <c r="A118" s="42">
        <v>116</v>
      </c>
      <c r="B118" s="9" t="s">
        <v>102</v>
      </c>
      <c r="C118" s="2" t="s">
        <v>7</v>
      </c>
      <c r="D118" s="13" t="s">
        <v>125</v>
      </c>
      <c r="E118" s="14">
        <v>0</v>
      </c>
    </row>
    <row r="119" spans="1:5">
      <c r="A119" s="42">
        <v>117</v>
      </c>
      <c r="B119" s="9" t="s">
        <v>102</v>
      </c>
      <c r="C119" s="2" t="s">
        <v>7</v>
      </c>
      <c r="D119" s="13" t="s">
        <v>126</v>
      </c>
      <c r="E119" s="14">
        <v>0.21428</v>
      </c>
    </row>
    <row r="120" spans="1:5">
      <c r="A120" s="42">
        <v>118</v>
      </c>
      <c r="B120" s="9" t="s">
        <v>102</v>
      </c>
      <c r="C120" s="2" t="s">
        <v>7</v>
      </c>
      <c r="D120" s="13" t="s">
        <v>127</v>
      </c>
      <c r="E120" s="14">
        <v>0.33300000000000002</v>
      </c>
    </row>
    <row r="121" spans="1:5">
      <c r="A121" s="42">
        <v>119</v>
      </c>
      <c r="B121" s="9" t="s">
        <v>102</v>
      </c>
      <c r="C121" s="4" t="s">
        <v>5</v>
      </c>
      <c r="D121" s="13" t="s">
        <v>128</v>
      </c>
      <c r="E121" s="14">
        <v>3.9</v>
      </c>
    </row>
    <row r="122" spans="1:5">
      <c r="A122" s="42">
        <v>120</v>
      </c>
      <c r="B122" s="9" t="s">
        <v>102</v>
      </c>
      <c r="C122" s="4" t="s">
        <v>5</v>
      </c>
      <c r="D122" s="13" t="s">
        <v>129</v>
      </c>
      <c r="E122" s="14">
        <v>1</v>
      </c>
    </row>
    <row r="123" spans="1:5">
      <c r="A123" s="42">
        <v>121</v>
      </c>
      <c r="B123" s="9" t="s">
        <v>102</v>
      </c>
      <c r="C123" s="3" t="s">
        <v>8</v>
      </c>
      <c r="D123" s="13" t="s">
        <v>130</v>
      </c>
      <c r="E123" s="14">
        <v>1.18367</v>
      </c>
    </row>
    <row r="124" spans="1:5">
      <c r="A124" s="42">
        <v>122</v>
      </c>
      <c r="B124" s="9" t="s">
        <v>102</v>
      </c>
      <c r="C124" s="2" t="s">
        <v>7</v>
      </c>
      <c r="D124" s="13" t="s">
        <v>131</v>
      </c>
      <c r="E124" s="14">
        <v>0.873</v>
      </c>
    </row>
    <row r="125" spans="1:5">
      <c r="A125" s="42">
        <v>123</v>
      </c>
      <c r="B125" s="9" t="s">
        <v>102</v>
      </c>
      <c r="C125" s="3" t="s">
        <v>8</v>
      </c>
      <c r="D125" s="13" t="s">
        <v>132</v>
      </c>
      <c r="E125" s="14">
        <v>0</v>
      </c>
    </row>
    <row r="126" spans="1:5">
      <c r="A126" s="42">
        <v>124</v>
      </c>
      <c r="B126" s="9" t="s">
        <v>102</v>
      </c>
      <c r="C126" s="2" t="s">
        <v>7</v>
      </c>
      <c r="D126" s="13" t="s">
        <v>133</v>
      </c>
      <c r="E126" s="14">
        <v>1</v>
      </c>
    </row>
    <row r="127" spans="1:5">
      <c r="A127" s="42">
        <v>125</v>
      </c>
      <c r="B127" s="9" t="s">
        <v>102</v>
      </c>
      <c r="C127" s="2" t="s">
        <v>7</v>
      </c>
      <c r="D127" s="13" t="s">
        <v>134</v>
      </c>
      <c r="E127" s="14">
        <v>0</v>
      </c>
    </row>
    <row r="128" spans="1:5">
      <c r="A128" s="42">
        <v>126</v>
      </c>
      <c r="B128" s="9" t="s">
        <v>102</v>
      </c>
      <c r="C128" s="2" t="s">
        <v>7</v>
      </c>
      <c r="D128" s="13" t="s">
        <v>135</v>
      </c>
      <c r="E128" s="14">
        <v>0.67159999999999997</v>
      </c>
    </row>
    <row r="129" spans="1:5">
      <c r="A129" s="42">
        <v>127</v>
      </c>
      <c r="B129" s="9" t="s">
        <v>102</v>
      </c>
      <c r="C129" s="2" t="s">
        <v>7</v>
      </c>
      <c r="D129" s="13" t="s">
        <v>136</v>
      </c>
      <c r="E129" s="14">
        <v>1</v>
      </c>
    </row>
    <row r="130" spans="1:5">
      <c r="A130" s="42">
        <v>128</v>
      </c>
      <c r="B130" s="9" t="s">
        <v>102</v>
      </c>
      <c r="C130" s="2" t="s">
        <v>7</v>
      </c>
      <c r="D130" s="13" t="s">
        <v>137</v>
      </c>
      <c r="E130" s="14">
        <v>1.5</v>
      </c>
    </row>
    <row r="131" spans="1:5">
      <c r="A131" s="42">
        <v>129</v>
      </c>
      <c r="B131" s="9" t="s">
        <v>102</v>
      </c>
      <c r="C131" s="2" t="s">
        <v>7</v>
      </c>
      <c r="D131" s="13" t="s">
        <v>138</v>
      </c>
      <c r="E131" s="14">
        <v>1.0669999999999999</v>
      </c>
    </row>
    <row r="132" spans="1:5">
      <c r="A132" s="42">
        <v>130</v>
      </c>
      <c r="B132" s="9" t="s">
        <v>102</v>
      </c>
      <c r="C132" s="5" t="s">
        <v>36</v>
      </c>
      <c r="D132" s="13" t="s">
        <v>139</v>
      </c>
      <c r="E132" s="14">
        <v>1.1747000000000001</v>
      </c>
    </row>
    <row r="133" spans="1:5">
      <c r="A133" s="42">
        <v>131</v>
      </c>
      <c r="B133" s="9" t="s">
        <v>102</v>
      </c>
      <c r="C133" s="2" t="s">
        <v>7</v>
      </c>
      <c r="D133" s="13" t="s">
        <v>140</v>
      </c>
      <c r="E133" s="14">
        <v>0.11899999999999999</v>
      </c>
    </row>
    <row r="134" spans="1:5">
      <c r="A134" s="42">
        <v>132</v>
      </c>
      <c r="B134" s="9" t="s">
        <v>102</v>
      </c>
      <c r="C134" s="2" t="s">
        <v>7</v>
      </c>
      <c r="D134" s="13" t="s">
        <v>141</v>
      </c>
      <c r="E134" s="14">
        <v>0</v>
      </c>
    </row>
    <row r="135" spans="1:5">
      <c r="A135" s="42">
        <v>133</v>
      </c>
      <c r="B135" s="9" t="s">
        <v>102</v>
      </c>
      <c r="C135" s="4" t="s">
        <v>5</v>
      </c>
      <c r="D135" s="13" t="s">
        <v>142</v>
      </c>
      <c r="E135" s="14">
        <v>0</v>
      </c>
    </row>
    <row r="136" spans="1:5">
      <c r="A136" s="42">
        <v>134</v>
      </c>
      <c r="B136" s="9" t="s">
        <v>102</v>
      </c>
      <c r="C136" s="3" t="s">
        <v>8</v>
      </c>
      <c r="D136" s="13" t="s">
        <v>143</v>
      </c>
      <c r="E136" s="14">
        <v>0</v>
      </c>
    </row>
    <row r="137" spans="1:5">
      <c r="A137" s="42">
        <v>135</v>
      </c>
      <c r="B137" s="9" t="s">
        <v>102</v>
      </c>
      <c r="C137" s="2" t="s">
        <v>7</v>
      </c>
      <c r="D137" s="13" t="s">
        <v>144</v>
      </c>
      <c r="E137" s="14">
        <v>0</v>
      </c>
    </row>
    <row r="138" spans="1:5">
      <c r="A138" s="42">
        <v>136</v>
      </c>
      <c r="B138" s="9" t="s">
        <v>102</v>
      </c>
      <c r="C138" s="4" t="s">
        <v>5</v>
      </c>
      <c r="D138" s="13" t="s">
        <v>145</v>
      </c>
      <c r="E138" s="14">
        <v>0.60699999999999998</v>
      </c>
    </row>
    <row r="139" spans="1:5">
      <c r="A139" s="42">
        <v>137</v>
      </c>
      <c r="B139" s="9" t="s">
        <v>102</v>
      </c>
      <c r="C139" s="4" t="s">
        <v>5</v>
      </c>
      <c r="D139" s="13" t="s">
        <v>146</v>
      </c>
      <c r="E139" s="14">
        <v>0.5675</v>
      </c>
    </row>
    <row r="140" spans="1:5">
      <c r="A140" s="42">
        <v>138</v>
      </c>
      <c r="B140" s="9" t="s">
        <v>102</v>
      </c>
      <c r="C140" s="3" t="s">
        <v>8</v>
      </c>
      <c r="D140" s="13" t="s">
        <v>147</v>
      </c>
      <c r="E140" s="14">
        <v>0</v>
      </c>
    </row>
    <row r="141" spans="1:5">
      <c r="A141" s="42">
        <v>139</v>
      </c>
      <c r="B141" s="9" t="s">
        <v>102</v>
      </c>
      <c r="C141" s="2" t="s">
        <v>7</v>
      </c>
      <c r="D141" s="13" t="s">
        <v>148</v>
      </c>
      <c r="E141" s="14">
        <v>1.0192300000000001</v>
      </c>
    </row>
    <row r="142" spans="1:5">
      <c r="A142" s="42">
        <v>140</v>
      </c>
      <c r="B142" s="9" t="s">
        <v>102</v>
      </c>
      <c r="C142" s="3" t="s">
        <v>8</v>
      </c>
      <c r="D142" s="13" t="s">
        <v>149</v>
      </c>
      <c r="E142" s="14">
        <v>0.373</v>
      </c>
    </row>
    <row r="143" spans="1:5">
      <c r="A143" s="42">
        <v>141</v>
      </c>
      <c r="B143" s="9" t="s">
        <v>102</v>
      </c>
      <c r="C143" s="2" t="s">
        <v>7</v>
      </c>
      <c r="D143" s="13" t="s">
        <v>150</v>
      </c>
      <c r="E143" s="14">
        <v>0.77500000000000002</v>
      </c>
    </row>
    <row r="144" spans="1:5">
      <c r="A144" s="42">
        <v>142</v>
      </c>
      <c r="B144" s="9" t="s">
        <v>102</v>
      </c>
      <c r="C144" s="3" t="s">
        <v>8</v>
      </c>
      <c r="D144" s="13" t="s">
        <v>151</v>
      </c>
      <c r="E144" s="14">
        <v>0.43</v>
      </c>
    </row>
    <row r="145" spans="1:5">
      <c r="A145" s="42">
        <v>143</v>
      </c>
      <c r="B145" s="9" t="s">
        <v>102</v>
      </c>
      <c r="C145" s="2" t="s">
        <v>7</v>
      </c>
      <c r="D145" s="13" t="s">
        <v>152</v>
      </c>
      <c r="E145" s="14">
        <v>1.25</v>
      </c>
    </row>
    <row r="146" spans="1:5">
      <c r="A146" s="42">
        <v>144</v>
      </c>
      <c r="B146" s="9" t="s">
        <v>102</v>
      </c>
      <c r="C146" s="2" t="s">
        <v>7</v>
      </c>
      <c r="D146" s="13" t="s">
        <v>153</v>
      </c>
      <c r="E146" s="14">
        <v>1.234</v>
      </c>
    </row>
    <row r="147" spans="1:5">
      <c r="A147" s="42">
        <v>145</v>
      </c>
      <c r="B147" s="9" t="s">
        <v>102</v>
      </c>
      <c r="C147" s="2" t="s">
        <v>7</v>
      </c>
      <c r="D147" s="13" t="s">
        <v>154</v>
      </c>
      <c r="E147" s="14">
        <v>7.8899999999999998E-2</v>
      </c>
    </row>
    <row r="148" spans="1:5">
      <c r="A148" s="42">
        <v>146</v>
      </c>
      <c r="B148" s="9" t="s">
        <v>102</v>
      </c>
      <c r="C148" s="2" t="s">
        <v>7</v>
      </c>
      <c r="D148" s="13" t="s">
        <v>155</v>
      </c>
      <c r="E148" s="14">
        <v>0.58299999999999996</v>
      </c>
    </row>
    <row r="149" spans="1:5">
      <c r="A149" s="42">
        <v>147</v>
      </c>
      <c r="B149" s="9" t="s">
        <v>102</v>
      </c>
      <c r="C149" s="2" t="s">
        <v>7</v>
      </c>
      <c r="D149" s="13" t="s">
        <v>156</v>
      </c>
      <c r="E149" s="14">
        <v>0</v>
      </c>
    </row>
    <row r="150" spans="1:5">
      <c r="A150" s="42">
        <v>148</v>
      </c>
      <c r="B150" s="9" t="s">
        <v>102</v>
      </c>
      <c r="C150" s="2" t="s">
        <v>7</v>
      </c>
      <c r="D150" s="13" t="s">
        <v>157</v>
      </c>
      <c r="E150" s="14">
        <v>0.4</v>
      </c>
    </row>
    <row r="151" spans="1:5">
      <c r="A151" s="42">
        <v>149</v>
      </c>
      <c r="B151" s="9" t="s">
        <v>102</v>
      </c>
      <c r="C151" s="2" t="s">
        <v>7</v>
      </c>
      <c r="D151" s="13" t="s">
        <v>158</v>
      </c>
      <c r="E151" s="14">
        <v>1.2857000000000001</v>
      </c>
    </row>
    <row r="152" spans="1:5">
      <c r="A152" s="42">
        <v>150</v>
      </c>
      <c r="B152" s="9" t="s">
        <v>102</v>
      </c>
      <c r="C152" s="4" t="s">
        <v>5</v>
      </c>
      <c r="D152" s="13" t="s">
        <v>159</v>
      </c>
      <c r="E152" s="14">
        <v>0.61499999999999999</v>
      </c>
    </row>
    <row r="153" spans="1:5">
      <c r="A153" s="42">
        <v>151</v>
      </c>
      <c r="B153" s="9" t="s">
        <v>102</v>
      </c>
      <c r="C153" s="4" t="s">
        <v>5</v>
      </c>
      <c r="D153" s="13" t="s">
        <v>160</v>
      </c>
      <c r="E153" s="14">
        <v>0.73260000000000003</v>
      </c>
    </row>
    <row r="154" spans="1:5">
      <c r="A154" s="42">
        <v>152</v>
      </c>
      <c r="B154" s="9" t="s">
        <v>161</v>
      </c>
      <c r="C154" s="2" t="s">
        <v>7</v>
      </c>
      <c r="D154" s="13" t="s">
        <v>162</v>
      </c>
      <c r="E154" s="14">
        <v>8.81</v>
      </c>
    </row>
    <row r="155" spans="1:5">
      <c r="A155" s="42">
        <v>153</v>
      </c>
      <c r="B155" s="9" t="s">
        <v>161</v>
      </c>
      <c r="C155" s="3" t="s">
        <v>8</v>
      </c>
      <c r="D155" s="13" t="s">
        <v>163</v>
      </c>
      <c r="E155" s="14">
        <v>2.08</v>
      </c>
    </row>
    <row r="156" spans="1:5">
      <c r="A156" s="42">
        <v>154</v>
      </c>
      <c r="B156" s="9" t="s">
        <v>161</v>
      </c>
      <c r="C156" s="2" t="s">
        <v>7</v>
      </c>
      <c r="D156" s="13" t="s">
        <v>164</v>
      </c>
      <c r="E156" s="14">
        <v>1.431</v>
      </c>
    </row>
    <row r="157" spans="1:5">
      <c r="A157" s="42">
        <v>155</v>
      </c>
      <c r="B157" s="9" t="s">
        <v>161</v>
      </c>
      <c r="C157" s="2" t="s">
        <v>7</v>
      </c>
      <c r="D157" s="13" t="s">
        <v>165</v>
      </c>
      <c r="E157" s="14">
        <v>2.4255</v>
      </c>
    </row>
    <row r="158" spans="1:5">
      <c r="A158" s="42">
        <v>156</v>
      </c>
      <c r="B158" s="9" t="s">
        <v>161</v>
      </c>
      <c r="C158" s="2" t="s">
        <v>7</v>
      </c>
      <c r="D158" s="13" t="s">
        <v>166</v>
      </c>
      <c r="E158" s="14">
        <v>5.8308799999999996</v>
      </c>
    </row>
    <row r="159" spans="1:5">
      <c r="A159" s="42">
        <v>157</v>
      </c>
      <c r="B159" s="9" t="s">
        <v>161</v>
      </c>
      <c r="C159" s="2" t="s">
        <v>7</v>
      </c>
      <c r="D159" s="13" t="s">
        <v>167</v>
      </c>
      <c r="E159" s="14">
        <v>2.1760000000000002</v>
      </c>
    </row>
    <row r="160" spans="1:5">
      <c r="A160" s="42">
        <v>158</v>
      </c>
      <c r="B160" s="9" t="s">
        <v>161</v>
      </c>
      <c r="C160" s="4" t="s">
        <v>5</v>
      </c>
      <c r="D160" s="13" t="s">
        <v>168</v>
      </c>
      <c r="E160" s="14">
        <v>6.1390000000000002</v>
      </c>
    </row>
    <row r="161" spans="1:5">
      <c r="A161" s="42">
        <v>159</v>
      </c>
      <c r="B161" s="9" t="s">
        <v>161</v>
      </c>
      <c r="C161" s="5" t="s">
        <v>36</v>
      </c>
      <c r="D161" s="13" t="s">
        <v>169</v>
      </c>
      <c r="E161" s="14">
        <v>2.19</v>
      </c>
    </row>
    <row r="162" spans="1:5">
      <c r="A162" s="42">
        <v>160</v>
      </c>
      <c r="B162" s="9" t="s">
        <v>161</v>
      </c>
      <c r="C162" s="4" t="s">
        <v>5</v>
      </c>
      <c r="D162" s="13" t="s">
        <v>170</v>
      </c>
      <c r="E162" s="14">
        <v>2.94</v>
      </c>
    </row>
    <row r="163" spans="1:5">
      <c r="A163" s="42">
        <v>161</v>
      </c>
      <c r="B163" s="9" t="s">
        <v>161</v>
      </c>
      <c r="C163" s="3" t="s">
        <v>8</v>
      </c>
      <c r="D163" s="13" t="s">
        <v>171</v>
      </c>
      <c r="E163" s="14">
        <v>4.1399999999999997</v>
      </c>
    </row>
    <row r="164" spans="1:5">
      <c r="A164" s="42">
        <v>162</v>
      </c>
      <c r="B164" s="9" t="s">
        <v>161</v>
      </c>
      <c r="C164" s="3" t="s">
        <v>8</v>
      </c>
      <c r="D164" s="13" t="s">
        <v>172</v>
      </c>
      <c r="E164" s="14">
        <v>0.4</v>
      </c>
    </row>
    <row r="165" spans="1:5">
      <c r="A165" s="42">
        <v>163</v>
      </c>
      <c r="B165" s="9" t="s">
        <v>161</v>
      </c>
      <c r="C165" s="2" t="s">
        <v>7</v>
      </c>
      <c r="D165" s="13" t="s">
        <v>173</v>
      </c>
      <c r="E165" s="14">
        <v>3.08</v>
      </c>
    </row>
    <row r="166" spans="1:5">
      <c r="A166" s="42">
        <v>164</v>
      </c>
      <c r="B166" s="9" t="s">
        <v>161</v>
      </c>
      <c r="C166" s="2" t="s">
        <v>7</v>
      </c>
      <c r="D166" s="13" t="s">
        <v>174</v>
      </c>
      <c r="E166" s="14">
        <v>3.3957000000000002</v>
      </c>
    </row>
    <row r="167" spans="1:5">
      <c r="A167" s="42">
        <v>165</v>
      </c>
      <c r="B167" s="9" t="s">
        <v>161</v>
      </c>
      <c r="C167" s="3" t="s">
        <v>8</v>
      </c>
      <c r="D167" s="13" t="s">
        <v>175</v>
      </c>
      <c r="E167" s="14">
        <v>0.6</v>
      </c>
    </row>
    <row r="168" spans="1:5">
      <c r="A168" s="42">
        <v>166</v>
      </c>
      <c r="B168" s="9" t="s">
        <v>161</v>
      </c>
      <c r="C168" s="2" t="s">
        <v>7</v>
      </c>
      <c r="D168" s="13" t="s">
        <v>176</v>
      </c>
      <c r="E168" s="14">
        <v>1.19</v>
      </c>
    </row>
    <row r="169" spans="1:5">
      <c r="A169" s="42">
        <v>167</v>
      </c>
      <c r="B169" s="9" t="s">
        <v>161</v>
      </c>
      <c r="C169" s="2" t="s">
        <v>7</v>
      </c>
      <c r="D169" s="13" t="s">
        <v>177</v>
      </c>
      <c r="E169" s="14">
        <v>1.35</v>
      </c>
    </row>
    <row r="170" spans="1:5">
      <c r="A170" s="42">
        <v>168</v>
      </c>
      <c r="B170" s="9" t="s">
        <v>161</v>
      </c>
      <c r="C170" s="2" t="s">
        <v>7</v>
      </c>
      <c r="D170" s="13" t="s">
        <v>178</v>
      </c>
      <c r="E170" s="14">
        <v>1.3289</v>
      </c>
    </row>
    <row r="171" spans="1:5">
      <c r="A171" s="42">
        <v>169</v>
      </c>
      <c r="B171" s="9" t="s">
        <v>161</v>
      </c>
      <c r="C171" s="2" t="s">
        <v>7</v>
      </c>
      <c r="D171" s="13" t="s">
        <v>179</v>
      </c>
      <c r="E171" s="14">
        <v>1.17</v>
      </c>
    </row>
    <row r="172" spans="1:5">
      <c r="A172" s="42">
        <v>170</v>
      </c>
      <c r="B172" s="9" t="s">
        <v>161</v>
      </c>
      <c r="C172" s="2" t="s">
        <v>7</v>
      </c>
      <c r="D172" s="13" t="s">
        <v>180</v>
      </c>
      <c r="E172" s="14">
        <v>3.8534000000000002</v>
      </c>
    </row>
    <row r="173" spans="1:5">
      <c r="A173" s="42">
        <v>171</v>
      </c>
      <c r="B173" s="9" t="s">
        <v>161</v>
      </c>
      <c r="C173" s="4" t="s">
        <v>5</v>
      </c>
      <c r="D173" s="13" t="s">
        <v>742</v>
      </c>
      <c r="E173" s="14">
        <v>3.9740000000000002</v>
      </c>
    </row>
    <row r="174" spans="1:5">
      <c r="A174" s="42">
        <v>172</v>
      </c>
      <c r="B174" s="9" t="s">
        <v>161</v>
      </c>
      <c r="C174" s="3" t="s">
        <v>8</v>
      </c>
      <c r="D174" s="13" t="s">
        <v>181</v>
      </c>
      <c r="E174" s="14">
        <v>1.7656000000000001</v>
      </c>
    </row>
    <row r="175" spans="1:5">
      <c r="A175" s="42">
        <v>173</v>
      </c>
      <c r="B175" s="9" t="s">
        <v>161</v>
      </c>
      <c r="C175" s="2" t="s">
        <v>7</v>
      </c>
      <c r="D175" s="13" t="s">
        <v>182</v>
      </c>
      <c r="E175" s="14">
        <v>1.8560000000000001</v>
      </c>
    </row>
    <row r="176" spans="1:5">
      <c r="A176" s="42">
        <v>174</v>
      </c>
      <c r="B176" s="9" t="s">
        <v>161</v>
      </c>
      <c r="C176" s="3" t="s">
        <v>8</v>
      </c>
      <c r="D176" s="13" t="s">
        <v>183</v>
      </c>
      <c r="E176" s="14">
        <v>1.768</v>
      </c>
    </row>
    <row r="177" spans="1:5">
      <c r="A177" s="42">
        <v>175</v>
      </c>
      <c r="B177" s="9" t="s">
        <v>161</v>
      </c>
      <c r="C177" s="2" t="s">
        <v>7</v>
      </c>
      <c r="D177" s="13" t="s">
        <v>184</v>
      </c>
      <c r="E177" s="14">
        <v>1.329</v>
      </c>
    </row>
    <row r="178" spans="1:5">
      <c r="A178" s="42">
        <v>176</v>
      </c>
      <c r="B178" s="9" t="s">
        <v>161</v>
      </c>
      <c r="C178" s="2" t="s">
        <v>7</v>
      </c>
      <c r="D178" s="13" t="s">
        <v>185</v>
      </c>
      <c r="E178" s="14">
        <v>1.08</v>
      </c>
    </row>
    <row r="179" spans="1:5">
      <c r="A179" s="42">
        <v>177</v>
      </c>
      <c r="B179" s="9" t="s">
        <v>161</v>
      </c>
      <c r="C179" s="3" t="s">
        <v>8</v>
      </c>
      <c r="D179" s="13" t="s">
        <v>186</v>
      </c>
      <c r="E179" s="14">
        <v>2.48</v>
      </c>
    </row>
    <row r="180" spans="1:5">
      <c r="A180" s="42">
        <v>178</v>
      </c>
      <c r="B180" s="9" t="s">
        <v>161</v>
      </c>
      <c r="C180" s="2" t="s">
        <v>7</v>
      </c>
      <c r="D180" s="13" t="s">
        <v>187</v>
      </c>
      <c r="E180" s="14">
        <v>1.62</v>
      </c>
    </row>
    <row r="181" spans="1:5">
      <c r="A181" s="42">
        <v>179</v>
      </c>
      <c r="B181" s="9" t="s">
        <v>161</v>
      </c>
      <c r="C181" s="4" t="s">
        <v>5</v>
      </c>
      <c r="D181" s="13" t="s">
        <v>188</v>
      </c>
      <c r="E181" s="14">
        <v>3</v>
      </c>
    </row>
    <row r="182" spans="1:5">
      <c r="A182" s="42">
        <v>180</v>
      </c>
      <c r="B182" s="9" t="s">
        <v>161</v>
      </c>
      <c r="C182" s="3" t="s">
        <v>8</v>
      </c>
      <c r="D182" s="13" t="s">
        <v>189</v>
      </c>
      <c r="E182" s="14">
        <v>0.62</v>
      </c>
    </row>
    <row r="183" spans="1:5">
      <c r="A183" s="42">
        <v>181</v>
      </c>
      <c r="B183" s="9" t="s">
        <v>161</v>
      </c>
      <c r="C183" s="2" t="s">
        <v>7</v>
      </c>
      <c r="D183" s="13" t="s">
        <v>190</v>
      </c>
      <c r="E183" s="14">
        <v>1.5869</v>
      </c>
    </row>
    <row r="184" spans="1:5">
      <c r="A184" s="42">
        <v>182</v>
      </c>
      <c r="B184" s="9" t="s">
        <v>161</v>
      </c>
      <c r="C184" s="3" t="s">
        <v>8</v>
      </c>
      <c r="D184" s="13" t="s">
        <v>191</v>
      </c>
      <c r="E184" s="14">
        <v>0.15018999999999999</v>
      </c>
    </row>
    <row r="185" spans="1:5">
      <c r="A185" s="42">
        <v>183</v>
      </c>
      <c r="B185" s="9" t="s">
        <v>161</v>
      </c>
      <c r="C185" s="2" t="s">
        <v>7</v>
      </c>
      <c r="D185" s="13" t="s">
        <v>192</v>
      </c>
      <c r="E185" s="14">
        <v>3.0550000000000002</v>
      </c>
    </row>
    <row r="186" spans="1:5">
      <c r="A186" s="42">
        <v>184</v>
      </c>
      <c r="B186" s="9" t="s">
        <v>161</v>
      </c>
      <c r="C186" s="3" t="s">
        <v>8</v>
      </c>
      <c r="D186" s="13" t="s">
        <v>193</v>
      </c>
      <c r="E186" s="14">
        <v>1.3454999999999999</v>
      </c>
    </row>
    <row r="187" spans="1:5">
      <c r="A187" s="42">
        <v>185</v>
      </c>
      <c r="B187" s="9" t="s">
        <v>161</v>
      </c>
      <c r="C187" s="2" t="s">
        <v>7</v>
      </c>
      <c r="D187" s="13" t="s">
        <v>194</v>
      </c>
      <c r="E187" s="14">
        <v>0.76470000000000005</v>
      </c>
    </row>
    <row r="188" spans="1:5">
      <c r="A188" s="42">
        <v>186</v>
      </c>
      <c r="B188" s="9" t="s">
        <v>161</v>
      </c>
      <c r="C188" s="2" t="s">
        <v>7</v>
      </c>
      <c r="D188" s="13" t="s">
        <v>195</v>
      </c>
      <c r="E188" s="14">
        <v>3.09</v>
      </c>
    </row>
    <row r="189" spans="1:5">
      <c r="A189" s="42">
        <v>187</v>
      </c>
      <c r="B189" s="9" t="s">
        <v>161</v>
      </c>
      <c r="C189" s="4" t="s">
        <v>5</v>
      </c>
      <c r="D189" s="13" t="s">
        <v>196</v>
      </c>
      <c r="E189" s="14">
        <v>4.2560000000000002</v>
      </c>
    </row>
    <row r="190" spans="1:5">
      <c r="A190" s="42">
        <v>188</v>
      </c>
      <c r="B190" s="9" t="s">
        <v>161</v>
      </c>
      <c r="C190" s="3" t="s">
        <v>8</v>
      </c>
      <c r="D190" s="13" t="s">
        <v>197</v>
      </c>
      <c r="E190" s="14">
        <v>1.48</v>
      </c>
    </row>
    <row r="191" spans="1:5">
      <c r="A191" s="42">
        <v>189</v>
      </c>
      <c r="B191" s="9" t="s">
        <v>161</v>
      </c>
      <c r="C191" s="2" t="s">
        <v>7</v>
      </c>
      <c r="D191" s="13" t="s">
        <v>198</v>
      </c>
      <c r="E191" s="14">
        <v>0.44800000000000001</v>
      </c>
    </row>
    <row r="192" spans="1:5">
      <c r="A192" s="42">
        <v>190</v>
      </c>
      <c r="B192" s="9" t="s">
        <v>161</v>
      </c>
      <c r="C192" s="2" t="s">
        <v>7</v>
      </c>
      <c r="D192" s="13" t="s">
        <v>199</v>
      </c>
      <c r="E192" s="14">
        <v>1.5178</v>
      </c>
    </row>
    <row r="193" spans="1:5">
      <c r="A193" s="42">
        <v>191</v>
      </c>
      <c r="B193" s="9" t="s">
        <v>161</v>
      </c>
      <c r="C193" s="3" t="s">
        <v>8</v>
      </c>
      <c r="D193" s="13" t="s">
        <v>200</v>
      </c>
      <c r="E193" s="14">
        <v>8.8000000000000007</v>
      </c>
    </row>
    <row r="194" spans="1:5">
      <c r="A194" s="42">
        <v>192</v>
      </c>
      <c r="B194" s="9" t="s">
        <v>161</v>
      </c>
      <c r="C194" s="2" t="s">
        <v>7</v>
      </c>
      <c r="D194" s="13" t="s">
        <v>201</v>
      </c>
      <c r="E194" s="14">
        <v>8.94</v>
      </c>
    </row>
    <row r="195" spans="1:5">
      <c r="A195" s="42">
        <v>193</v>
      </c>
      <c r="B195" s="9" t="s">
        <v>161</v>
      </c>
      <c r="C195" s="2" t="s">
        <v>7</v>
      </c>
      <c r="D195" s="13" t="s">
        <v>202</v>
      </c>
      <c r="E195" s="14">
        <v>4.2990000000000004</v>
      </c>
    </row>
    <row r="196" spans="1:5">
      <c r="A196" s="42">
        <v>194</v>
      </c>
      <c r="B196" s="9" t="s">
        <v>161</v>
      </c>
      <c r="C196" s="2" t="s">
        <v>7</v>
      </c>
      <c r="D196" s="13" t="s">
        <v>203</v>
      </c>
      <c r="E196" s="14">
        <v>2.1800000000000002</v>
      </c>
    </row>
    <row r="197" spans="1:5">
      <c r="A197" s="42">
        <v>195</v>
      </c>
      <c r="B197" s="9" t="s">
        <v>161</v>
      </c>
      <c r="C197" s="2" t="s">
        <v>7</v>
      </c>
      <c r="D197" s="13" t="s">
        <v>204</v>
      </c>
      <c r="E197" s="14">
        <v>1.25</v>
      </c>
    </row>
    <row r="198" spans="1:5">
      <c r="A198" s="42">
        <v>196</v>
      </c>
      <c r="B198" s="9" t="s">
        <v>161</v>
      </c>
      <c r="C198" s="2" t="s">
        <v>7</v>
      </c>
      <c r="D198" s="13" t="s">
        <v>205</v>
      </c>
      <c r="E198" s="14">
        <v>1.56</v>
      </c>
    </row>
    <row r="199" spans="1:5">
      <c r="A199" s="42">
        <v>197</v>
      </c>
      <c r="B199" s="9" t="s">
        <v>161</v>
      </c>
      <c r="C199" s="2" t="s">
        <v>7</v>
      </c>
      <c r="D199" s="13" t="s">
        <v>206</v>
      </c>
      <c r="E199" s="14">
        <v>1.61</v>
      </c>
    </row>
    <row r="200" spans="1:5">
      <c r="A200" s="42">
        <v>198</v>
      </c>
      <c r="B200" s="9" t="s">
        <v>161</v>
      </c>
      <c r="C200" s="2" t="s">
        <v>7</v>
      </c>
      <c r="D200" s="13" t="s">
        <v>207</v>
      </c>
      <c r="E200" s="14">
        <v>1.9375</v>
      </c>
    </row>
    <row r="201" spans="1:5">
      <c r="A201" s="42">
        <v>199</v>
      </c>
      <c r="B201" s="9" t="s">
        <v>161</v>
      </c>
      <c r="C201" s="2" t="s">
        <v>7</v>
      </c>
      <c r="D201" s="13" t="s">
        <v>208</v>
      </c>
      <c r="E201" s="14">
        <v>4.5</v>
      </c>
    </row>
    <row r="202" spans="1:5">
      <c r="A202" s="42">
        <v>200</v>
      </c>
      <c r="B202" s="9" t="s">
        <v>161</v>
      </c>
      <c r="C202" s="2" t="s">
        <v>7</v>
      </c>
      <c r="D202" s="13" t="s">
        <v>209</v>
      </c>
      <c r="E202" s="14">
        <v>0.55600000000000005</v>
      </c>
    </row>
    <row r="203" spans="1:5">
      <c r="A203" s="42">
        <v>201</v>
      </c>
      <c r="B203" s="9" t="s">
        <v>161</v>
      </c>
      <c r="C203" s="4" t="s">
        <v>5</v>
      </c>
      <c r="D203" s="13" t="s">
        <v>210</v>
      </c>
      <c r="E203" s="14">
        <v>1.56</v>
      </c>
    </row>
    <row r="204" spans="1:5">
      <c r="A204" s="42">
        <v>202</v>
      </c>
      <c r="B204" s="9" t="s">
        <v>161</v>
      </c>
      <c r="C204" s="3" t="s">
        <v>8</v>
      </c>
      <c r="D204" s="13" t="s">
        <v>211</v>
      </c>
      <c r="E204" s="14">
        <v>1.2070000000000001</v>
      </c>
    </row>
    <row r="205" spans="1:5">
      <c r="A205" s="42">
        <v>203</v>
      </c>
      <c r="B205" s="9" t="s">
        <v>161</v>
      </c>
      <c r="C205" s="4" t="s">
        <v>5</v>
      </c>
      <c r="D205" s="13" t="s">
        <v>212</v>
      </c>
      <c r="E205" s="14">
        <v>4.0999999999999996</v>
      </c>
    </row>
    <row r="206" spans="1:5">
      <c r="A206" s="42">
        <v>204</v>
      </c>
      <c r="B206" s="9" t="s">
        <v>161</v>
      </c>
      <c r="C206" s="3" t="s">
        <v>8</v>
      </c>
      <c r="D206" s="13" t="s">
        <v>213</v>
      </c>
      <c r="E206" s="14">
        <v>1.306</v>
      </c>
    </row>
    <row r="207" spans="1:5">
      <c r="A207" s="42">
        <v>205</v>
      </c>
      <c r="B207" s="9" t="s">
        <v>161</v>
      </c>
      <c r="C207" s="2" t="s">
        <v>7</v>
      </c>
      <c r="D207" s="13" t="s">
        <v>214</v>
      </c>
      <c r="E207" s="14">
        <v>1.38</v>
      </c>
    </row>
    <row r="208" spans="1:5">
      <c r="A208" s="42">
        <v>206</v>
      </c>
      <c r="B208" s="9" t="s">
        <v>161</v>
      </c>
      <c r="C208" s="2" t="s">
        <v>7</v>
      </c>
      <c r="D208" s="13" t="s">
        <v>215</v>
      </c>
      <c r="E208" s="14">
        <v>1.18</v>
      </c>
    </row>
    <row r="209" spans="1:5">
      <c r="A209" s="42">
        <v>207</v>
      </c>
      <c r="B209" s="9" t="s">
        <v>161</v>
      </c>
      <c r="C209" s="4" t="s">
        <v>5</v>
      </c>
      <c r="D209" s="13" t="s">
        <v>216</v>
      </c>
      <c r="E209" s="14">
        <v>1.3108</v>
      </c>
    </row>
    <row r="210" spans="1:5">
      <c r="A210" s="42">
        <v>208</v>
      </c>
      <c r="B210" s="9" t="s">
        <v>161</v>
      </c>
      <c r="C210" s="3" t="s">
        <v>8</v>
      </c>
      <c r="D210" s="13" t="s">
        <v>217</v>
      </c>
      <c r="E210" s="14">
        <v>4.1379999999999999</v>
      </c>
    </row>
    <row r="211" spans="1:5">
      <c r="A211" s="42">
        <v>209</v>
      </c>
      <c r="B211" s="9" t="s">
        <v>218</v>
      </c>
      <c r="C211" s="2" t="s">
        <v>7</v>
      </c>
      <c r="D211" s="13" t="s">
        <v>219</v>
      </c>
      <c r="E211" s="14">
        <v>1.4354800000000001</v>
      </c>
    </row>
    <row r="212" spans="1:5">
      <c r="A212" s="42">
        <v>210</v>
      </c>
      <c r="B212" s="9" t="s">
        <v>218</v>
      </c>
      <c r="C212" s="2" t="s">
        <v>7</v>
      </c>
      <c r="D212" s="13" t="s">
        <v>220</v>
      </c>
      <c r="E212" s="14">
        <v>6.02</v>
      </c>
    </row>
    <row r="213" spans="1:5">
      <c r="A213" s="42">
        <v>211</v>
      </c>
      <c r="B213" s="9" t="s">
        <v>218</v>
      </c>
      <c r="C213" s="2" t="s">
        <v>7</v>
      </c>
      <c r="D213" s="13" t="s">
        <v>221</v>
      </c>
      <c r="E213" s="14">
        <v>9.0625</v>
      </c>
    </row>
    <row r="214" spans="1:5">
      <c r="A214" s="42">
        <v>212</v>
      </c>
      <c r="B214" s="9" t="s">
        <v>218</v>
      </c>
      <c r="C214" s="3" t="s">
        <v>8</v>
      </c>
      <c r="D214" s="13" t="s">
        <v>222</v>
      </c>
      <c r="E214" s="14">
        <v>0</v>
      </c>
    </row>
    <row r="215" spans="1:5">
      <c r="A215" s="42">
        <v>213</v>
      </c>
      <c r="B215" s="9" t="s">
        <v>218</v>
      </c>
      <c r="C215" s="2" t="s">
        <v>7</v>
      </c>
      <c r="D215" s="13" t="s">
        <v>223</v>
      </c>
      <c r="E215" s="14">
        <v>1</v>
      </c>
    </row>
    <row r="216" spans="1:5">
      <c r="A216" s="42">
        <v>214</v>
      </c>
      <c r="B216" s="9" t="s">
        <v>218</v>
      </c>
      <c r="C216" s="2" t="s">
        <v>7</v>
      </c>
      <c r="D216" s="13" t="s">
        <v>224</v>
      </c>
      <c r="E216" s="14">
        <v>3.07</v>
      </c>
    </row>
    <row r="217" spans="1:5">
      <c r="A217" s="42">
        <v>215</v>
      </c>
      <c r="B217" s="9" t="s">
        <v>218</v>
      </c>
      <c r="C217" s="2" t="s">
        <v>7</v>
      </c>
      <c r="D217" s="13" t="s">
        <v>225</v>
      </c>
      <c r="E217" s="14">
        <v>5.7826000000000004</v>
      </c>
    </row>
    <row r="218" spans="1:5">
      <c r="A218" s="42">
        <v>216</v>
      </c>
      <c r="B218" s="9" t="s">
        <v>218</v>
      </c>
      <c r="C218" s="3" t="s">
        <v>8</v>
      </c>
      <c r="D218" s="13" t="s">
        <v>226</v>
      </c>
      <c r="E218" s="14">
        <v>0.17</v>
      </c>
    </row>
    <row r="219" spans="1:5">
      <c r="A219" s="42">
        <v>217</v>
      </c>
      <c r="B219" s="9" t="s">
        <v>218</v>
      </c>
      <c r="C219" s="2" t="s">
        <v>7</v>
      </c>
      <c r="D219" s="13" t="s">
        <v>227</v>
      </c>
      <c r="E219" s="14">
        <v>1.61</v>
      </c>
    </row>
    <row r="220" spans="1:5">
      <c r="A220" s="42">
        <v>218</v>
      </c>
      <c r="B220" s="9" t="s">
        <v>218</v>
      </c>
      <c r="C220" s="4" t="s">
        <v>5</v>
      </c>
      <c r="D220" s="13" t="s">
        <v>228</v>
      </c>
      <c r="E220" s="14">
        <v>0</v>
      </c>
    </row>
    <row r="221" spans="1:5">
      <c r="A221" s="42">
        <v>219</v>
      </c>
      <c r="B221" s="9" t="s">
        <v>218</v>
      </c>
      <c r="C221" s="2" t="s">
        <v>7</v>
      </c>
      <c r="D221" s="13" t="s">
        <v>229</v>
      </c>
      <c r="E221" s="14">
        <v>0.02</v>
      </c>
    </row>
    <row r="222" spans="1:5">
      <c r="A222" s="42">
        <v>220</v>
      </c>
      <c r="B222" s="9" t="s">
        <v>218</v>
      </c>
      <c r="C222" s="3" t="s">
        <v>8</v>
      </c>
      <c r="D222" s="13" t="s">
        <v>230</v>
      </c>
      <c r="E222" s="14">
        <v>1.0222</v>
      </c>
    </row>
    <row r="223" spans="1:5">
      <c r="A223" s="42">
        <v>221</v>
      </c>
      <c r="B223" s="9" t="s">
        <v>218</v>
      </c>
      <c r="C223" s="4" t="s">
        <v>5</v>
      </c>
      <c r="D223" s="13" t="s">
        <v>231</v>
      </c>
      <c r="E223" s="14">
        <v>0</v>
      </c>
    </row>
    <row r="224" spans="1:5">
      <c r="A224" s="42">
        <v>222</v>
      </c>
      <c r="B224" s="9" t="s">
        <v>218</v>
      </c>
      <c r="C224" s="4" t="s">
        <v>5</v>
      </c>
      <c r="D224" s="13" t="s">
        <v>232</v>
      </c>
      <c r="E224" s="14">
        <v>0</v>
      </c>
    </row>
    <row r="225" spans="1:5">
      <c r="A225" s="42">
        <v>223</v>
      </c>
      <c r="B225" s="9" t="s">
        <v>218</v>
      </c>
      <c r="C225" s="3" t="s">
        <v>8</v>
      </c>
      <c r="D225" s="13" t="s">
        <v>233</v>
      </c>
      <c r="E225" s="14">
        <v>3</v>
      </c>
    </row>
    <row r="226" spans="1:5">
      <c r="A226" s="42">
        <v>224</v>
      </c>
      <c r="B226" s="9" t="s">
        <v>218</v>
      </c>
      <c r="C226" s="3" t="s">
        <v>8</v>
      </c>
      <c r="D226" s="13" t="s">
        <v>234</v>
      </c>
      <c r="E226" s="14">
        <v>0.93</v>
      </c>
    </row>
    <row r="227" spans="1:5">
      <c r="A227" s="42">
        <v>225</v>
      </c>
      <c r="B227" s="9" t="s">
        <v>218</v>
      </c>
      <c r="C227" s="2" t="s">
        <v>7</v>
      </c>
      <c r="D227" s="13" t="s">
        <v>235</v>
      </c>
      <c r="E227" s="14">
        <v>1.41</v>
      </c>
    </row>
    <row r="228" spans="1:5">
      <c r="A228" s="42">
        <v>226</v>
      </c>
      <c r="B228" s="9" t="s">
        <v>218</v>
      </c>
      <c r="C228" s="2" t="s">
        <v>7</v>
      </c>
      <c r="D228" s="13" t="s">
        <v>236</v>
      </c>
      <c r="E228" s="14">
        <v>0</v>
      </c>
    </row>
    <row r="229" spans="1:5">
      <c r="A229" s="42">
        <v>227</v>
      </c>
      <c r="B229" s="9" t="s">
        <v>218</v>
      </c>
      <c r="C229" s="3" t="s">
        <v>8</v>
      </c>
      <c r="D229" s="13" t="s">
        <v>237</v>
      </c>
      <c r="E229" s="14">
        <v>0.35589999999999999</v>
      </c>
    </row>
    <row r="230" spans="1:5">
      <c r="A230" s="42">
        <v>228</v>
      </c>
      <c r="B230" s="9" t="s">
        <v>218</v>
      </c>
      <c r="C230" s="2" t="s">
        <v>7</v>
      </c>
      <c r="D230" s="13" t="s">
        <v>238</v>
      </c>
      <c r="E230" s="14">
        <v>0</v>
      </c>
    </row>
    <row r="231" spans="1:5">
      <c r="A231" s="42">
        <v>229</v>
      </c>
      <c r="B231" s="9" t="s">
        <v>218</v>
      </c>
      <c r="C231" s="5" t="s">
        <v>36</v>
      </c>
      <c r="D231" s="13" t="s">
        <v>239</v>
      </c>
      <c r="E231" s="14">
        <v>0</v>
      </c>
    </row>
    <row r="232" spans="1:5">
      <c r="A232" s="42">
        <v>230</v>
      </c>
      <c r="B232" s="9" t="s">
        <v>218</v>
      </c>
      <c r="C232" s="3" t="s">
        <v>8</v>
      </c>
      <c r="D232" s="13" t="s">
        <v>240</v>
      </c>
      <c r="E232" s="14">
        <v>2.4157999999999999</v>
      </c>
    </row>
    <row r="233" spans="1:5">
      <c r="A233" s="42">
        <v>231</v>
      </c>
      <c r="B233" s="9" t="s">
        <v>218</v>
      </c>
      <c r="C233" s="2" t="s">
        <v>7</v>
      </c>
      <c r="D233" s="13" t="s">
        <v>241</v>
      </c>
      <c r="E233" s="14">
        <v>0.72719999999999996</v>
      </c>
    </row>
    <row r="234" spans="1:5">
      <c r="A234" s="42">
        <v>232</v>
      </c>
      <c r="B234" s="9" t="s">
        <v>218</v>
      </c>
      <c r="C234" s="2" t="s">
        <v>7</v>
      </c>
      <c r="D234" s="13" t="s">
        <v>242</v>
      </c>
      <c r="E234" s="14">
        <v>2</v>
      </c>
    </row>
    <row r="235" spans="1:5">
      <c r="A235" s="42">
        <v>233</v>
      </c>
      <c r="B235" s="9" t="s">
        <v>218</v>
      </c>
      <c r="C235" s="2" t="s">
        <v>7</v>
      </c>
      <c r="D235" s="13" t="s">
        <v>243</v>
      </c>
      <c r="E235" s="14">
        <v>3.5453999999999999</v>
      </c>
    </row>
    <row r="236" spans="1:5">
      <c r="A236" s="42">
        <v>234</v>
      </c>
      <c r="B236" s="9" t="s">
        <v>218</v>
      </c>
      <c r="C236" s="2" t="s">
        <v>7</v>
      </c>
      <c r="D236" s="13" t="s">
        <v>244</v>
      </c>
      <c r="E236" s="14">
        <v>0.99</v>
      </c>
    </row>
    <row r="237" spans="1:5">
      <c r="A237" s="42">
        <v>235</v>
      </c>
      <c r="B237" s="9" t="s">
        <v>218</v>
      </c>
      <c r="C237" s="2" t="s">
        <v>7</v>
      </c>
      <c r="D237" s="13" t="s">
        <v>245</v>
      </c>
      <c r="E237" s="14">
        <v>1</v>
      </c>
    </row>
    <row r="238" spans="1:5">
      <c r="A238" s="42">
        <v>236</v>
      </c>
      <c r="B238" s="9" t="s">
        <v>218</v>
      </c>
      <c r="C238" s="4" t="s">
        <v>5</v>
      </c>
      <c r="D238" s="13" t="s">
        <v>246</v>
      </c>
      <c r="E238" s="14">
        <v>1.15625</v>
      </c>
    </row>
    <row r="239" spans="1:5">
      <c r="A239" s="42">
        <v>237</v>
      </c>
      <c r="B239" s="9" t="s">
        <v>218</v>
      </c>
      <c r="C239" s="3" t="s">
        <v>8</v>
      </c>
      <c r="D239" s="13" t="s">
        <v>247</v>
      </c>
      <c r="E239" s="14">
        <v>1.46</v>
      </c>
    </row>
    <row r="240" spans="1:5">
      <c r="A240" s="42">
        <v>238</v>
      </c>
      <c r="B240" s="9" t="s">
        <v>218</v>
      </c>
      <c r="C240" s="2" t="s">
        <v>7</v>
      </c>
      <c r="D240" s="13" t="s">
        <v>248</v>
      </c>
      <c r="E240" s="14">
        <v>0.7</v>
      </c>
    </row>
    <row r="241" spans="1:5">
      <c r="A241" s="42">
        <v>239</v>
      </c>
      <c r="B241" s="9" t="s">
        <v>218</v>
      </c>
      <c r="C241" s="2" t="s">
        <v>7</v>
      </c>
      <c r="D241" s="13" t="s">
        <v>249</v>
      </c>
      <c r="E241" s="14">
        <v>4</v>
      </c>
    </row>
    <row r="242" spans="1:5">
      <c r="A242" s="42">
        <v>240</v>
      </c>
      <c r="B242" s="9" t="s">
        <v>218</v>
      </c>
      <c r="C242" s="4" t="s">
        <v>5</v>
      </c>
      <c r="D242" s="13" t="s">
        <v>250</v>
      </c>
      <c r="E242" s="14">
        <v>1.7</v>
      </c>
    </row>
    <row r="243" spans="1:5">
      <c r="A243" s="42">
        <v>241</v>
      </c>
      <c r="B243" s="9" t="s">
        <v>218</v>
      </c>
      <c r="C243" s="2" t="s">
        <v>7</v>
      </c>
      <c r="D243" s="13" t="s">
        <v>251</v>
      </c>
      <c r="E243" s="14">
        <v>2.1919</v>
      </c>
    </row>
    <row r="244" spans="1:5">
      <c r="A244" s="42">
        <v>242</v>
      </c>
      <c r="B244" s="9" t="s">
        <v>218</v>
      </c>
      <c r="C244" s="2" t="s">
        <v>7</v>
      </c>
      <c r="D244" s="13" t="s">
        <v>252</v>
      </c>
      <c r="E244" s="14">
        <v>0</v>
      </c>
    </row>
    <row r="245" spans="1:5">
      <c r="A245" s="42">
        <v>243</v>
      </c>
      <c r="B245" s="9" t="s">
        <v>218</v>
      </c>
      <c r="C245" s="3" t="s">
        <v>8</v>
      </c>
      <c r="D245" s="13" t="s">
        <v>253</v>
      </c>
      <c r="E245" s="14">
        <v>1</v>
      </c>
    </row>
    <row r="246" spans="1:5">
      <c r="A246" s="42">
        <v>244</v>
      </c>
      <c r="B246" s="9" t="s">
        <v>218</v>
      </c>
      <c r="C246" s="2" t="s">
        <v>7</v>
      </c>
      <c r="D246" s="13" t="s">
        <v>254</v>
      </c>
      <c r="E246" s="14">
        <v>0.8</v>
      </c>
    </row>
    <row r="247" spans="1:5">
      <c r="A247" s="42">
        <v>245</v>
      </c>
      <c r="B247" s="9" t="s">
        <v>218</v>
      </c>
      <c r="C247" s="3" t="s">
        <v>8</v>
      </c>
      <c r="D247" s="13" t="s">
        <v>255</v>
      </c>
      <c r="E247" s="14" t="s">
        <v>741</v>
      </c>
    </row>
    <row r="248" spans="1:5">
      <c r="A248" s="42">
        <v>246</v>
      </c>
      <c r="B248" s="9" t="s">
        <v>218</v>
      </c>
      <c r="C248" s="2" t="s">
        <v>7</v>
      </c>
      <c r="D248" s="13" t="s">
        <v>256</v>
      </c>
      <c r="E248" s="14" t="s">
        <v>741</v>
      </c>
    </row>
    <row r="249" spans="1:5">
      <c r="A249" s="42">
        <v>247</v>
      </c>
      <c r="B249" s="9" t="s">
        <v>218</v>
      </c>
      <c r="C249" s="2" t="s">
        <v>7</v>
      </c>
      <c r="D249" s="13" t="s">
        <v>257</v>
      </c>
      <c r="E249" s="14">
        <v>1.1666000000000001</v>
      </c>
    </row>
    <row r="250" spans="1:5">
      <c r="A250" s="42">
        <v>248</v>
      </c>
      <c r="B250" s="9" t="s">
        <v>218</v>
      </c>
      <c r="C250" s="2" t="s">
        <v>7</v>
      </c>
      <c r="D250" s="13" t="s">
        <v>258</v>
      </c>
      <c r="E250" s="14">
        <v>1.02</v>
      </c>
    </row>
    <row r="251" spans="1:5">
      <c r="A251" s="42">
        <v>249</v>
      </c>
      <c r="B251" s="9" t="s">
        <v>218</v>
      </c>
      <c r="C251" s="2" t="s">
        <v>7</v>
      </c>
      <c r="D251" s="13" t="s">
        <v>259</v>
      </c>
      <c r="E251" s="14" t="s">
        <v>741</v>
      </c>
    </row>
    <row r="252" spans="1:5">
      <c r="A252" s="42">
        <v>250</v>
      </c>
      <c r="B252" s="9" t="s">
        <v>218</v>
      </c>
      <c r="C252" s="2" t="s">
        <v>7</v>
      </c>
      <c r="D252" s="13" t="s">
        <v>260</v>
      </c>
      <c r="E252" s="14">
        <v>0</v>
      </c>
    </row>
    <row r="253" spans="1:5">
      <c r="A253" s="42">
        <v>251</v>
      </c>
      <c r="B253" s="9" t="s">
        <v>218</v>
      </c>
      <c r="C253" s="2" t="s">
        <v>7</v>
      </c>
      <c r="D253" s="13" t="s">
        <v>261</v>
      </c>
      <c r="E253" s="14">
        <v>2</v>
      </c>
    </row>
    <row r="254" spans="1:5">
      <c r="A254" s="42">
        <v>252</v>
      </c>
      <c r="B254" s="9" t="s">
        <v>218</v>
      </c>
      <c r="C254" s="2" t="s">
        <v>7</v>
      </c>
      <c r="D254" s="13" t="s">
        <v>262</v>
      </c>
      <c r="E254" s="14">
        <v>2.2999999999999998</v>
      </c>
    </row>
    <row r="255" spans="1:5">
      <c r="A255" s="42">
        <v>253</v>
      </c>
      <c r="B255" s="9" t="s">
        <v>218</v>
      </c>
      <c r="C255" s="4" t="s">
        <v>5</v>
      </c>
      <c r="D255" s="13" t="s">
        <v>263</v>
      </c>
      <c r="E255" s="14">
        <v>2.78</v>
      </c>
    </row>
    <row r="256" spans="1:5">
      <c r="A256" s="42">
        <v>254</v>
      </c>
      <c r="B256" s="9" t="s">
        <v>218</v>
      </c>
      <c r="C256" s="3" t="s">
        <v>8</v>
      </c>
      <c r="D256" s="13" t="s">
        <v>264</v>
      </c>
      <c r="E256" s="14">
        <v>0.01</v>
      </c>
    </row>
    <row r="257" spans="1:5">
      <c r="A257" s="42">
        <v>255</v>
      </c>
      <c r="B257" s="9" t="s">
        <v>218</v>
      </c>
      <c r="C257" s="2" t="s">
        <v>7</v>
      </c>
      <c r="D257" s="13" t="s">
        <v>265</v>
      </c>
      <c r="E257" s="14">
        <v>8.1438000000000006</v>
      </c>
    </row>
    <row r="258" spans="1:5">
      <c r="A258" s="42">
        <v>256</v>
      </c>
      <c r="B258" s="9" t="s">
        <v>266</v>
      </c>
      <c r="C258" s="2" t="s">
        <v>7</v>
      </c>
      <c r="D258" s="13" t="s">
        <v>267</v>
      </c>
      <c r="E258" s="14">
        <v>2.5588000000000002</v>
      </c>
    </row>
    <row r="259" spans="1:5">
      <c r="A259" s="42">
        <v>257</v>
      </c>
      <c r="B259" s="9" t="s">
        <v>266</v>
      </c>
      <c r="C259" s="2" t="s">
        <v>7</v>
      </c>
      <c r="D259" s="13" t="s">
        <v>268</v>
      </c>
      <c r="E259" s="14">
        <v>1.7070000000000001</v>
      </c>
    </row>
    <row r="260" spans="1:5">
      <c r="A260" s="42">
        <v>258</v>
      </c>
      <c r="B260" s="9" t="s">
        <v>266</v>
      </c>
      <c r="C260" s="2" t="s">
        <v>7</v>
      </c>
      <c r="D260" s="13" t="s">
        <v>269</v>
      </c>
      <c r="E260" s="14">
        <v>4.09</v>
      </c>
    </row>
    <row r="261" spans="1:5">
      <c r="A261" s="42">
        <v>259</v>
      </c>
      <c r="B261" s="9" t="s">
        <v>266</v>
      </c>
      <c r="C261" s="2" t="s">
        <v>7</v>
      </c>
      <c r="D261" s="13" t="s">
        <v>270</v>
      </c>
      <c r="E261" s="14">
        <v>4.5185000000000004</v>
      </c>
    </row>
    <row r="262" spans="1:5">
      <c r="A262" s="42">
        <v>260</v>
      </c>
      <c r="B262" s="9" t="s">
        <v>266</v>
      </c>
      <c r="C262" s="2" t="s">
        <v>7</v>
      </c>
      <c r="D262" s="13" t="s">
        <v>271</v>
      </c>
      <c r="E262" s="14">
        <v>4.0599999999999996</v>
      </c>
    </row>
    <row r="263" spans="1:5">
      <c r="A263" s="42">
        <v>261</v>
      </c>
      <c r="B263" s="9" t="s">
        <v>266</v>
      </c>
      <c r="C263" s="2" t="s">
        <v>7</v>
      </c>
      <c r="D263" s="13" t="s">
        <v>272</v>
      </c>
      <c r="E263" s="14">
        <v>2.4375</v>
      </c>
    </row>
    <row r="264" spans="1:5">
      <c r="A264" s="42">
        <v>262</v>
      </c>
      <c r="B264" s="9" t="s">
        <v>266</v>
      </c>
      <c r="C264" s="3" t="s">
        <v>8</v>
      </c>
      <c r="D264" s="13" t="s">
        <v>273</v>
      </c>
      <c r="E264" s="14">
        <v>2.12</v>
      </c>
    </row>
    <row r="265" spans="1:5">
      <c r="A265" s="42">
        <v>263</v>
      </c>
      <c r="B265" s="9" t="s">
        <v>266</v>
      </c>
      <c r="C265" s="2" t="s">
        <v>7</v>
      </c>
      <c r="D265" s="13" t="s">
        <v>274</v>
      </c>
      <c r="E265" s="14">
        <v>2.59</v>
      </c>
    </row>
    <row r="266" spans="1:5">
      <c r="A266" s="42">
        <v>264</v>
      </c>
      <c r="B266" s="9" t="s">
        <v>266</v>
      </c>
      <c r="C266" s="4" t="s">
        <v>5</v>
      </c>
      <c r="D266" s="13" t="s">
        <v>275</v>
      </c>
      <c r="E266" s="14">
        <v>7.1</v>
      </c>
    </row>
    <row r="267" spans="1:5">
      <c r="A267" s="42">
        <v>265</v>
      </c>
      <c r="B267" s="9" t="s">
        <v>266</v>
      </c>
      <c r="C267" s="4" t="s">
        <v>5</v>
      </c>
      <c r="D267" s="13" t="s">
        <v>276</v>
      </c>
      <c r="E267" s="14">
        <v>4.67</v>
      </c>
    </row>
    <row r="268" spans="1:5">
      <c r="A268" s="42">
        <v>266</v>
      </c>
      <c r="B268" s="9" t="s">
        <v>266</v>
      </c>
      <c r="C268" s="3" t="s">
        <v>8</v>
      </c>
      <c r="D268" s="13" t="s">
        <v>277</v>
      </c>
      <c r="E268" s="14">
        <v>5.9587000000000003</v>
      </c>
    </row>
    <row r="269" spans="1:5">
      <c r="A269" s="42">
        <v>267</v>
      </c>
      <c r="B269" s="9" t="s">
        <v>266</v>
      </c>
      <c r="C269" s="4" t="s">
        <v>5</v>
      </c>
      <c r="D269" s="13" t="s">
        <v>278</v>
      </c>
      <c r="E269" s="14">
        <v>4.375</v>
      </c>
    </row>
    <row r="270" spans="1:5">
      <c r="A270" s="42">
        <v>268</v>
      </c>
      <c r="B270" s="9" t="s">
        <v>266</v>
      </c>
      <c r="C270" s="4" t="s">
        <v>5</v>
      </c>
      <c r="D270" s="13" t="s">
        <v>279</v>
      </c>
      <c r="E270" s="14">
        <v>6.13</v>
      </c>
    </row>
    <row r="271" spans="1:5">
      <c r="A271" s="42">
        <v>269</v>
      </c>
      <c r="B271" s="9" t="s">
        <v>266</v>
      </c>
      <c r="C271" s="3" t="s">
        <v>8</v>
      </c>
      <c r="D271" s="13" t="s">
        <v>280</v>
      </c>
      <c r="E271" s="14">
        <v>2.02</v>
      </c>
    </row>
    <row r="272" spans="1:5">
      <c r="A272" s="42">
        <v>270</v>
      </c>
      <c r="B272" s="9" t="s">
        <v>266</v>
      </c>
      <c r="C272" s="2" t="s">
        <v>7</v>
      </c>
      <c r="D272" s="13" t="s">
        <v>281</v>
      </c>
      <c r="E272" s="14">
        <v>4.2439999999999998</v>
      </c>
    </row>
    <row r="273" spans="1:5">
      <c r="A273" s="42">
        <v>271</v>
      </c>
      <c r="B273" s="9" t="s">
        <v>266</v>
      </c>
      <c r="C273" s="3" t="s">
        <v>8</v>
      </c>
      <c r="D273" s="13" t="s">
        <v>282</v>
      </c>
      <c r="E273" s="14">
        <v>0.9</v>
      </c>
    </row>
    <row r="274" spans="1:5">
      <c r="A274" s="42">
        <v>272</v>
      </c>
      <c r="B274" s="9" t="s">
        <v>266</v>
      </c>
      <c r="C274" s="2" t="s">
        <v>7</v>
      </c>
      <c r="D274" s="13" t="s">
        <v>283</v>
      </c>
      <c r="E274" s="14">
        <v>2</v>
      </c>
    </row>
    <row r="275" spans="1:5">
      <c r="A275" s="42">
        <v>273</v>
      </c>
      <c r="B275" s="9" t="s">
        <v>266</v>
      </c>
      <c r="C275" s="2" t="s">
        <v>7</v>
      </c>
      <c r="D275" s="13" t="s">
        <v>284</v>
      </c>
      <c r="E275" s="14">
        <v>2.1480000000000001</v>
      </c>
    </row>
    <row r="276" spans="1:5">
      <c r="A276" s="42">
        <v>274</v>
      </c>
      <c r="B276" s="9" t="s">
        <v>266</v>
      </c>
      <c r="C276" s="3" t="s">
        <v>8</v>
      </c>
      <c r="D276" s="13" t="s">
        <v>285</v>
      </c>
      <c r="E276" s="14">
        <v>5.14</v>
      </c>
    </row>
    <row r="277" spans="1:5">
      <c r="A277" s="42">
        <v>275</v>
      </c>
      <c r="B277" s="9" t="s">
        <v>266</v>
      </c>
      <c r="C277" s="2" t="s">
        <v>7</v>
      </c>
      <c r="D277" s="13" t="s">
        <v>286</v>
      </c>
      <c r="E277" s="14">
        <v>2.8075999999999999</v>
      </c>
    </row>
    <row r="278" spans="1:5">
      <c r="A278" s="42">
        <v>276</v>
      </c>
      <c r="B278" s="9" t="s">
        <v>266</v>
      </c>
      <c r="C278" s="2" t="s">
        <v>7</v>
      </c>
      <c r="D278" s="13" t="s">
        <v>287</v>
      </c>
      <c r="E278" s="14">
        <v>3.0909</v>
      </c>
    </row>
    <row r="279" spans="1:5">
      <c r="A279" s="42">
        <v>277</v>
      </c>
      <c r="B279" s="9" t="s">
        <v>266</v>
      </c>
      <c r="C279" s="2" t="s">
        <v>7</v>
      </c>
      <c r="D279" s="13" t="s">
        <v>288</v>
      </c>
      <c r="E279" s="14">
        <v>2.5651999999999999</v>
      </c>
    </row>
    <row r="280" spans="1:5">
      <c r="A280" s="42">
        <v>278</v>
      </c>
      <c r="B280" s="9" t="s">
        <v>266</v>
      </c>
      <c r="C280" s="2" t="s">
        <v>7</v>
      </c>
      <c r="D280" s="13" t="s">
        <v>289</v>
      </c>
      <c r="E280" s="14">
        <v>3.9249999999999998</v>
      </c>
    </row>
    <row r="281" spans="1:5">
      <c r="A281" s="42">
        <v>279</v>
      </c>
      <c r="B281" s="9" t="s">
        <v>266</v>
      </c>
      <c r="C281" s="3" t="s">
        <v>8</v>
      </c>
      <c r="D281" s="13" t="s">
        <v>290</v>
      </c>
      <c r="E281" s="14">
        <v>1.75</v>
      </c>
    </row>
    <row r="282" spans="1:5">
      <c r="A282" s="42">
        <v>280</v>
      </c>
      <c r="B282" s="9" t="s">
        <v>266</v>
      </c>
      <c r="C282" s="2" t="s">
        <v>7</v>
      </c>
      <c r="D282" s="13" t="s">
        <v>291</v>
      </c>
      <c r="E282" s="14">
        <v>3.2618999999999998</v>
      </c>
    </row>
    <row r="283" spans="1:5">
      <c r="A283" s="42">
        <v>281</v>
      </c>
      <c r="B283" s="9" t="s">
        <v>266</v>
      </c>
      <c r="C283" s="3" t="s">
        <v>8</v>
      </c>
      <c r="D283" s="13" t="s">
        <v>292</v>
      </c>
      <c r="E283" s="14">
        <v>2.25</v>
      </c>
    </row>
    <row r="284" spans="1:5">
      <c r="A284" s="42">
        <v>282</v>
      </c>
      <c r="B284" s="9" t="s">
        <v>266</v>
      </c>
      <c r="C284" s="3" t="s">
        <v>8</v>
      </c>
      <c r="D284" s="13" t="s">
        <v>293</v>
      </c>
      <c r="E284" s="14">
        <v>2.5550000000000002</v>
      </c>
    </row>
    <row r="285" spans="1:5">
      <c r="A285" s="42">
        <v>283</v>
      </c>
      <c r="B285" s="9" t="s">
        <v>266</v>
      </c>
      <c r="C285" s="2" t="s">
        <v>7</v>
      </c>
      <c r="D285" s="13" t="s">
        <v>294</v>
      </c>
      <c r="E285" s="14">
        <v>4.4375</v>
      </c>
    </row>
    <row r="286" spans="1:5">
      <c r="A286" s="42">
        <v>284</v>
      </c>
      <c r="B286" s="9" t="s">
        <v>266</v>
      </c>
      <c r="C286" s="3" t="s">
        <v>8</v>
      </c>
      <c r="D286" s="13" t="s">
        <v>295</v>
      </c>
      <c r="E286" s="14">
        <v>2.08</v>
      </c>
    </row>
    <row r="287" spans="1:5">
      <c r="A287" s="42">
        <v>285</v>
      </c>
      <c r="B287" s="9" t="s">
        <v>266</v>
      </c>
      <c r="C287" s="2" t="s">
        <v>7</v>
      </c>
      <c r="D287" s="13" t="s">
        <v>296</v>
      </c>
      <c r="E287" s="14">
        <v>2.58</v>
      </c>
    </row>
    <row r="288" spans="1:5">
      <c r="A288" s="42">
        <v>286</v>
      </c>
      <c r="B288" s="9" t="s">
        <v>266</v>
      </c>
      <c r="C288" s="2" t="s">
        <v>7</v>
      </c>
      <c r="D288" s="13" t="s">
        <v>297</v>
      </c>
      <c r="E288" s="14">
        <v>5.25</v>
      </c>
    </row>
    <row r="289" spans="1:5">
      <c r="A289" s="42">
        <v>287</v>
      </c>
      <c r="B289" s="9" t="s">
        <v>266</v>
      </c>
      <c r="C289" s="2" t="s">
        <v>7</v>
      </c>
      <c r="D289" s="13" t="s">
        <v>298</v>
      </c>
      <c r="E289" s="14">
        <v>4.2083000000000004</v>
      </c>
    </row>
    <row r="290" spans="1:5">
      <c r="A290" s="42">
        <v>288</v>
      </c>
      <c r="B290" s="9" t="s">
        <v>266</v>
      </c>
      <c r="C290" s="4" t="s">
        <v>5</v>
      </c>
      <c r="D290" s="13" t="s">
        <v>299</v>
      </c>
      <c r="E290" s="14">
        <v>2.0699999999999998</v>
      </c>
    </row>
    <row r="291" spans="1:5">
      <c r="A291" s="42">
        <v>289</v>
      </c>
      <c r="B291" s="9" t="s">
        <v>266</v>
      </c>
      <c r="C291" s="2" t="s">
        <v>7</v>
      </c>
      <c r="D291" s="13" t="s">
        <v>300</v>
      </c>
      <c r="E291" s="14">
        <v>1.4117</v>
      </c>
    </row>
    <row r="292" spans="1:5">
      <c r="A292" s="42">
        <v>290</v>
      </c>
      <c r="B292" s="9" t="s">
        <v>266</v>
      </c>
      <c r="C292" s="3" t="s">
        <v>8</v>
      </c>
      <c r="D292" s="13" t="s">
        <v>301</v>
      </c>
      <c r="E292" s="14">
        <v>3.14</v>
      </c>
    </row>
    <row r="293" spans="1:5">
      <c r="A293" s="42">
        <v>291</v>
      </c>
      <c r="B293" s="9" t="s">
        <v>266</v>
      </c>
      <c r="C293" s="2" t="s">
        <v>7</v>
      </c>
      <c r="D293" s="13" t="s">
        <v>302</v>
      </c>
      <c r="E293" s="14">
        <v>2.81</v>
      </c>
    </row>
    <row r="294" spans="1:5">
      <c r="A294" s="42">
        <v>292</v>
      </c>
      <c r="B294" s="9" t="s">
        <v>303</v>
      </c>
      <c r="C294" s="2" t="s">
        <v>7</v>
      </c>
      <c r="D294" s="13" t="s">
        <v>304</v>
      </c>
      <c r="E294" s="14">
        <v>4.8460999999999999</v>
      </c>
    </row>
    <row r="295" spans="1:5">
      <c r="A295" s="42">
        <v>293</v>
      </c>
      <c r="B295" s="9" t="s">
        <v>303</v>
      </c>
      <c r="C295" s="2" t="s">
        <v>7</v>
      </c>
      <c r="D295" s="13" t="s">
        <v>305</v>
      </c>
      <c r="E295" s="14">
        <v>2.2400000000000002</v>
      </c>
    </row>
    <row r="296" spans="1:5">
      <c r="A296" s="42">
        <v>294</v>
      </c>
      <c r="B296" s="9" t="s">
        <v>303</v>
      </c>
      <c r="C296" s="3" t="s">
        <v>8</v>
      </c>
      <c r="D296" s="13" t="s">
        <v>306</v>
      </c>
      <c r="E296" s="14">
        <v>5.66</v>
      </c>
    </row>
    <row r="297" spans="1:5">
      <c r="A297" s="42">
        <v>295</v>
      </c>
      <c r="B297" s="9" t="s">
        <v>303</v>
      </c>
      <c r="C297" s="2" t="s">
        <v>7</v>
      </c>
      <c r="D297" s="13" t="s">
        <v>307</v>
      </c>
      <c r="E297" s="14">
        <v>2.0699999999999998</v>
      </c>
    </row>
    <row r="298" spans="1:5">
      <c r="A298" s="42">
        <v>296</v>
      </c>
      <c r="B298" s="9" t="s">
        <v>303</v>
      </c>
      <c r="C298" s="4" t="s">
        <v>5</v>
      </c>
      <c r="D298" s="13" t="s">
        <v>308</v>
      </c>
      <c r="E298" s="14">
        <v>6.5519999999999996</v>
      </c>
    </row>
    <row r="299" spans="1:5">
      <c r="A299" s="42">
        <v>297</v>
      </c>
      <c r="B299" s="9" t="s">
        <v>303</v>
      </c>
      <c r="C299" s="3" t="s">
        <v>8</v>
      </c>
      <c r="D299" s="13" t="s">
        <v>309</v>
      </c>
      <c r="E299" s="14">
        <v>4.9400000000000004</v>
      </c>
    </row>
    <row r="300" spans="1:5">
      <c r="A300" s="42">
        <v>298</v>
      </c>
      <c r="B300" s="9" t="s">
        <v>303</v>
      </c>
      <c r="C300" s="2" t="s">
        <v>7</v>
      </c>
      <c r="D300" s="13" t="s">
        <v>310</v>
      </c>
      <c r="E300" s="14">
        <v>2.08</v>
      </c>
    </row>
    <row r="301" spans="1:5">
      <c r="A301" s="42">
        <v>299</v>
      </c>
      <c r="B301" s="9" t="s">
        <v>303</v>
      </c>
      <c r="C301" s="3" t="s">
        <v>8</v>
      </c>
      <c r="D301" s="13" t="s">
        <v>311</v>
      </c>
      <c r="E301" s="14">
        <v>4.6139999999999999</v>
      </c>
    </row>
    <row r="302" spans="1:5">
      <c r="A302" s="42">
        <v>300</v>
      </c>
      <c r="B302" s="9" t="s">
        <v>303</v>
      </c>
      <c r="C302" s="2" t="s">
        <v>7</v>
      </c>
      <c r="D302" s="13" t="s">
        <v>312</v>
      </c>
      <c r="E302" s="14">
        <v>2.1219000000000001</v>
      </c>
    </row>
    <row r="303" spans="1:5">
      <c r="A303" s="42">
        <v>301</v>
      </c>
      <c r="B303" s="9" t="s">
        <v>303</v>
      </c>
      <c r="C303" s="2" t="s">
        <v>7</v>
      </c>
      <c r="D303" s="13" t="s">
        <v>313</v>
      </c>
      <c r="E303" s="14">
        <v>0.71399999999999997</v>
      </c>
    </row>
    <row r="304" spans="1:5">
      <c r="A304" s="42">
        <v>302</v>
      </c>
      <c r="B304" s="9" t="s">
        <v>303</v>
      </c>
      <c r="C304" s="4" t="s">
        <v>5</v>
      </c>
      <c r="D304" s="13" t="s">
        <v>314</v>
      </c>
      <c r="E304" s="14">
        <v>10.050000000000001</v>
      </c>
    </row>
    <row r="305" spans="1:5">
      <c r="A305" s="42">
        <v>303</v>
      </c>
      <c r="B305" s="9" t="s">
        <v>303</v>
      </c>
      <c r="C305" s="3" t="s">
        <v>8</v>
      </c>
      <c r="D305" s="13" t="s">
        <v>315</v>
      </c>
      <c r="E305" s="14">
        <v>0.83330000000000004</v>
      </c>
    </row>
    <row r="306" spans="1:5">
      <c r="A306" s="42">
        <v>304</v>
      </c>
      <c r="B306" s="9" t="s">
        <v>303</v>
      </c>
      <c r="C306" s="2" t="s">
        <v>7</v>
      </c>
      <c r="D306" s="13" t="s">
        <v>316</v>
      </c>
      <c r="E306" s="14">
        <v>8.1329999999999991</v>
      </c>
    </row>
    <row r="307" spans="1:5">
      <c r="A307" s="42">
        <v>305</v>
      </c>
      <c r="B307" s="9" t="s">
        <v>303</v>
      </c>
      <c r="C307" s="2" t="s">
        <v>7</v>
      </c>
      <c r="D307" s="13" t="s">
        <v>317</v>
      </c>
      <c r="E307" s="14">
        <v>3.67</v>
      </c>
    </row>
    <row r="308" spans="1:5">
      <c r="A308" s="42">
        <v>306</v>
      </c>
      <c r="B308" s="9" t="s">
        <v>303</v>
      </c>
      <c r="C308" s="2" t="s">
        <v>7</v>
      </c>
      <c r="D308" s="13" t="s">
        <v>318</v>
      </c>
      <c r="E308" s="14">
        <v>3.6859999999999999</v>
      </c>
    </row>
    <row r="309" spans="1:5">
      <c r="A309" s="42">
        <v>307</v>
      </c>
      <c r="B309" s="9" t="s">
        <v>303</v>
      </c>
      <c r="C309" s="2" t="s">
        <v>7</v>
      </c>
      <c r="D309" s="13" t="s">
        <v>319</v>
      </c>
      <c r="E309" s="14">
        <v>3.8580000000000001</v>
      </c>
    </row>
    <row r="310" spans="1:5">
      <c r="A310" s="42">
        <v>308</v>
      </c>
      <c r="B310" s="9" t="s">
        <v>303</v>
      </c>
      <c r="C310" s="2" t="s">
        <v>7</v>
      </c>
      <c r="D310" s="13" t="s">
        <v>320</v>
      </c>
      <c r="E310" s="14">
        <v>6.24</v>
      </c>
    </row>
    <row r="311" spans="1:5">
      <c r="A311" s="42">
        <v>309</v>
      </c>
      <c r="B311" s="9" t="s">
        <v>303</v>
      </c>
      <c r="C311" s="4" t="s">
        <v>5</v>
      </c>
      <c r="D311" s="13" t="s">
        <v>321</v>
      </c>
      <c r="E311" s="14">
        <v>0.80337000000000003</v>
      </c>
    </row>
    <row r="312" spans="1:5">
      <c r="A312" s="42">
        <v>310</v>
      </c>
      <c r="B312" s="9" t="s">
        <v>303</v>
      </c>
      <c r="C312" s="3" t="s">
        <v>8</v>
      </c>
      <c r="D312" s="13" t="s">
        <v>322</v>
      </c>
      <c r="E312" s="14">
        <v>3.35</v>
      </c>
    </row>
    <row r="313" spans="1:5">
      <c r="A313" s="42">
        <v>311</v>
      </c>
      <c r="B313" s="9" t="s">
        <v>303</v>
      </c>
      <c r="C313" s="2" t="s">
        <v>7</v>
      </c>
      <c r="D313" s="13" t="s">
        <v>323</v>
      </c>
      <c r="E313" s="14">
        <v>2.2477</v>
      </c>
    </row>
    <row r="314" spans="1:5">
      <c r="A314" s="42">
        <v>312</v>
      </c>
      <c r="B314" s="9" t="s">
        <v>303</v>
      </c>
      <c r="C314" s="2" t="s">
        <v>7</v>
      </c>
      <c r="D314" s="13" t="s">
        <v>324</v>
      </c>
      <c r="E314" s="14">
        <v>10.108000000000001</v>
      </c>
    </row>
    <row r="315" spans="1:5">
      <c r="A315" s="42">
        <v>313</v>
      </c>
      <c r="B315" s="9" t="s">
        <v>303</v>
      </c>
      <c r="C315" s="4" t="s">
        <v>5</v>
      </c>
      <c r="D315" s="13" t="s">
        <v>325</v>
      </c>
      <c r="E315" s="14">
        <v>5.548</v>
      </c>
    </row>
    <row r="316" spans="1:5">
      <c r="A316" s="42">
        <v>314</v>
      </c>
      <c r="B316" s="9" t="s">
        <v>303</v>
      </c>
      <c r="C316" s="4" t="s">
        <v>5</v>
      </c>
      <c r="D316" s="13" t="s">
        <v>326</v>
      </c>
      <c r="E316" s="14">
        <v>4.1900000000000004</v>
      </c>
    </row>
    <row r="317" spans="1:5">
      <c r="A317" s="42">
        <v>315</v>
      </c>
      <c r="B317" s="9" t="s">
        <v>303</v>
      </c>
      <c r="C317" s="2" t="s">
        <v>7</v>
      </c>
      <c r="D317" s="13" t="s">
        <v>327</v>
      </c>
      <c r="E317" s="14">
        <v>0.96428571428571397</v>
      </c>
    </row>
    <row r="318" spans="1:5">
      <c r="A318" s="42">
        <v>316</v>
      </c>
      <c r="B318" s="9" t="s">
        <v>303</v>
      </c>
      <c r="C318" s="2" t="s">
        <v>7</v>
      </c>
      <c r="D318" s="13" t="s">
        <v>328</v>
      </c>
      <c r="E318" s="14">
        <v>10.897</v>
      </c>
    </row>
    <row r="319" spans="1:5">
      <c r="A319" s="42">
        <v>317</v>
      </c>
      <c r="B319" s="9" t="s">
        <v>303</v>
      </c>
      <c r="C319" s="3" t="s">
        <v>8</v>
      </c>
      <c r="D319" s="13" t="s">
        <v>329</v>
      </c>
      <c r="E319" s="14">
        <v>2.3275000000000001</v>
      </c>
    </row>
    <row r="320" spans="1:5">
      <c r="A320" s="42">
        <v>318</v>
      </c>
      <c r="B320" s="9" t="s">
        <v>303</v>
      </c>
      <c r="C320" s="3" t="s">
        <v>8</v>
      </c>
      <c r="D320" s="13" t="s">
        <v>330</v>
      </c>
      <c r="E320" s="14">
        <v>6.91</v>
      </c>
    </row>
    <row r="321" spans="1:5">
      <c r="A321" s="42">
        <v>319</v>
      </c>
      <c r="B321" s="9" t="s">
        <v>303</v>
      </c>
      <c r="C321" s="2" t="s">
        <v>7</v>
      </c>
      <c r="D321" s="13" t="s">
        <v>331</v>
      </c>
      <c r="E321" s="14">
        <v>4.2488000000000001</v>
      </c>
    </row>
    <row r="322" spans="1:5">
      <c r="A322" s="42">
        <v>320</v>
      </c>
      <c r="B322" s="9" t="s">
        <v>303</v>
      </c>
      <c r="C322" s="3" t="s">
        <v>8</v>
      </c>
      <c r="D322" s="13" t="s">
        <v>332</v>
      </c>
      <c r="E322" s="14">
        <v>6</v>
      </c>
    </row>
    <row r="323" spans="1:5">
      <c r="A323" s="42">
        <v>321</v>
      </c>
      <c r="B323" s="9" t="s">
        <v>303</v>
      </c>
      <c r="C323" s="2" t="s">
        <v>7</v>
      </c>
      <c r="D323" s="13" t="s">
        <v>333</v>
      </c>
      <c r="E323" s="14">
        <v>6.2</v>
      </c>
    </row>
    <row r="324" spans="1:5">
      <c r="A324" s="42">
        <v>322</v>
      </c>
      <c r="B324" s="9" t="s">
        <v>303</v>
      </c>
      <c r="C324" s="5" t="s">
        <v>36</v>
      </c>
      <c r="D324" s="13" t="s">
        <v>334</v>
      </c>
      <c r="E324" s="14">
        <v>5.1333000000000002</v>
      </c>
    </row>
    <row r="325" spans="1:5">
      <c r="A325" s="42">
        <v>323</v>
      </c>
      <c r="B325" s="9" t="s">
        <v>303</v>
      </c>
      <c r="C325" s="3" t="s">
        <v>8</v>
      </c>
      <c r="D325" s="13" t="s">
        <v>335</v>
      </c>
      <c r="E325" s="14">
        <v>10.42</v>
      </c>
    </row>
    <row r="326" spans="1:5">
      <c r="A326" s="42">
        <v>324</v>
      </c>
      <c r="B326" s="9" t="s">
        <v>303</v>
      </c>
      <c r="C326" s="2" t="s">
        <v>7</v>
      </c>
      <c r="D326" s="13" t="s">
        <v>336</v>
      </c>
      <c r="E326" s="14">
        <v>11.43</v>
      </c>
    </row>
    <row r="327" spans="1:5">
      <c r="A327" s="42">
        <v>325</v>
      </c>
      <c r="B327" s="9" t="s">
        <v>303</v>
      </c>
      <c r="C327" s="4" t="s">
        <v>5</v>
      </c>
      <c r="D327" s="13" t="s">
        <v>337</v>
      </c>
      <c r="E327" s="14">
        <v>3.03212851405622</v>
      </c>
    </row>
    <row r="328" spans="1:5">
      <c r="A328" s="42">
        <v>326</v>
      </c>
      <c r="B328" s="9" t="s">
        <v>303</v>
      </c>
      <c r="C328" s="3" t="s">
        <v>8</v>
      </c>
      <c r="D328" s="13" t="s">
        <v>338</v>
      </c>
      <c r="E328" s="14">
        <v>12.27</v>
      </c>
    </row>
    <row r="329" spans="1:5">
      <c r="A329" s="42">
        <v>327</v>
      </c>
      <c r="B329" s="9" t="s">
        <v>303</v>
      </c>
      <c r="C329" s="2" t="s">
        <v>7</v>
      </c>
      <c r="D329" s="13" t="s">
        <v>339</v>
      </c>
      <c r="E329" s="14">
        <v>3.31</v>
      </c>
    </row>
    <row r="330" spans="1:5">
      <c r="A330" s="42">
        <v>328</v>
      </c>
      <c r="B330" s="9" t="s">
        <v>303</v>
      </c>
      <c r="C330" s="4" t="s">
        <v>5</v>
      </c>
      <c r="D330" s="13" t="s">
        <v>340</v>
      </c>
      <c r="E330" s="14">
        <v>4.37</v>
      </c>
    </row>
    <row r="331" spans="1:5">
      <c r="A331" s="42">
        <v>329</v>
      </c>
      <c r="B331" s="9" t="s">
        <v>303</v>
      </c>
      <c r="C331" s="3" t="s">
        <v>8</v>
      </c>
      <c r="D331" s="13" t="s">
        <v>341</v>
      </c>
      <c r="E331" s="14">
        <v>2.83</v>
      </c>
    </row>
    <row r="332" spans="1:5">
      <c r="A332" s="42">
        <v>330</v>
      </c>
      <c r="B332" s="9" t="s">
        <v>303</v>
      </c>
      <c r="C332" s="3" t="s">
        <v>8</v>
      </c>
      <c r="D332" s="13" t="s">
        <v>342</v>
      </c>
      <c r="E332" s="14">
        <v>1.1439999999999999</v>
      </c>
    </row>
    <row r="333" spans="1:5">
      <c r="A333" s="42">
        <v>331</v>
      </c>
      <c r="B333" s="9" t="s">
        <v>303</v>
      </c>
      <c r="C333" s="2" t="s">
        <v>7</v>
      </c>
      <c r="D333" s="13" t="s">
        <v>343</v>
      </c>
      <c r="E333" s="14">
        <v>4.9800000000000004</v>
      </c>
    </row>
    <row r="334" spans="1:5">
      <c r="A334" s="42">
        <v>332</v>
      </c>
      <c r="B334" s="9" t="s">
        <v>303</v>
      </c>
      <c r="C334" s="2" t="s">
        <v>7</v>
      </c>
      <c r="D334" s="13" t="s">
        <v>344</v>
      </c>
      <c r="E334" s="14">
        <v>4.9165999999999999</v>
      </c>
    </row>
    <row r="335" spans="1:5">
      <c r="A335" s="42">
        <v>333</v>
      </c>
      <c r="B335" s="9" t="s">
        <v>303</v>
      </c>
      <c r="C335" s="2" t="s">
        <v>7</v>
      </c>
      <c r="D335" s="13" t="s">
        <v>345</v>
      </c>
      <c r="E335" s="14">
        <v>1.25</v>
      </c>
    </row>
    <row r="336" spans="1:5">
      <c r="A336" s="42">
        <v>334</v>
      </c>
      <c r="B336" s="9" t="s">
        <v>303</v>
      </c>
      <c r="C336" s="2" t="s">
        <v>7</v>
      </c>
      <c r="D336" s="13" t="s">
        <v>346</v>
      </c>
      <c r="E336" s="14">
        <v>8.5</v>
      </c>
    </row>
    <row r="337" spans="1:5">
      <c r="A337" s="42">
        <v>335</v>
      </c>
      <c r="B337" s="9" t="s">
        <v>303</v>
      </c>
      <c r="C337" s="2" t="s">
        <v>7</v>
      </c>
      <c r="D337" s="13" t="s">
        <v>347</v>
      </c>
      <c r="E337" s="14">
        <v>1.8856999999999999</v>
      </c>
    </row>
    <row r="338" spans="1:5">
      <c r="A338" s="42">
        <v>336</v>
      </c>
      <c r="B338" s="9" t="s">
        <v>303</v>
      </c>
      <c r="C338" s="3" t="s">
        <v>8</v>
      </c>
      <c r="D338" s="13" t="s">
        <v>348</v>
      </c>
      <c r="E338" s="14">
        <v>5.2857000000000003</v>
      </c>
    </row>
    <row r="339" spans="1:5">
      <c r="A339" s="42">
        <v>337</v>
      </c>
      <c r="B339" s="9" t="s">
        <v>303</v>
      </c>
      <c r="C339" s="2" t="s">
        <v>7</v>
      </c>
      <c r="D339" s="13" t="s">
        <v>349</v>
      </c>
      <c r="E339" s="14">
        <v>5.1123000000000003</v>
      </c>
    </row>
    <row r="340" spans="1:5">
      <c r="A340" s="42">
        <v>338</v>
      </c>
      <c r="B340" s="9" t="s">
        <v>303</v>
      </c>
      <c r="C340" s="3" t="s">
        <v>8</v>
      </c>
      <c r="D340" s="13" t="s">
        <v>350</v>
      </c>
      <c r="E340" s="14">
        <v>4.2758000000000003</v>
      </c>
    </row>
    <row r="341" spans="1:5">
      <c r="A341" s="42">
        <v>339</v>
      </c>
      <c r="B341" s="9" t="s">
        <v>303</v>
      </c>
      <c r="C341" s="2" t="s">
        <v>7</v>
      </c>
      <c r="D341" s="13" t="s">
        <v>351</v>
      </c>
      <c r="E341" s="14">
        <v>4.58</v>
      </c>
    </row>
    <row r="342" spans="1:5">
      <c r="A342" s="42">
        <v>340</v>
      </c>
      <c r="B342" s="9" t="s">
        <v>303</v>
      </c>
      <c r="C342" s="2" t="s">
        <v>7</v>
      </c>
      <c r="D342" s="13" t="s">
        <v>352</v>
      </c>
      <c r="E342" s="14">
        <v>7.59375</v>
      </c>
    </row>
    <row r="343" spans="1:5">
      <c r="A343" s="42">
        <v>341</v>
      </c>
      <c r="B343" s="9" t="s">
        <v>303</v>
      </c>
      <c r="C343" s="3" t="s">
        <v>8</v>
      </c>
      <c r="D343" s="13" t="s">
        <v>353</v>
      </c>
      <c r="E343" s="14">
        <v>4.34</v>
      </c>
    </row>
    <row r="344" spans="1:5">
      <c r="A344" s="42">
        <v>342</v>
      </c>
      <c r="B344" s="9" t="s">
        <v>303</v>
      </c>
      <c r="C344" s="2" t="s">
        <v>7</v>
      </c>
      <c r="D344" s="13" t="s">
        <v>354</v>
      </c>
      <c r="E344" s="14">
        <v>3.6840000000000002</v>
      </c>
    </row>
    <row r="345" spans="1:5">
      <c r="A345" s="42">
        <v>343</v>
      </c>
      <c r="B345" s="9" t="s">
        <v>303</v>
      </c>
      <c r="C345" s="2" t="s">
        <v>7</v>
      </c>
      <c r="D345" s="13" t="s">
        <v>355</v>
      </c>
      <c r="E345" s="14">
        <v>1.94</v>
      </c>
    </row>
    <row r="346" spans="1:5">
      <c r="A346" s="42">
        <v>344</v>
      </c>
      <c r="B346" s="9" t="s">
        <v>303</v>
      </c>
      <c r="C346" s="3" t="s">
        <v>8</v>
      </c>
      <c r="D346" s="13" t="s">
        <v>356</v>
      </c>
      <c r="E346" s="14">
        <v>3.3450000000000002</v>
      </c>
    </row>
    <row r="347" spans="1:5">
      <c r="A347" s="42">
        <v>345</v>
      </c>
      <c r="B347" s="9" t="s">
        <v>303</v>
      </c>
      <c r="C347" s="2" t="s">
        <v>7</v>
      </c>
      <c r="D347" s="13" t="s">
        <v>357</v>
      </c>
      <c r="E347" s="14">
        <v>3.3570000000000002</v>
      </c>
    </row>
    <row r="348" spans="1:5">
      <c r="A348" s="42">
        <v>346</v>
      </c>
      <c r="B348" s="9" t="s">
        <v>358</v>
      </c>
      <c r="C348" s="4" t="s">
        <v>5</v>
      </c>
      <c r="D348" s="13" t="s">
        <v>359</v>
      </c>
      <c r="E348" s="14">
        <v>3.375</v>
      </c>
    </row>
    <row r="349" spans="1:5">
      <c r="A349" s="42">
        <v>347</v>
      </c>
      <c r="B349" s="9" t="s">
        <v>358</v>
      </c>
      <c r="C349" s="2" t="s">
        <v>7</v>
      </c>
      <c r="D349" s="13" t="s">
        <v>360</v>
      </c>
      <c r="E349" s="14">
        <v>3.448</v>
      </c>
    </row>
    <row r="350" spans="1:5">
      <c r="A350" s="42">
        <v>348</v>
      </c>
      <c r="B350" s="9" t="s">
        <v>358</v>
      </c>
      <c r="C350" s="3" t="s">
        <v>8</v>
      </c>
      <c r="D350" s="13" t="s">
        <v>361</v>
      </c>
      <c r="E350" s="14">
        <v>3.7428569999999999</v>
      </c>
    </row>
    <row r="351" spans="1:5">
      <c r="A351" s="42">
        <v>349</v>
      </c>
      <c r="B351" s="9" t="s">
        <v>358</v>
      </c>
      <c r="C351" s="2" t="s">
        <v>7</v>
      </c>
      <c r="D351" s="13" t="s">
        <v>362</v>
      </c>
      <c r="E351" s="14">
        <v>3.11</v>
      </c>
    </row>
    <row r="352" spans="1:5">
      <c r="A352" s="42">
        <v>350</v>
      </c>
      <c r="B352" s="9" t="s">
        <v>358</v>
      </c>
      <c r="C352" s="2" t="s">
        <v>7</v>
      </c>
      <c r="D352" s="13" t="s">
        <v>363</v>
      </c>
      <c r="E352" s="14">
        <v>3.95</v>
      </c>
    </row>
    <row r="353" spans="1:5">
      <c r="A353" s="42">
        <v>351</v>
      </c>
      <c r="B353" s="9" t="s">
        <v>358</v>
      </c>
      <c r="C353" s="3" t="s">
        <v>8</v>
      </c>
      <c r="D353" s="13" t="s">
        <v>364</v>
      </c>
      <c r="E353" s="14">
        <v>4.3387000000000002</v>
      </c>
    </row>
    <row r="354" spans="1:5">
      <c r="A354" s="42">
        <v>352</v>
      </c>
      <c r="B354" s="9" t="s">
        <v>358</v>
      </c>
      <c r="C354" s="2" t="s">
        <v>7</v>
      </c>
      <c r="D354" s="13" t="s">
        <v>365</v>
      </c>
      <c r="E354" s="14">
        <v>5.7678000000000003</v>
      </c>
    </row>
    <row r="355" spans="1:5">
      <c r="A355" s="42">
        <v>353</v>
      </c>
      <c r="B355" s="9" t="s">
        <v>358</v>
      </c>
      <c r="C355" s="2" t="s">
        <v>7</v>
      </c>
      <c r="D355" s="13" t="s">
        <v>366</v>
      </c>
      <c r="E355" s="14">
        <v>2.6589999999999998</v>
      </c>
    </row>
    <row r="356" spans="1:5">
      <c r="A356" s="42">
        <v>354</v>
      </c>
      <c r="B356" s="9" t="s">
        <v>358</v>
      </c>
      <c r="C356" s="3" t="s">
        <v>8</v>
      </c>
      <c r="D356" s="13" t="s">
        <v>367</v>
      </c>
      <c r="E356" s="14">
        <v>3.3</v>
      </c>
    </row>
    <row r="357" spans="1:5">
      <c r="A357" s="42">
        <v>355</v>
      </c>
      <c r="B357" s="9" t="s">
        <v>358</v>
      </c>
      <c r="C357" s="3" t="s">
        <v>8</v>
      </c>
      <c r="D357" s="13" t="s">
        <v>368</v>
      </c>
      <c r="E357" s="14">
        <v>3.9156</v>
      </c>
    </row>
    <row r="358" spans="1:5">
      <c r="A358" s="42">
        <v>356</v>
      </c>
      <c r="B358" s="9" t="s">
        <v>358</v>
      </c>
      <c r="C358" s="2" t="s">
        <v>7</v>
      </c>
      <c r="D358" s="13" t="s">
        <v>369</v>
      </c>
      <c r="E358" s="14">
        <v>2.976</v>
      </c>
    </row>
    <row r="359" spans="1:5">
      <c r="A359" s="42">
        <v>357</v>
      </c>
      <c r="B359" s="9" t="s">
        <v>358</v>
      </c>
      <c r="C359" s="4" t="s">
        <v>5</v>
      </c>
      <c r="D359" s="13" t="s">
        <v>370</v>
      </c>
      <c r="E359" s="14">
        <v>7.21</v>
      </c>
    </row>
    <row r="360" spans="1:5">
      <c r="A360" s="42">
        <v>358</v>
      </c>
      <c r="B360" s="9" t="s">
        <v>358</v>
      </c>
      <c r="C360" s="4" t="s">
        <v>5</v>
      </c>
      <c r="D360" s="13" t="s">
        <v>371</v>
      </c>
      <c r="E360" s="14">
        <v>4.5949</v>
      </c>
    </row>
    <row r="361" spans="1:5">
      <c r="A361" s="42">
        <v>359</v>
      </c>
      <c r="B361" s="9" t="s">
        <v>358</v>
      </c>
      <c r="C361" s="4" t="s">
        <v>5</v>
      </c>
      <c r="D361" s="13" t="s">
        <v>372</v>
      </c>
      <c r="E361" s="14">
        <v>4.03</v>
      </c>
    </row>
    <row r="362" spans="1:5">
      <c r="A362" s="42">
        <v>360</v>
      </c>
      <c r="B362" s="9" t="s">
        <v>358</v>
      </c>
      <c r="C362" s="3" t="s">
        <v>8</v>
      </c>
      <c r="D362" s="13" t="s">
        <v>373</v>
      </c>
      <c r="E362" s="14">
        <v>4.41</v>
      </c>
    </row>
    <row r="363" spans="1:5">
      <c r="A363" s="42">
        <v>361</v>
      </c>
      <c r="B363" s="9" t="s">
        <v>358</v>
      </c>
      <c r="C363" s="3" t="s">
        <v>8</v>
      </c>
      <c r="D363" s="13" t="s">
        <v>374</v>
      </c>
      <c r="E363" s="14">
        <v>5.1100000000000003</v>
      </c>
    </row>
    <row r="364" spans="1:5">
      <c r="A364" s="42">
        <v>362</v>
      </c>
      <c r="B364" s="9" t="s">
        <v>358</v>
      </c>
      <c r="C364" s="2" t="s">
        <v>7</v>
      </c>
      <c r="D364" s="13" t="s">
        <v>375</v>
      </c>
      <c r="E364" s="14">
        <v>5.4950000000000001</v>
      </c>
    </row>
    <row r="365" spans="1:5">
      <c r="A365" s="42">
        <v>363</v>
      </c>
      <c r="B365" s="9" t="s">
        <v>358</v>
      </c>
      <c r="C365" s="2" t="s">
        <v>7</v>
      </c>
      <c r="D365" s="13" t="s">
        <v>376</v>
      </c>
      <c r="E365" s="14">
        <v>4.8125</v>
      </c>
    </row>
    <row r="366" spans="1:5">
      <c r="A366" s="42">
        <v>364</v>
      </c>
      <c r="B366" s="9" t="s">
        <v>358</v>
      </c>
      <c r="C366" s="2" t="s">
        <v>7</v>
      </c>
      <c r="D366" s="13" t="s">
        <v>377</v>
      </c>
      <c r="E366" s="14">
        <v>1.75</v>
      </c>
    </row>
    <row r="367" spans="1:5">
      <c r="A367" s="42">
        <v>365</v>
      </c>
      <c r="B367" s="9" t="s">
        <v>358</v>
      </c>
      <c r="C367" s="2" t="s">
        <v>7</v>
      </c>
      <c r="D367" s="13" t="s">
        <v>378</v>
      </c>
      <c r="E367" s="14">
        <v>6.35</v>
      </c>
    </row>
    <row r="368" spans="1:5">
      <c r="A368" s="42">
        <v>366</v>
      </c>
      <c r="B368" s="9" t="s">
        <v>358</v>
      </c>
      <c r="C368" s="2" t="s">
        <v>7</v>
      </c>
      <c r="D368" s="13" t="s">
        <v>379</v>
      </c>
      <c r="E368" s="14">
        <v>2.2400000000000002</v>
      </c>
    </row>
    <row r="369" spans="1:5">
      <c r="A369" s="42">
        <v>367</v>
      </c>
      <c r="B369" s="9" t="s">
        <v>358</v>
      </c>
      <c r="C369" s="4" t="s">
        <v>5</v>
      </c>
      <c r="D369" s="13" t="s">
        <v>380</v>
      </c>
      <c r="E369" s="14">
        <v>5.7476000000000003</v>
      </c>
    </row>
    <row r="370" spans="1:5">
      <c r="A370" s="42">
        <v>368</v>
      </c>
      <c r="B370" s="9" t="s">
        <v>358</v>
      </c>
      <c r="C370" s="4" t="s">
        <v>5</v>
      </c>
      <c r="D370" s="13" t="s">
        <v>381</v>
      </c>
      <c r="E370" s="14">
        <v>3.5880000000000001</v>
      </c>
    </row>
    <row r="371" spans="1:5">
      <c r="A371" s="42">
        <v>369</v>
      </c>
      <c r="B371" s="9" t="s">
        <v>358</v>
      </c>
      <c r="C371" s="2" t="s">
        <v>7</v>
      </c>
      <c r="D371" s="13" t="s">
        <v>382</v>
      </c>
      <c r="E371" s="14">
        <v>2.83</v>
      </c>
    </row>
    <row r="372" spans="1:5">
      <c r="A372" s="42">
        <v>370</v>
      </c>
      <c r="B372" s="9" t="s">
        <v>358</v>
      </c>
      <c r="C372" s="3" t="s">
        <v>8</v>
      </c>
      <c r="D372" s="13" t="s">
        <v>383</v>
      </c>
      <c r="E372" s="14">
        <v>4.633</v>
      </c>
    </row>
    <row r="373" spans="1:5">
      <c r="A373" s="42">
        <v>371</v>
      </c>
      <c r="B373" s="9" t="s">
        <v>358</v>
      </c>
      <c r="C373" s="2" t="s">
        <v>7</v>
      </c>
      <c r="D373" s="13" t="s">
        <v>384</v>
      </c>
      <c r="E373" s="14">
        <v>5.41</v>
      </c>
    </row>
    <row r="374" spans="1:5">
      <c r="A374" s="42">
        <v>372</v>
      </c>
      <c r="B374" s="9" t="s">
        <v>358</v>
      </c>
      <c r="C374" s="3" t="s">
        <v>8</v>
      </c>
      <c r="D374" s="13" t="s">
        <v>385</v>
      </c>
      <c r="E374" s="14">
        <v>3.9037999999999999</v>
      </c>
    </row>
    <row r="375" spans="1:5">
      <c r="A375" s="42">
        <v>373</v>
      </c>
      <c r="B375" s="9" t="s">
        <v>358</v>
      </c>
      <c r="C375" s="3" t="s">
        <v>8</v>
      </c>
      <c r="D375" s="13" t="s">
        <v>386</v>
      </c>
      <c r="E375" s="14">
        <v>3.9359999999999999</v>
      </c>
    </row>
    <row r="376" spans="1:5">
      <c r="A376" s="42">
        <v>374</v>
      </c>
      <c r="B376" s="9" t="s">
        <v>358</v>
      </c>
      <c r="C376" s="2" t="s">
        <v>7</v>
      </c>
      <c r="D376" s="13" t="s">
        <v>387</v>
      </c>
      <c r="E376" s="14">
        <v>5</v>
      </c>
    </row>
    <row r="377" spans="1:5">
      <c r="A377" s="42">
        <v>375</v>
      </c>
      <c r="B377" s="9" t="s">
        <v>358</v>
      </c>
      <c r="C377" s="2" t="s">
        <v>7</v>
      </c>
      <c r="D377" s="13" t="s">
        <v>388</v>
      </c>
      <c r="E377" s="14">
        <v>3.5453999999999999</v>
      </c>
    </row>
    <row r="378" spans="1:5">
      <c r="A378" s="42">
        <v>376</v>
      </c>
      <c r="B378" s="9" t="s">
        <v>389</v>
      </c>
      <c r="C378" s="2" t="s">
        <v>7</v>
      </c>
      <c r="D378" s="13" t="s">
        <v>390</v>
      </c>
      <c r="E378" s="14">
        <v>0.58928571428571397</v>
      </c>
    </row>
    <row r="379" spans="1:5">
      <c r="A379" s="42">
        <v>377</v>
      </c>
      <c r="B379" s="9" t="s">
        <v>389</v>
      </c>
      <c r="C379" s="2" t="s">
        <v>7</v>
      </c>
      <c r="D379" s="13" t="s">
        <v>391</v>
      </c>
      <c r="E379" s="14">
        <v>0.38</v>
      </c>
    </row>
    <row r="380" spans="1:5">
      <c r="A380" s="42">
        <v>378</v>
      </c>
      <c r="B380" s="9" t="s">
        <v>389</v>
      </c>
      <c r="C380" s="2" t="s">
        <v>7</v>
      </c>
      <c r="D380" s="13" t="s">
        <v>392</v>
      </c>
      <c r="E380" s="14">
        <v>0.96875</v>
      </c>
    </row>
    <row r="381" spans="1:5">
      <c r="A381" s="42">
        <v>379</v>
      </c>
      <c r="B381" s="9" t="s">
        <v>389</v>
      </c>
      <c r="C381" s="2" t="s">
        <v>7</v>
      </c>
      <c r="D381" s="13" t="s">
        <v>393</v>
      </c>
      <c r="E381" s="14">
        <v>0.98480000000000001</v>
      </c>
    </row>
    <row r="382" spans="1:5">
      <c r="A382" s="42">
        <v>380</v>
      </c>
      <c r="B382" s="9" t="s">
        <v>389</v>
      </c>
      <c r="C382" s="2" t="s">
        <v>7</v>
      </c>
      <c r="D382" s="13" t="s">
        <v>394</v>
      </c>
      <c r="E382" s="14">
        <v>1.3277000000000001</v>
      </c>
    </row>
    <row r="383" spans="1:5">
      <c r="A383" s="42">
        <v>381</v>
      </c>
      <c r="B383" s="9" t="s">
        <v>389</v>
      </c>
      <c r="C383" s="2" t="s">
        <v>7</v>
      </c>
      <c r="D383" s="13" t="s">
        <v>395</v>
      </c>
      <c r="E383" s="14">
        <v>1.160377</v>
      </c>
    </row>
    <row r="384" spans="1:5">
      <c r="A384" s="42">
        <v>382</v>
      </c>
      <c r="B384" s="9" t="s">
        <v>389</v>
      </c>
      <c r="C384" s="3" t="s">
        <v>8</v>
      </c>
      <c r="D384" s="13" t="s">
        <v>396</v>
      </c>
      <c r="E384" s="14">
        <v>1.009404</v>
      </c>
    </row>
    <row r="385" spans="1:5">
      <c r="A385" s="42">
        <v>383</v>
      </c>
      <c r="B385" s="9" t="s">
        <v>389</v>
      </c>
      <c r="C385" s="2" t="s">
        <v>7</v>
      </c>
      <c r="D385" s="13" t="s">
        <v>397</v>
      </c>
      <c r="E385" s="14">
        <v>0.67</v>
      </c>
    </row>
    <row r="386" spans="1:5">
      <c r="A386" s="42">
        <v>384</v>
      </c>
      <c r="B386" s="9" t="s">
        <v>389</v>
      </c>
      <c r="C386" s="2" t="s">
        <v>7</v>
      </c>
      <c r="D386" s="13" t="s">
        <v>398</v>
      </c>
      <c r="E386" s="14">
        <v>1.81372549019607</v>
      </c>
    </row>
    <row r="387" spans="1:5">
      <c r="A387" s="42">
        <v>385</v>
      </c>
      <c r="B387" s="9" t="s">
        <v>389</v>
      </c>
      <c r="C387" s="3" t="s">
        <v>8</v>
      </c>
      <c r="D387" s="13" t="s">
        <v>399</v>
      </c>
      <c r="E387" s="14">
        <v>1.8029999999999999</v>
      </c>
    </row>
    <row r="388" spans="1:5">
      <c r="A388" s="42">
        <v>386</v>
      </c>
      <c r="B388" s="9" t="s">
        <v>389</v>
      </c>
      <c r="C388" s="2" t="s">
        <v>7</v>
      </c>
      <c r="D388" s="13" t="s">
        <v>400</v>
      </c>
      <c r="E388" s="14">
        <v>2.0068000000000001</v>
      </c>
    </row>
    <row r="389" spans="1:5">
      <c r="A389" s="42">
        <v>387</v>
      </c>
      <c r="B389" s="9" t="s">
        <v>389</v>
      </c>
      <c r="C389" s="3" t="s">
        <v>8</v>
      </c>
      <c r="D389" s="13" t="s">
        <v>401</v>
      </c>
      <c r="E389" s="14">
        <v>1.6990000000000001</v>
      </c>
    </row>
    <row r="390" spans="1:5">
      <c r="A390" s="42">
        <v>388</v>
      </c>
      <c r="B390" s="9" t="s">
        <v>389</v>
      </c>
      <c r="C390" s="2" t="s">
        <v>7</v>
      </c>
      <c r="D390" s="13" t="s">
        <v>402</v>
      </c>
      <c r="E390" s="14">
        <v>0.42599999999999999</v>
      </c>
    </row>
    <row r="391" spans="1:5">
      <c r="A391" s="42">
        <v>389</v>
      </c>
      <c r="B391" s="9" t="s">
        <v>389</v>
      </c>
      <c r="C391" s="4" t="s">
        <v>5</v>
      </c>
      <c r="D391" s="13" t="s">
        <v>403</v>
      </c>
      <c r="E391" s="14">
        <v>3.0940766550522598</v>
      </c>
    </row>
    <row r="392" spans="1:5">
      <c r="A392" s="42">
        <v>390</v>
      </c>
      <c r="B392" s="9" t="s">
        <v>389</v>
      </c>
      <c r="C392" s="2" t="s">
        <v>7</v>
      </c>
      <c r="D392" s="13" t="s">
        <v>404</v>
      </c>
      <c r="E392" s="14">
        <v>3.3212996389891698</v>
      </c>
    </row>
    <row r="393" spans="1:5">
      <c r="A393" s="42">
        <v>391</v>
      </c>
      <c r="B393" s="9" t="s">
        <v>389</v>
      </c>
      <c r="C393" s="2" t="s">
        <v>7</v>
      </c>
      <c r="D393" s="13" t="s">
        <v>405</v>
      </c>
      <c r="E393" s="14">
        <v>2.2925</v>
      </c>
    </row>
    <row r="394" spans="1:5">
      <c r="A394" s="42">
        <v>392</v>
      </c>
      <c r="B394" s="9" t="s">
        <v>389</v>
      </c>
      <c r="C394" s="3" t="s">
        <v>8</v>
      </c>
      <c r="D394" s="13" t="s">
        <v>406</v>
      </c>
      <c r="E394" s="14">
        <v>0.5</v>
      </c>
    </row>
    <row r="395" spans="1:5">
      <c r="A395" s="42">
        <v>393</v>
      </c>
      <c r="B395" s="9" t="s">
        <v>389</v>
      </c>
      <c r="C395" s="2" t="s">
        <v>7</v>
      </c>
      <c r="D395" s="13" t="s">
        <v>407</v>
      </c>
      <c r="E395" s="14">
        <v>1.2553000000000001</v>
      </c>
    </row>
    <row r="396" spans="1:5">
      <c r="A396" s="42">
        <v>394</v>
      </c>
      <c r="B396" s="9" t="s">
        <v>389</v>
      </c>
      <c r="C396" s="4" t="s">
        <v>5</v>
      </c>
      <c r="D396" s="13" t="s">
        <v>408</v>
      </c>
      <c r="E396" s="14">
        <v>2.4066999999999998</v>
      </c>
    </row>
    <row r="397" spans="1:5">
      <c r="A397" s="42">
        <v>395</v>
      </c>
      <c r="B397" s="9" t="s">
        <v>389</v>
      </c>
      <c r="C397" s="3" t="s">
        <v>8</v>
      </c>
      <c r="D397" s="13" t="s">
        <v>409</v>
      </c>
      <c r="E397" s="14">
        <v>1.3277000000000001</v>
      </c>
    </row>
    <row r="398" spans="1:5">
      <c r="A398" s="42">
        <v>396</v>
      </c>
      <c r="B398" s="9" t="s">
        <v>389</v>
      </c>
      <c r="C398" s="2" t="s">
        <v>7</v>
      </c>
      <c r="D398" s="13" t="s">
        <v>410</v>
      </c>
      <c r="E398" s="14">
        <v>1</v>
      </c>
    </row>
    <row r="399" spans="1:5">
      <c r="A399" s="42">
        <v>397</v>
      </c>
      <c r="B399" s="9" t="s">
        <v>389</v>
      </c>
      <c r="C399" s="3" t="s">
        <v>8</v>
      </c>
      <c r="D399" s="13" t="s">
        <v>411</v>
      </c>
      <c r="E399" s="14">
        <v>0.32</v>
      </c>
    </row>
    <row r="400" spans="1:5">
      <c r="A400" s="42">
        <v>398</v>
      </c>
      <c r="B400" s="9" t="s">
        <v>389</v>
      </c>
      <c r="C400" s="2" t="s">
        <v>7</v>
      </c>
      <c r="D400" s="13" t="s">
        <v>412</v>
      </c>
      <c r="E400" s="14">
        <v>0.65079365079365004</v>
      </c>
    </row>
    <row r="401" spans="1:5">
      <c r="A401" s="42">
        <v>399</v>
      </c>
      <c r="B401" s="9" t="s">
        <v>389</v>
      </c>
      <c r="C401" s="2" t="s">
        <v>7</v>
      </c>
      <c r="D401" s="13" t="s">
        <v>413</v>
      </c>
      <c r="E401" s="14">
        <v>1.7627999999999999</v>
      </c>
    </row>
    <row r="402" spans="1:5">
      <c r="A402" s="42">
        <v>400</v>
      </c>
      <c r="B402" s="9" t="s">
        <v>389</v>
      </c>
      <c r="C402" s="2" t="s">
        <v>7</v>
      </c>
      <c r="D402" s="13" t="s">
        <v>414</v>
      </c>
      <c r="E402" s="14">
        <v>0.61680000000000001</v>
      </c>
    </row>
    <row r="403" spans="1:5">
      <c r="A403" s="42">
        <v>401</v>
      </c>
      <c r="B403" s="9" t="s">
        <v>389</v>
      </c>
      <c r="C403" s="3" t="s">
        <v>8</v>
      </c>
      <c r="D403" s="13" t="s">
        <v>415</v>
      </c>
      <c r="E403" s="14">
        <v>0.46</v>
      </c>
    </row>
    <row r="404" spans="1:5">
      <c r="A404" s="42">
        <v>402</v>
      </c>
      <c r="B404" s="9" t="s">
        <v>389</v>
      </c>
      <c r="C404" s="2" t="s">
        <v>7</v>
      </c>
      <c r="D404" s="13" t="s">
        <v>416</v>
      </c>
      <c r="E404" s="14">
        <v>1.175</v>
      </c>
    </row>
    <row r="405" spans="1:5">
      <c r="A405" s="42">
        <v>403</v>
      </c>
      <c r="B405" s="9" t="s">
        <v>389</v>
      </c>
      <c r="C405" s="2" t="s">
        <v>7</v>
      </c>
      <c r="D405" s="13" t="s">
        <v>417</v>
      </c>
      <c r="E405" s="14">
        <v>7.31</v>
      </c>
    </row>
    <row r="406" spans="1:5">
      <c r="A406" s="42">
        <v>404</v>
      </c>
      <c r="B406" s="9" t="s">
        <v>389</v>
      </c>
      <c r="C406" s="2" t="s">
        <v>7</v>
      </c>
      <c r="D406" s="13" t="s">
        <v>418</v>
      </c>
      <c r="E406" s="14">
        <v>0</v>
      </c>
    </row>
    <row r="407" spans="1:5">
      <c r="A407" s="42">
        <v>405</v>
      </c>
      <c r="B407" s="9" t="s">
        <v>389</v>
      </c>
      <c r="C407" s="2" t="s">
        <v>7</v>
      </c>
      <c r="D407" s="13" t="s">
        <v>419</v>
      </c>
      <c r="E407" s="14">
        <v>1.1100000000000001</v>
      </c>
    </row>
    <row r="408" spans="1:5">
      <c r="A408" s="42">
        <v>406</v>
      </c>
      <c r="B408" s="9" t="s">
        <v>389</v>
      </c>
      <c r="C408" s="4" t="s">
        <v>5</v>
      </c>
      <c r="D408" s="13" t="s">
        <v>420</v>
      </c>
      <c r="E408" s="14">
        <v>1.99</v>
      </c>
    </row>
    <row r="409" spans="1:5">
      <c r="A409" s="42">
        <v>407</v>
      </c>
      <c r="B409" s="9" t="s">
        <v>389</v>
      </c>
      <c r="C409" s="2" t="s">
        <v>7</v>
      </c>
      <c r="D409" s="13" t="s">
        <v>421</v>
      </c>
      <c r="E409" s="14">
        <v>3.3969</v>
      </c>
    </row>
    <row r="410" spans="1:5">
      <c r="A410" s="42">
        <v>408</v>
      </c>
      <c r="B410" s="9" t="s">
        <v>389</v>
      </c>
      <c r="C410" s="2" t="s">
        <v>7</v>
      </c>
      <c r="D410" s="13" t="s">
        <v>422</v>
      </c>
      <c r="E410" s="14">
        <v>1.2</v>
      </c>
    </row>
    <row r="411" spans="1:5">
      <c r="A411" s="42">
        <v>409</v>
      </c>
      <c r="B411" s="9" t="s">
        <v>389</v>
      </c>
      <c r="C411" s="3" t="s">
        <v>8</v>
      </c>
      <c r="D411" s="13" t="s">
        <v>423</v>
      </c>
      <c r="E411" s="14">
        <v>2.06</v>
      </c>
    </row>
    <row r="412" spans="1:5">
      <c r="A412" s="42">
        <v>410</v>
      </c>
      <c r="B412" s="9" t="s">
        <v>389</v>
      </c>
      <c r="C412" s="2" t="s">
        <v>7</v>
      </c>
      <c r="D412" s="13" t="s">
        <v>424</v>
      </c>
      <c r="E412" s="14">
        <v>7.548</v>
      </c>
    </row>
    <row r="413" spans="1:5">
      <c r="A413" s="42">
        <v>411</v>
      </c>
      <c r="B413" s="9" t="s">
        <v>389</v>
      </c>
      <c r="C413" s="5" t="s">
        <v>36</v>
      </c>
      <c r="D413" s="13" t="s">
        <v>425</v>
      </c>
      <c r="E413" s="14">
        <v>0.55979999999999996</v>
      </c>
    </row>
    <row r="414" spans="1:5">
      <c r="A414" s="42">
        <v>412</v>
      </c>
      <c r="B414" s="9" t="s">
        <v>389</v>
      </c>
      <c r="C414" s="2" t="s">
        <v>7</v>
      </c>
      <c r="D414" s="13" t="s">
        <v>426</v>
      </c>
      <c r="E414" s="14">
        <v>1.74257</v>
      </c>
    </row>
    <row r="415" spans="1:5">
      <c r="A415" s="42">
        <v>413</v>
      </c>
      <c r="B415" s="9" t="s">
        <v>389</v>
      </c>
      <c r="C415" s="4" t="s">
        <v>5</v>
      </c>
      <c r="D415" s="13" t="s">
        <v>427</v>
      </c>
      <c r="E415" s="14">
        <v>0.10340000000000001</v>
      </c>
    </row>
    <row r="416" spans="1:5">
      <c r="A416" s="42">
        <v>414</v>
      </c>
      <c r="B416" s="9" t="s">
        <v>389</v>
      </c>
      <c r="C416" s="2" t="s">
        <v>7</v>
      </c>
      <c r="D416" s="13" t="s">
        <v>428</v>
      </c>
      <c r="E416" s="14">
        <v>4.33</v>
      </c>
    </row>
    <row r="417" spans="1:5">
      <c r="A417" s="42">
        <v>415</v>
      </c>
      <c r="B417" s="9" t="s">
        <v>389</v>
      </c>
      <c r="C417" s="3" t="s">
        <v>8</v>
      </c>
      <c r="D417" s="13" t="s">
        <v>429</v>
      </c>
      <c r="E417" s="14">
        <v>1.98</v>
      </c>
    </row>
    <row r="418" spans="1:5">
      <c r="A418" s="42">
        <v>416</v>
      </c>
      <c r="B418" s="9" t="s">
        <v>389</v>
      </c>
      <c r="C418" s="2" t="s">
        <v>7</v>
      </c>
      <c r="D418" s="13" t="s">
        <v>430</v>
      </c>
      <c r="E418" s="14">
        <v>0.73680000000000001</v>
      </c>
    </row>
    <row r="419" spans="1:5">
      <c r="A419" s="42">
        <v>417</v>
      </c>
      <c r="B419" s="9" t="s">
        <v>389</v>
      </c>
      <c r="C419" s="3" t="s">
        <v>8</v>
      </c>
      <c r="D419" s="13" t="s">
        <v>431</v>
      </c>
      <c r="E419" s="14">
        <v>0.15107899999999999</v>
      </c>
    </row>
    <row r="420" spans="1:5">
      <c r="A420" s="42">
        <v>418</v>
      </c>
      <c r="B420" s="9" t="s">
        <v>389</v>
      </c>
      <c r="C420" s="5" t="s">
        <v>36</v>
      </c>
      <c r="D420" s="13" t="s">
        <v>432</v>
      </c>
      <c r="E420" s="14">
        <v>0.125</v>
      </c>
    </row>
    <row r="421" spans="1:5">
      <c r="A421" s="42">
        <v>419</v>
      </c>
      <c r="B421" s="9" t="s">
        <v>389</v>
      </c>
      <c r="C421" s="2" t="s">
        <v>7</v>
      </c>
      <c r="D421" s="13" t="s">
        <v>433</v>
      </c>
      <c r="E421" s="14">
        <v>2.12</v>
      </c>
    </row>
    <row r="422" spans="1:5">
      <c r="A422" s="42">
        <v>420</v>
      </c>
      <c r="B422" s="9" t="s">
        <v>389</v>
      </c>
      <c r="C422" s="2" t="s">
        <v>7</v>
      </c>
      <c r="D422" s="13" t="s">
        <v>434</v>
      </c>
      <c r="E422" s="14">
        <v>0.158</v>
      </c>
    </row>
    <row r="423" spans="1:5">
      <c r="A423" s="42">
        <v>421</v>
      </c>
      <c r="B423" s="9" t="s">
        <v>389</v>
      </c>
      <c r="C423" s="2" t="s">
        <v>7</v>
      </c>
      <c r="D423" s="13" t="s">
        <v>435</v>
      </c>
      <c r="E423" s="14">
        <v>1.67</v>
      </c>
    </row>
    <row r="424" spans="1:5">
      <c r="A424" s="42">
        <v>422</v>
      </c>
      <c r="B424" s="9" t="s">
        <v>389</v>
      </c>
      <c r="C424" s="3" t="s">
        <v>8</v>
      </c>
      <c r="D424" s="13" t="s">
        <v>436</v>
      </c>
      <c r="E424" s="14">
        <v>0.94</v>
      </c>
    </row>
    <row r="425" spans="1:5">
      <c r="A425" s="42">
        <v>423</v>
      </c>
      <c r="B425" s="9" t="s">
        <v>389</v>
      </c>
      <c r="C425" s="2" t="s">
        <v>7</v>
      </c>
      <c r="D425" s="13" t="s">
        <v>437</v>
      </c>
      <c r="E425" s="14">
        <v>1</v>
      </c>
    </row>
    <row r="426" spans="1:5">
      <c r="A426" s="42">
        <v>424</v>
      </c>
      <c r="B426" s="9" t="s">
        <v>389</v>
      </c>
      <c r="C426" s="2" t="s">
        <v>7</v>
      </c>
      <c r="D426" s="13" t="s">
        <v>438</v>
      </c>
      <c r="E426" s="14">
        <v>0.30430000000000001</v>
      </c>
    </row>
    <row r="427" spans="1:5">
      <c r="A427" s="42">
        <v>425</v>
      </c>
      <c r="B427" s="9" t="s">
        <v>389</v>
      </c>
      <c r="C427" s="4" t="s">
        <v>5</v>
      </c>
      <c r="D427" s="13" t="s">
        <v>439</v>
      </c>
      <c r="E427" s="14">
        <v>1.5913900000000001</v>
      </c>
    </row>
    <row r="428" spans="1:5">
      <c r="A428" s="42">
        <v>426</v>
      </c>
      <c r="B428" s="9" t="s">
        <v>389</v>
      </c>
      <c r="C428" s="2" t="s">
        <v>7</v>
      </c>
      <c r="D428" s="13" t="s">
        <v>440</v>
      </c>
      <c r="E428" s="14">
        <v>1.714</v>
      </c>
    </row>
    <row r="429" spans="1:5">
      <c r="A429" s="42">
        <v>427</v>
      </c>
      <c r="B429" s="9" t="s">
        <v>389</v>
      </c>
      <c r="C429" s="2" t="s">
        <v>7</v>
      </c>
      <c r="D429" s="13" t="s">
        <v>441</v>
      </c>
      <c r="E429" s="14">
        <v>0.6421</v>
      </c>
    </row>
    <row r="430" spans="1:5">
      <c r="A430" s="42">
        <v>428</v>
      </c>
      <c r="B430" s="9" t="s">
        <v>389</v>
      </c>
      <c r="C430" s="3" t="s">
        <v>8</v>
      </c>
      <c r="D430" s="13" t="s">
        <v>442</v>
      </c>
      <c r="E430" s="14">
        <v>4.08</v>
      </c>
    </row>
    <row r="431" spans="1:5">
      <c r="A431" s="42">
        <v>429</v>
      </c>
      <c r="B431" s="9" t="s">
        <v>389</v>
      </c>
      <c r="C431" s="2" t="s">
        <v>7</v>
      </c>
      <c r="D431" s="13" t="s">
        <v>443</v>
      </c>
      <c r="E431" s="14">
        <v>4.37</v>
      </c>
    </row>
    <row r="432" spans="1:5">
      <c r="A432" s="42">
        <v>430</v>
      </c>
      <c r="B432" s="9" t="s">
        <v>389</v>
      </c>
      <c r="C432" s="4" t="s">
        <v>5</v>
      </c>
      <c r="D432" s="13" t="s">
        <v>444</v>
      </c>
      <c r="E432" s="14">
        <v>3.93877551020408</v>
      </c>
    </row>
    <row r="433" spans="1:5">
      <c r="A433" s="42">
        <v>431</v>
      </c>
      <c r="B433" s="9" t="s">
        <v>389</v>
      </c>
      <c r="C433" s="3" t="s">
        <v>8</v>
      </c>
      <c r="D433" s="13" t="s">
        <v>445</v>
      </c>
      <c r="E433" s="14">
        <v>1.0367999999999999</v>
      </c>
    </row>
    <row r="434" spans="1:5">
      <c r="A434" s="42">
        <v>432</v>
      </c>
      <c r="B434" s="9" t="s">
        <v>389</v>
      </c>
      <c r="C434" s="2" t="s">
        <v>7</v>
      </c>
      <c r="D434" s="13" t="s">
        <v>446</v>
      </c>
      <c r="E434" s="14">
        <v>0.62639999999999996</v>
      </c>
    </row>
    <row r="435" spans="1:5">
      <c r="A435" s="42">
        <v>433</v>
      </c>
      <c r="B435" s="9" t="s">
        <v>389</v>
      </c>
      <c r="C435" s="4" t="s">
        <v>5</v>
      </c>
      <c r="D435" s="13" t="s">
        <v>447</v>
      </c>
      <c r="E435" s="14">
        <v>0.99199999999999999</v>
      </c>
    </row>
    <row r="436" spans="1:5">
      <c r="A436" s="42">
        <v>434</v>
      </c>
      <c r="B436" s="9" t="s">
        <v>389</v>
      </c>
      <c r="C436" s="3" t="s">
        <v>8</v>
      </c>
      <c r="D436" s="13" t="s">
        <v>448</v>
      </c>
      <c r="E436" s="14">
        <v>2.7389999999999999</v>
      </c>
    </row>
    <row r="437" spans="1:5">
      <c r="A437" s="42">
        <v>435</v>
      </c>
      <c r="B437" s="9" t="s">
        <v>389</v>
      </c>
      <c r="C437" s="2" t="s">
        <v>7</v>
      </c>
      <c r="D437" s="13" t="s">
        <v>449</v>
      </c>
      <c r="E437" s="14">
        <v>1.3629</v>
      </c>
    </row>
    <row r="438" spans="1:5">
      <c r="A438" s="42">
        <v>436</v>
      </c>
      <c r="B438" s="9" t="s">
        <v>389</v>
      </c>
      <c r="C438" s="3" t="s">
        <v>8</v>
      </c>
      <c r="D438" s="13" t="s">
        <v>450</v>
      </c>
      <c r="E438" s="14">
        <v>0.65188999999999997</v>
      </c>
    </row>
    <row r="439" spans="1:5">
      <c r="A439" s="42">
        <v>437</v>
      </c>
      <c r="B439" s="9" t="s">
        <v>389</v>
      </c>
      <c r="C439" s="2" t="s">
        <v>7</v>
      </c>
      <c r="D439" s="13" t="s">
        <v>451</v>
      </c>
      <c r="E439" s="14">
        <v>1.3</v>
      </c>
    </row>
    <row r="440" spans="1:5">
      <c r="A440" s="42">
        <v>438</v>
      </c>
      <c r="B440" s="9" t="s">
        <v>389</v>
      </c>
      <c r="C440" s="2" t="s">
        <v>7</v>
      </c>
      <c r="D440" s="13" t="s">
        <v>452</v>
      </c>
      <c r="E440" s="14">
        <v>1.1077999999999999</v>
      </c>
    </row>
    <row r="441" spans="1:5">
      <c r="A441" s="42">
        <v>439</v>
      </c>
      <c r="B441" s="9" t="s">
        <v>389</v>
      </c>
      <c r="C441" s="2" t="s">
        <v>7</v>
      </c>
      <c r="D441" s="13" t="s">
        <v>453</v>
      </c>
      <c r="E441" s="14">
        <v>0.78569999999999995</v>
      </c>
    </row>
    <row r="442" spans="1:5">
      <c r="A442" s="42">
        <v>440</v>
      </c>
      <c r="B442" s="9" t="s">
        <v>389</v>
      </c>
      <c r="C442" s="2" t="s">
        <v>7</v>
      </c>
      <c r="D442" s="13" t="s">
        <v>454</v>
      </c>
      <c r="E442" s="14">
        <v>0.27160000000000001</v>
      </c>
    </row>
    <row r="443" spans="1:5">
      <c r="A443" s="42">
        <v>441</v>
      </c>
      <c r="B443" s="9" t="s">
        <v>389</v>
      </c>
      <c r="C443" s="4" t="s">
        <v>5</v>
      </c>
      <c r="D443" s="13" t="s">
        <v>455</v>
      </c>
      <c r="E443" s="14">
        <v>1.07766990291262</v>
      </c>
    </row>
    <row r="444" spans="1:5">
      <c r="A444" s="42">
        <v>442</v>
      </c>
      <c r="B444" s="9" t="s">
        <v>389</v>
      </c>
      <c r="C444" s="3" t="s">
        <v>8</v>
      </c>
      <c r="D444" s="13" t="s">
        <v>456</v>
      </c>
      <c r="E444" s="14">
        <v>3.1488</v>
      </c>
    </row>
    <row r="445" spans="1:5">
      <c r="A445" s="42">
        <v>443</v>
      </c>
      <c r="B445" s="9" t="s">
        <v>389</v>
      </c>
      <c r="C445" s="2" t="s">
        <v>7</v>
      </c>
      <c r="D445" s="13" t="s">
        <v>457</v>
      </c>
      <c r="E445" s="14">
        <v>0.54800000000000004</v>
      </c>
    </row>
    <row r="446" spans="1:5">
      <c r="A446" s="42">
        <v>444</v>
      </c>
      <c r="B446" s="9" t="s">
        <v>389</v>
      </c>
      <c r="C446" s="2" t="s">
        <v>7</v>
      </c>
      <c r="D446" s="13" t="s">
        <v>458</v>
      </c>
      <c r="E446" s="14">
        <v>1.659</v>
      </c>
    </row>
    <row r="447" spans="1:5">
      <c r="A447" s="42">
        <v>445</v>
      </c>
      <c r="B447" s="9" t="s">
        <v>389</v>
      </c>
      <c r="C447" s="3" t="s">
        <v>8</v>
      </c>
      <c r="D447" s="13" t="s">
        <v>459</v>
      </c>
      <c r="E447" s="14">
        <v>0.95830000000000004</v>
      </c>
    </row>
    <row r="448" spans="1:5">
      <c r="A448" s="42">
        <v>446</v>
      </c>
      <c r="B448" s="9" t="s">
        <v>389</v>
      </c>
      <c r="C448" s="2" t="s">
        <v>7</v>
      </c>
      <c r="D448" s="13" t="s">
        <v>460</v>
      </c>
      <c r="E448" s="14">
        <v>1.40625</v>
      </c>
    </row>
    <row r="449" spans="1:5">
      <c r="A449" s="42">
        <v>447</v>
      </c>
      <c r="B449" s="9" t="s">
        <v>389</v>
      </c>
      <c r="C449" s="4" t="s">
        <v>5</v>
      </c>
      <c r="D449" s="13" t="s">
        <v>461</v>
      </c>
      <c r="E449" s="14">
        <v>2.7256</v>
      </c>
    </row>
    <row r="450" spans="1:5">
      <c r="A450" s="42">
        <v>448</v>
      </c>
      <c r="B450" s="9" t="s">
        <v>389</v>
      </c>
      <c r="C450" s="3" t="s">
        <v>8</v>
      </c>
      <c r="D450" s="13" t="s">
        <v>462</v>
      </c>
      <c r="E450" s="14">
        <v>0.97426470588235203</v>
      </c>
    </row>
    <row r="451" spans="1:5">
      <c r="A451" s="42">
        <v>449</v>
      </c>
      <c r="B451" s="9" t="s">
        <v>389</v>
      </c>
      <c r="C451" s="2" t="s">
        <v>7</v>
      </c>
      <c r="D451" s="13" t="s">
        <v>463</v>
      </c>
      <c r="E451" s="14">
        <v>1</v>
      </c>
    </row>
    <row r="452" spans="1:5">
      <c r="A452" s="42">
        <v>450</v>
      </c>
      <c r="B452" s="9" t="s">
        <v>389</v>
      </c>
      <c r="C452" s="5" t="s">
        <v>36</v>
      </c>
      <c r="D452" s="13" t="s">
        <v>464</v>
      </c>
      <c r="E452" s="14">
        <v>0.74796700000000005</v>
      </c>
    </row>
    <row r="453" spans="1:5">
      <c r="A453" s="42">
        <v>451</v>
      </c>
      <c r="B453" s="9" t="s">
        <v>389</v>
      </c>
      <c r="C453" s="4" t="s">
        <v>5</v>
      </c>
      <c r="D453" s="13" t="s">
        <v>465</v>
      </c>
      <c r="E453" s="14">
        <v>1.57</v>
      </c>
    </row>
    <row r="454" spans="1:5">
      <c r="A454" s="42">
        <v>452</v>
      </c>
      <c r="B454" s="9" t="s">
        <v>389</v>
      </c>
      <c r="C454" s="4" t="s">
        <v>5</v>
      </c>
      <c r="D454" s="13" t="s">
        <v>466</v>
      </c>
      <c r="E454" s="14">
        <v>3.68</v>
      </c>
    </row>
    <row r="455" spans="1:5">
      <c r="A455" s="42">
        <v>453</v>
      </c>
      <c r="B455" s="9" t="s">
        <v>389</v>
      </c>
      <c r="C455" s="2" t="s">
        <v>7</v>
      </c>
      <c r="D455" s="13" t="s">
        <v>467</v>
      </c>
      <c r="E455" s="14">
        <v>3</v>
      </c>
    </row>
    <row r="456" spans="1:5">
      <c r="A456" s="42">
        <v>454</v>
      </c>
      <c r="B456" s="9" t="s">
        <v>389</v>
      </c>
      <c r="C456" s="2" t="s">
        <v>7</v>
      </c>
      <c r="D456" s="13" t="s">
        <v>468</v>
      </c>
      <c r="E456" s="14">
        <v>1.0269999999999999</v>
      </c>
    </row>
    <row r="457" spans="1:5">
      <c r="A457" s="42">
        <v>455</v>
      </c>
      <c r="B457" s="9" t="s">
        <v>389</v>
      </c>
      <c r="C457" s="3" t="s">
        <v>8</v>
      </c>
      <c r="D457" s="13" t="s">
        <v>469</v>
      </c>
      <c r="E457" s="14">
        <v>0.69196000000000002</v>
      </c>
    </row>
    <row r="458" spans="1:5">
      <c r="A458" s="42">
        <v>456</v>
      </c>
      <c r="B458" s="9" t="s">
        <v>389</v>
      </c>
      <c r="C458" s="2" t="s">
        <v>7</v>
      </c>
      <c r="D458" s="13" t="s">
        <v>470</v>
      </c>
      <c r="E458" s="14">
        <v>12.657</v>
      </c>
    </row>
    <row r="459" spans="1:5">
      <c r="A459" s="42">
        <v>457</v>
      </c>
      <c r="B459" s="9" t="s">
        <v>389</v>
      </c>
      <c r="C459" s="3" t="s">
        <v>8</v>
      </c>
      <c r="D459" s="13" t="s">
        <v>471</v>
      </c>
      <c r="E459" s="14">
        <v>3.2160000000000002</v>
      </c>
    </row>
    <row r="460" spans="1:5">
      <c r="A460" s="42">
        <v>458</v>
      </c>
      <c r="B460" s="9" t="s">
        <v>389</v>
      </c>
      <c r="C460" s="2" t="s">
        <v>7</v>
      </c>
      <c r="D460" s="13" t="s">
        <v>472</v>
      </c>
      <c r="E460" s="14">
        <v>0.56889999999999996</v>
      </c>
    </row>
    <row r="461" spans="1:5">
      <c r="A461" s="42">
        <v>459</v>
      </c>
      <c r="B461" s="9" t="s">
        <v>473</v>
      </c>
      <c r="C461" s="3" t="s">
        <v>8</v>
      </c>
      <c r="D461" s="13" t="s">
        <v>474</v>
      </c>
      <c r="E461" s="15">
        <v>3</v>
      </c>
    </row>
    <row r="462" spans="1:5">
      <c r="A462" s="42">
        <v>460</v>
      </c>
      <c r="B462" s="9" t="s">
        <v>473</v>
      </c>
      <c r="C462" s="2" t="s">
        <v>7</v>
      </c>
      <c r="D462" s="13" t="s">
        <v>475</v>
      </c>
      <c r="E462" s="15">
        <v>0.67</v>
      </c>
    </row>
    <row r="463" spans="1:5">
      <c r="A463" s="42">
        <v>461</v>
      </c>
      <c r="B463" s="9" t="s">
        <v>473</v>
      </c>
      <c r="C463" s="3" t="s">
        <v>8</v>
      </c>
      <c r="D463" s="13" t="s">
        <v>476</v>
      </c>
      <c r="E463" s="15">
        <v>5.91</v>
      </c>
    </row>
    <row r="464" spans="1:5">
      <c r="A464" s="42">
        <v>462</v>
      </c>
      <c r="B464" s="9" t="s">
        <v>473</v>
      </c>
      <c r="C464" s="2" t="s">
        <v>7</v>
      </c>
      <c r="D464" s="13" t="s">
        <v>477</v>
      </c>
      <c r="E464" s="15">
        <v>3.75</v>
      </c>
    </row>
    <row r="465" spans="1:5">
      <c r="A465" s="42">
        <v>463</v>
      </c>
      <c r="B465" s="9" t="s">
        <v>473</v>
      </c>
      <c r="C465" s="2" t="s">
        <v>7</v>
      </c>
      <c r="D465" s="13" t="s">
        <v>478</v>
      </c>
      <c r="E465" s="15">
        <v>6.67</v>
      </c>
    </row>
    <row r="466" spans="1:5">
      <c r="A466" s="42">
        <v>464</v>
      </c>
      <c r="B466" s="9" t="s">
        <v>473</v>
      </c>
      <c r="C466" s="3" t="s">
        <v>8</v>
      </c>
      <c r="D466" s="13" t="s">
        <v>479</v>
      </c>
      <c r="E466" s="15">
        <v>1.25</v>
      </c>
    </row>
    <row r="467" spans="1:5">
      <c r="A467" s="42">
        <v>465</v>
      </c>
      <c r="B467" s="9" t="s">
        <v>473</v>
      </c>
      <c r="C467" s="2" t="s">
        <v>7</v>
      </c>
      <c r="D467" s="13" t="s">
        <v>480</v>
      </c>
      <c r="E467" s="15">
        <v>2.19</v>
      </c>
    </row>
    <row r="468" spans="1:5">
      <c r="A468" s="42">
        <v>466</v>
      </c>
      <c r="B468" s="9" t="s">
        <v>473</v>
      </c>
      <c r="C468" s="4" t="s">
        <v>5</v>
      </c>
      <c r="D468" s="13" t="s">
        <v>481</v>
      </c>
      <c r="E468" s="15">
        <v>2.4500000000000002</v>
      </c>
    </row>
    <row r="469" spans="1:5">
      <c r="A469" s="42">
        <v>467</v>
      </c>
      <c r="B469" s="9" t="s">
        <v>473</v>
      </c>
      <c r="C469" s="3" t="s">
        <v>8</v>
      </c>
      <c r="D469" s="13" t="s">
        <v>482</v>
      </c>
      <c r="E469" s="15">
        <v>2.8</v>
      </c>
    </row>
    <row r="470" spans="1:5">
      <c r="A470" s="42">
        <v>468</v>
      </c>
      <c r="B470" s="9" t="s">
        <v>473</v>
      </c>
      <c r="C470" s="2" t="s">
        <v>7</v>
      </c>
      <c r="D470" s="13" t="s">
        <v>483</v>
      </c>
      <c r="E470" s="15">
        <v>2.08</v>
      </c>
    </row>
    <row r="471" spans="1:5">
      <c r="A471" s="42">
        <v>469</v>
      </c>
      <c r="B471" s="9" t="s">
        <v>473</v>
      </c>
      <c r="C471" s="4" t="s">
        <v>5</v>
      </c>
      <c r="D471" s="13" t="s">
        <v>484</v>
      </c>
      <c r="E471" s="15">
        <v>3.06</v>
      </c>
    </row>
    <row r="472" spans="1:5">
      <c r="A472" s="42">
        <v>470</v>
      </c>
      <c r="B472" s="9" t="s">
        <v>473</v>
      </c>
      <c r="C472" s="3" t="s">
        <v>8</v>
      </c>
      <c r="D472" s="13" t="s">
        <v>485</v>
      </c>
      <c r="E472" s="15">
        <v>1.3</v>
      </c>
    </row>
    <row r="473" spans="1:5">
      <c r="A473" s="42">
        <v>471</v>
      </c>
      <c r="B473" s="9" t="s">
        <v>473</v>
      </c>
      <c r="C473" s="2" t="s">
        <v>7</v>
      </c>
      <c r="D473" s="13" t="s">
        <v>486</v>
      </c>
      <c r="E473" s="15">
        <v>2.12</v>
      </c>
    </row>
    <row r="474" spans="1:5">
      <c r="A474" s="42">
        <v>472</v>
      </c>
      <c r="B474" s="9" t="s">
        <v>473</v>
      </c>
      <c r="C474" s="2" t="s">
        <v>7</v>
      </c>
      <c r="D474" s="13" t="s">
        <v>487</v>
      </c>
      <c r="E474" s="15">
        <v>3.97</v>
      </c>
    </row>
    <row r="475" spans="1:5">
      <c r="A475" s="42">
        <v>473</v>
      </c>
      <c r="B475" s="9" t="s">
        <v>473</v>
      </c>
      <c r="C475" s="2" t="s">
        <v>7</v>
      </c>
      <c r="D475" s="13" t="s">
        <v>488</v>
      </c>
      <c r="E475" s="15">
        <v>4.67</v>
      </c>
    </row>
    <row r="476" spans="1:5">
      <c r="A476" s="42">
        <v>474</v>
      </c>
      <c r="B476" s="9" t="s">
        <v>473</v>
      </c>
      <c r="C476" s="4" t="s">
        <v>5</v>
      </c>
      <c r="D476" s="13" t="s">
        <v>489</v>
      </c>
      <c r="E476" s="15">
        <v>5.31</v>
      </c>
    </row>
    <row r="477" spans="1:5">
      <c r="A477" s="42">
        <v>475</v>
      </c>
      <c r="B477" s="9" t="s">
        <v>473</v>
      </c>
      <c r="C477" s="3" t="s">
        <v>8</v>
      </c>
      <c r="D477" s="13" t="s">
        <v>490</v>
      </c>
      <c r="E477" s="15">
        <v>1.56</v>
      </c>
    </row>
    <row r="478" spans="1:5">
      <c r="A478" s="42">
        <v>476</v>
      </c>
      <c r="B478" s="9" t="s">
        <v>473</v>
      </c>
      <c r="C478" s="2" t="s">
        <v>7</v>
      </c>
      <c r="D478" s="13" t="s">
        <v>491</v>
      </c>
      <c r="E478" s="15">
        <v>1.52</v>
      </c>
    </row>
    <row r="479" spans="1:5">
      <c r="A479" s="42">
        <v>477</v>
      </c>
      <c r="B479" s="9" t="s">
        <v>473</v>
      </c>
      <c r="C479" s="2" t="s">
        <v>7</v>
      </c>
      <c r="D479" s="13" t="s">
        <v>492</v>
      </c>
      <c r="E479" s="15">
        <v>4.7699999999999996</v>
      </c>
    </row>
    <row r="480" spans="1:5">
      <c r="A480" s="42">
        <v>478</v>
      </c>
      <c r="B480" s="9" t="s">
        <v>473</v>
      </c>
      <c r="C480" s="2" t="s">
        <v>7</v>
      </c>
      <c r="D480" s="13" t="s">
        <v>493</v>
      </c>
      <c r="E480" s="15">
        <v>5.04</v>
      </c>
    </row>
    <row r="481" spans="1:5">
      <c r="A481" s="42">
        <v>479</v>
      </c>
      <c r="B481" s="9" t="s">
        <v>473</v>
      </c>
      <c r="C481" s="2" t="s">
        <v>7</v>
      </c>
      <c r="D481" s="13" t="s">
        <v>494</v>
      </c>
      <c r="E481" s="15">
        <v>1.02</v>
      </c>
    </row>
    <row r="482" spans="1:5">
      <c r="A482" s="42">
        <v>480</v>
      </c>
      <c r="B482" s="9" t="s">
        <v>473</v>
      </c>
      <c r="C482" s="3" t="s">
        <v>8</v>
      </c>
      <c r="D482" s="13" t="s">
        <v>495</v>
      </c>
      <c r="E482" s="15">
        <v>1.1100000000000001</v>
      </c>
    </row>
    <row r="483" spans="1:5">
      <c r="A483" s="42">
        <v>481</v>
      </c>
      <c r="B483" s="9" t="s">
        <v>473</v>
      </c>
      <c r="C483" s="2" t="s">
        <v>7</v>
      </c>
      <c r="D483" s="13" t="s">
        <v>496</v>
      </c>
      <c r="E483" s="15">
        <v>3.05</v>
      </c>
    </row>
    <row r="484" spans="1:5">
      <c r="A484" s="42">
        <v>482</v>
      </c>
      <c r="B484" s="9" t="s">
        <v>473</v>
      </c>
      <c r="C484" s="3" t="s">
        <v>8</v>
      </c>
      <c r="D484" s="13" t="s">
        <v>497</v>
      </c>
      <c r="E484" s="15">
        <v>3.21</v>
      </c>
    </row>
    <row r="485" spans="1:5">
      <c r="A485" s="42">
        <v>483</v>
      </c>
      <c r="B485" s="9" t="s">
        <v>473</v>
      </c>
      <c r="C485" s="2" t="s">
        <v>7</v>
      </c>
      <c r="D485" s="13" t="s">
        <v>498</v>
      </c>
      <c r="E485" s="15">
        <v>2.81</v>
      </c>
    </row>
    <row r="486" spans="1:5">
      <c r="A486" s="42">
        <v>484</v>
      </c>
      <c r="B486" s="9" t="s">
        <v>473</v>
      </c>
      <c r="C486" s="2" t="s">
        <v>7</v>
      </c>
      <c r="D486" s="13" t="s">
        <v>499</v>
      </c>
      <c r="E486" s="15">
        <v>3.86</v>
      </c>
    </row>
    <row r="487" spans="1:5">
      <c r="A487" s="42">
        <v>485</v>
      </c>
      <c r="B487" s="9" t="s">
        <v>473</v>
      </c>
      <c r="C487" s="2" t="s">
        <v>7</v>
      </c>
      <c r="D487" s="13" t="s">
        <v>500</v>
      </c>
      <c r="E487" s="15">
        <v>4.33</v>
      </c>
    </row>
    <row r="488" spans="1:5">
      <c r="A488" s="42">
        <v>486</v>
      </c>
      <c r="B488" s="9" t="s">
        <v>473</v>
      </c>
      <c r="C488" s="4" t="s">
        <v>5</v>
      </c>
      <c r="D488" s="13" t="s">
        <v>501</v>
      </c>
      <c r="E488" s="15">
        <v>6.3</v>
      </c>
    </row>
    <row r="489" spans="1:5">
      <c r="A489" s="42">
        <v>487</v>
      </c>
      <c r="B489" s="9" t="s">
        <v>473</v>
      </c>
      <c r="C489" s="5" t="s">
        <v>36</v>
      </c>
      <c r="D489" s="13" t="s">
        <v>502</v>
      </c>
      <c r="E489" s="15">
        <v>3.28</v>
      </c>
    </row>
    <row r="490" spans="1:5">
      <c r="A490" s="42">
        <v>488</v>
      </c>
      <c r="B490" s="9" t="s">
        <v>473</v>
      </c>
      <c r="C490" s="4" t="s">
        <v>5</v>
      </c>
      <c r="D490" s="13" t="s">
        <v>503</v>
      </c>
      <c r="E490" s="15">
        <v>5.82</v>
      </c>
    </row>
    <row r="491" spans="1:5">
      <c r="A491" s="42">
        <v>489</v>
      </c>
      <c r="B491" s="9" t="s">
        <v>473</v>
      </c>
      <c r="C491" s="3" t="s">
        <v>8</v>
      </c>
      <c r="D491" s="13" t="s">
        <v>504</v>
      </c>
      <c r="E491" s="15">
        <v>4.88</v>
      </c>
    </row>
    <row r="492" spans="1:5">
      <c r="A492" s="42">
        <v>490</v>
      </c>
      <c r="B492" s="9" t="s">
        <v>473</v>
      </c>
      <c r="C492" s="4" t="s">
        <v>5</v>
      </c>
      <c r="D492" s="13" t="s">
        <v>505</v>
      </c>
      <c r="E492" s="15">
        <v>6.77</v>
      </c>
    </row>
    <row r="493" spans="1:5">
      <c r="A493" s="42">
        <v>491</v>
      </c>
      <c r="B493" s="9" t="s">
        <v>473</v>
      </c>
      <c r="C493" s="4" t="s">
        <v>5</v>
      </c>
      <c r="D493" s="13" t="s">
        <v>506</v>
      </c>
      <c r="E493" s="15">
        <v>3.11</v>
      </c>
    </row>
    <row r="494" spans="1:5">
      <c r="A494" s="42">
        <v>492</v>
      </c>
      <c r="B494" s="9" t="s">
        <v>473</v>
      </c>
      <c r="C494" s="2" t="s">
        <v>7</v>
      </c>
      <c r="D494" s="13" t="s">
        <v>507</v>
      </c>
      <c r="E494" s="15">
        <v>1.88</v>
      </c>
    </row>
    <row r="495" spans="1:5">
      <c r="A495" s="42">
        <v>493</v>
      </c>
      <c r="B495" s="9" t="s">
        <v>473</v>
      </c>
      <c r="C495" s="3" t="s">
        <v>8</v>
      </c>
      <c r="D495" s="13" t="s">
        <v>508</v>
      </c>
      <c r="E495" s="15">
        <v>4.7</v>
      </c>
    </row>
    <row r="496" spans="1:5">
      <c r="A496" s="42">
        <v>494</v>
      </c>
      <c r="B496" s="9" t="s">
        <v>473</v>
      </c>
      <c r="C496" s="2" t="s">
        <v>7</v>
      </c>
      <c r="D496" s="13" t="s">
        <v>509</v>
      </c>
      <c r="E496" s="15">
        <v>5.78</v>
      </c>
    </row>
    <row r="497" spans="1:5">
      <c r="A497" s="42">
        <v>495</v>
      </c>
      <c r="B497" s="9" t="s">
        <v>473</v>
      </c>
      <c r="C497" s="2" t="s">
        <v>7</v>
      </c>
      <c r="D497" s="13" t="s">
        <v>510</v>
      </c>
      <c r="E497" s="15">
        <v>1.77</v>
      </c>
    </row>
    <row r="498" spans="1:5">
      <c r="A498" s="42">
        <v>496</v>
      </c>
      <c r="B498" s="9" t="s">
        <v>473</v>
      </c>
      <c r="C498" s="2" t="s">
        <v>7</v>
      </c>
      <c r="D498" s="13" t="s">
        <v>511</v>
      </c>
      <c r="E498" s="15">
        <v>3.5</v>
      </c>
    </row>
    <row r="499" spans="1:5">
      <c r="A499" s="42">
        <v>497</v>
      </c>
      <c r="B499" s="9" t="s">
        <v>473</v>
      </c>
      <c r="C499" s="2" t="s">
        <v>7</v>
      </c>
      <c r="D499" s="13" t="s">
        <v>512</v>
      </c>
      <c r="E499" s="15">
        <v>4.63</v>
      </c>
    </row>
    <row r="500" spans="1:5">
      <c r="A500" s="42">
        <v>498</v>
      </c>
      <c r="B500" s="9" t="s">
        <v>473</v>
      </c>
      <c r="C500" s="2" t="s">
        <v>7</v>
      </c>
      <c r="D500" s="13" t="s">
        <v>513</v>
      </c>
      <c r="E500" s="15">
        <v>5</v>
      </c>
    </row>
    <row r="501" spans="1:5">
      <c r="A501" s="42">
        <v>499</v>
      </c>
      <c r="B501" s="9" t="s">
        <v>473</v>
      </c>
      <c r="C501" s="3" t="s">
        <v>8</v>
      </c>
      <c r="D501" s="13" t="s">
        <v>514</v>
      </c>
      <c r="E501" s="15">
        <v>1.66</v>
      </c>
    </row>
    <row r="502" spans="1:5">
      <c r="A502" s="42">
        <v>500</v>
      </c>
      <c r="B502" s="9" t="s">
        <v>473</v>
      </c>
      <c r="C502" s="2" t="s">
        <v>7</v>
      </c>
      <c r="D502" s="13" t="s">
        <v>515</v>
      </c>
      <c r="E502" s="15">
        <v>3.91</v>
      </c>
    </row>
    <row r="503" spans="1:5">
      <c r="A503" s="42">
        <v>501</v>
      </c>
      <c r="B503" s="9" t="s">
        <v>473</v>
      </c>
      <c r="C503" s="2" t="s">
        <v>7</v>
      </c>
      <c r="D503" s="13" t="s">
        <v>516</v>
      </c>
      <c r="E503" s="15">
        <v>4.4400000000000004</v>
      </c>
    </row>
    <row r="504" spans="1:5">
      <c r="A504" s="42">
        <v>502</v>
      </c>
      <c r="B504" s="9" t="s">
        <v>517</v>
      </c>
      <c r="C504" s="2" t="s">
        <v>7</v>
      </c>
      <c r="D504" s="13" t="s">
        <v>518</v>
      </c>
      <c r="E504" s="16">
        <v>1.97</v>
      </c>
    </row>
    <row r="505" spans="1:5">
      <c r="A505" s="42">
        <v>503</v>
      </c>
      <c r="B505" s="9" t="s">
        <v>517</v>
      </c>
      <c r="C505" s="3" t="s">
        <v>8</v>
      </c>
      <c r="D505" s="13" t="s">
        <v>519</v>
      </c>
      <c r="E505" s="16">
        <v>2.0299999999999998</v>
      </c>
    </row>
    <row r="506" spans="1:5">
      <c r="A506" s="42">
        <v>504</v>
      </c>
      <c r="B506" s="9" t="s">
        <v>517</v>
      </c>
      <c r="C506" s="5" t="s">
        <v>36</v>
      </c>
      <c r="D506" s="13" t="s">
        <v>520</v>
      </c>
      <c r="E506" s="16">
        <v>0.48</v>
      </c>
    </row>
    <row r="507" spans="1:5">
      <c r="A507" s="42">
        <v>505</v>
      </c>
      <c r="B507" s="9" t="s">
        <v>517</v>
      </c>
      <c r="C507" s="2" t="s">
        <v>7</v>
      </c>
      <c r="D507" s="13" t="s">
        <v>521</v>
      </c>
      <c r="E507" s="16">
        <v>5.03</v>
      </c>
    </row>
    <row r="508" spans="1:5">
      <c r="A508" s="42">
        <v>506</v>
      </c>
      <c r="B508" s="9" t="s">
        <v>517</v>
      </c>
      <c r="C508" s="2" t="s">
        <v>7</v>
      </c>
      <c r="D508" s="13" t="s">
        <v>522</v>
      </c>
      <c r="E508" s="16">
        <v>1.48</v>
      </c>
    </row>
    <row r="509" spans="1:5">
      <c r="A509" s="42">
        <v>507</v>
      </c>
      <c r="B509" s="9" t="s">
        <v>517</v>
      </c>
      <c r="C509" s="2" t="s">
        <v>7</v>
      </c>
      <c r="D509" s="13" t="s">
        <v>523</v>
      </c>
      <c r="E509" s="17">
        <v>3.41</v>
      </c>
    </row>
    <row r="510" spans="1:5">
      <c r="A510" s="42">
        <v>508</v>
      </c>
      <c r="B510" s="9" t="s">
        <v>517</v>
      </c>
      <c r="C510" s="5" t="s">
        <v>36</v>
      </c>
      <c r="D510" s="13" t="s">
        <v>524</v>
      </c>
      <c r="E510" s="16">
        <v>3.63</v>
      </c>
    </row>
    <row r="511" spans="1:5">
      <c r="A511" s="42">
        <v>509</v>
      </c>
      <c r="B511" s="9" t="s">
        <v>517</v>
      </c>
      <c r="C511" s="4" t="s">
        <v>5</v>
      </c>
      <c r="D511" s="13" t="s">
        <v>525</v>
      </c>
      <c r="E511" s="16">
        <v>3.84</v>
      </c>
    </row>
    <row r="512" spans="1:5">
      <c r="A512" s="42">
        <v>510</v>
      </c>
      <c r="B512" s="9" t="s">
        <v>517</v>
      </c>
      <c r="C512" s="3" t="s">
        <v>8</v>
      </c>
      <c r="D512" s="13" t="s">
        <v>526</v>
      </c>
      <c r="E512" s="16">
        <v>1.75</v>
      </c>
    </row>
    <row r="513" spans="1:5">
      <c r="A513" s="42">
        <v>511</v>
      </c>
      <c r="B513" s="9" t="s">
        <v>517</v>
      </c>
      <c r="C513" s="2" t="s">
        <v>7</v>
      </c>
      <c r="D513" s="13" t="s">
        <v>527</v>
      </c>
      <c r="E513" s="16">
        <v>1.03</v>
      </c>
    </row>
    <row r="514" spans="1:5">
      <c r="A514" s="42">
        <v>512</v>
      </c>
      <c r="B514" s="9" t="s">
        <v>517</v>
      </c>
      <c r="C514" s="2" t="s">
        <v>7</v>
      </c>
      <c r="D514" s="13" t="s">
        <v>528</v>
      </c>
      <c r="E514" s="16">
        <v>1.41</v>
      </c>
    </row>
    <row r="515" spans="1:5">
      <c r="A515" s="42">
        <v>513</v>
      </c>
      <c r="B515" s="9" t="s">
        <v>517</v>
      </c>
      <c r="C515" s="4" t="s">
        <v>5</v>
      </c>
      <c r="D515" s="13" t="s">
        <v>529</v>
      </c>
      <c r="E515" s="16">
        <v>0.82</v>
      </c>
    </row>
    <row r="516" spans="1:5">
      <c r="A516" s="42">
        <v>514</v>
      </c>
      <c r="B516" s="9" t="s">
        <v>517</v>
      </c>
      <c r="C516" s="3" t="s">
        <v>8</v>
      </c>
      <c r="D516" s="13" t="s">
        <v>530</v>
      </c>
      <c r="E516" s="16">
        <v>1.1000000000000001</v>
      </c>
    </row>
    <row r="517" spans="1:5">
      <c r="A517" s="42">
        <v>515</v>
      </c>
      <c r="B517" s="9" t="s">
        <v>517</v>
      </c>
      <c r="C517" s="2" t="s">
        <v>7</v>
      </c>
      <c r="D517" s="13" t="s">
        <v>531</v>
      </c>
      <c r="E517" s="16">
        <v>1.72</v>
      </c>
    </row>
    <row r="518" spans="1:5">
      <c r="A518" s="42">
        <v>516</v>
      </c>
      <c r="B518" s="9" t="s">
        <v>517</v>
      </c>
      <c r="C518" s="2" t="s">
        <v>7</v>
      </c>
      <c r="D518" s="13" t="s">
        <v>532</v>
      </c>
      <c r="E518" s="16">
        <v>0.85</v>
      </c>
    </row>
    <row r="519" spans="1:5">
      <c r="A519" s="42">
        <v>517</v>
      </c>
      <c r="B519" s="9" t="s">
        <v>517</v>
      </c>
      <c r="C519" s="4" t="s">
        <v>5</v>
      </c>
      <c r="D519" s="13" t="s">
        <v>533</v>
      </c>
      <c r="E519" s="16">
        <v>1.38</v>
      </c>
    </row>
    <row r="520" spans="1:5">
      <c r="A520" s="42">
        <v>518</v>
      </c>
      <c r="B520" s="9" t="s">
        <v>517</v>
      </c>
      <c r="C520" s="3" t="s">
        <v>8</v>
      </c>
      <c r="D520" s="13" t="s">
        <v>534</v>
      </c>
      <c r="E520" s="16">
        <v>6.85</v>
      </c>
    </row>
    <row r="521" spans="1:5">
      <c r="A521" s="42">
        <v>519</v>
      </c>
      <c r="B521" s="9" t="s">
        <v>517</v>
      </c>
      <c r="C521" s="4" t="s">
        <v>5</v>
      </c>
      <c r="D521" s="13" t="s">
        <v>535</v>
      </c>
      <c r="E521" s="16">
        <v>8.32</v>
      </c>
    </row>
    <row r="522" spans="1:5">
      <c r="A522" s="42">
        <v>520</v>
      </c>
      <c r="B522" s="9" t="s">
        <v>517</v>
      </c>
      <c r="C522" s="4" t="s">
        <v>5</v>
      </c>
      <c r="D522" s="13" t="s">
        <v>536</v>
      </c>
      <c r="E522" s="16">
        <v>1.3</v>
      </c>
    </row>
    <row r="523" spans="1:5">
      <c r="A523" s="42">
        <v>521</v>
      </c>
      <c r="B523" s="9" t="s">
        <v>517</v>
      </c>
      <c r="C523" s="2" t="s">
        <v>7</v>
      </c>
      <c r="D523" s="13" t="s">
        <v>537</v>
      </c>
      <c r="E523" s="16">
        <v>1.39</v>
      </c>
    </row>
    <row r="524" spans="1:5">
      <c r="A524" s="42">
        <v>522</v>
      </c>
      <c r="B524" s="9" t="s">
        <v>517</v>
      </c>
      <c r="C524" s="2" t="s">
        <v>7</v>
      </c>
      <c r="D524" s="13" t="s">
        <v>538</v>
      </c>
      <c r="E524" s="16">
        <v>1.33</v>
      </c>
    </row>
    <row r="525" spans="1:5">
      <c r="A525" s="42">
        <v>523</v>
      </c>
      <c r="B525" s="9" t="s">
        <v>517</v>
      </c>
      <c r="C525" s="2" t="s">
        <v>7</v>
      </c>
      <c r="D525" s="13" t="s">
        <v>539</v>
      </c>
      <c r="E525" s="16">
        <v>2.0750000000000002</v>
      </c>
    </row>
    <row r="526" spans="1:5">
      <c r="A526" s="42">
        <v>524</v>
      </c>
      <c r="B526" s="9" t="s">
        <v>517</v>
      </c>
      <c r="C526" s="2" t="s">
        <v>7</v>
      </c>
      <c r="D526" s="13" t="s">
        <v>540</v>
      </c>
      <c r="E526" s="16">
        <v>1.29</v>
      </c>
    </row>
    <row r="527" spans="1:5">
      <c r="A527" s="42">
        <v>525</v>
      </c>
      <c r="B527" s="9" t="s">
        <v>517</v>
      </c>
      <c r="C527" s="4" t="s">
        <v>5</v>
      </c>
      <c r="D527" s="13" t="s">
        <v>541</v>
      </c>
      <c r="E527" s="16">
        <v>2.21</v>
      </c>
    </row>
    <row r="528" spans="1:5">
      <c r="A528" s="42">
        <v>526</v>
      </c>
      <c r="B528" s="9" t="s">
        <v>517</v>
      </c>
      <c r="C528" s="3" t="s">
        <v>8</v>
      </c>
      <c r="D528" s="13" t="s">
        <v>542</v>
      </c>
      <c r="E528" s="16">
        <v>4.21</v>
      </c>
    </row>
    <row r="529" spans="1:5">
      <c r="A529" s="42">
        <v>527</v>
      </c>
      <c r="B529" s="9" t="s">
        <v>517</v>
      </c>
      <c r="C529" s="2" t="s">
        <v>7</v>
      </c>
      <c r="D529" s="13" t="s">
        <v>543</v>
      </c>
      <c r="E529" s="16">
        <v>2.8759999999999999</v>
      </c>
    </row>
    <row r="530" spans="1:5">
      <c r="A530" s="42">
        <v>528</v>
      </c>
      <c r="B530" s="9" t="s">
        <v>517</v>
      </c>
      <c r="C530" s="2" t="s">
        <v>7</v>
      </c>
      <c r="D530" s="13" t="s">
        <v>544</v>
      </c>
      <c r="E530" s="16">
        <v>2.2000000000000002</v>
      </c>
    </row>
    <row r="531" spans="1:5">
      <c r="A531" s="42">
        <v>529</v>
      </c>
      <c r="B531" s="9" t="s">
        <v>517</v>
      </c>
      <c r="C531" s="2" t="s">
        <v>7</v>
      </c>
      <c r="D531" s="13" t="s">
        <v>545</v>
      </c>
      <c r="E531" s="16">
        <v>2.19</v>
      </c>
    </row>
    <row r="532" spans="1:5">
      <c r="A532" s="42">
        <v>530</v>
      </c>
      <c r="B532" s="9" t="s">
        <v>517</v>
      </c>
      <c r="C532" s="2" t="s">
        <v>7</v>
      </c>
      <c r="D532" s="13" t="s">
        <v>546</v>
      </c>
      <c r="E532" s="16">
        <v>3.625</v>
      </c>
    </row>
    <row r="533" spans="1:5">
      <c r="A533" s="42">
        <v>531</v>
      </c>
      <c r="B533" s="9" t="s">
        <v>517</v>
      </c>
      <c r="C533" s="2" t="s">
        <v>7</v>
      </c>
      <c r="D533" s="13" t="s">
        <v>547</v>
      </c>
      <c r="E533" s="16">
        <v>0.94699999999999995</v>
      </c>
    </row>
    <row r="534" spans="1:5">
      <c r="A534" s="42">
        <v>532</v>
      </c>
      <c r="B534" s="9" t="s">
        <v>517</v>
      </c>
      <c r="C534" s="2" t="s">
        <v>7</v>
      </c>
      <c r="D534" s="13" t="s">
        <v>548</v>
      </c>
      <c r="E534" s="16">
        <v>2.06</v>
      </c>
    </row>
    <row r="535" spans="1:5">
      <c r="A535" s="42">
        <v>533</v>
      </c>
      <c r="B535" s="9" t="s">
        <v>517</v>
      </c>
      <c r="C535" s="2" t="s">
        <v>7</v>
      </c>
      <c r="D535" s="13" t="s">
        <v>549</v>
      </c>
      <c r="E535" s="16">
        <v>1.69</v>
      </c>
    </row>
    <row r="536" spans="1:5">
      <c r="A536" s="42">
        <v>534</v>
      </c>
      <c r="B536" s="9" t="s">
        <v>517</v>
      </c>
      <c r="C536" s="2" t="s">
        <v>7</v>
      </c>
      <c r="D536" s="13" t="s">
        <v>550</v>
      </c>
      <c r="E536" s="16">
        <v>0.68</v>
      </c>
    </row>
    <row r="537" spans="1:5">
      <c r="A537" s="42">
        <v>535</v>
      </c>
      <c r="B537" s="9" t="s">
        <v>517</v>
      </c>
      <c r="C537" s="2" t="s">
        <v>7</v>
      </c>
      <c r="D537" s="13" t="s">
        <v>551</v>
      </c>
      <c r="E537" s="16">
        <v>1.28</v>
      </c>
    </row>
    <row r="538" spans="1:5">
      <c r="A538" s="42">
        <v>536</v>
      </c>
      <c r="B538" s="9" t="s">
        <v>517</v>
      </c>
      <c r="C538" s="2" t="s">
        <v>7</v>
      </c>
      <c r="D538" s="13" t="s">
        <v>552</v>
      </c>
      <c r="E538" s="16">
        <v>1.31</v>
      </c>
    </row>
    <row r="539" spans="1:5">
      <c r="A539" s="42">
        <v>537</v>
      </c>
      <c r="B539" s="9" t="s">
        <v>517</v>
      </c>
      <c r="C539" s="2" t="s">
        <v>7</v>
      </c>
      <c r="D539" s="13" t="s">
        <v>553</v>
      </c>
      <c r="E539" s="16">
        <v>1.1499999999999999</v>
      </c>
    </row>
    <row r="540" spans="1:5">
      <c r="A540" s="42">
        <v>538</v>
      </c>
      <c r="B540" s="9" t="s">
        <v>517</v>
      </c>
      <c r="C540" s="2" t="s">
        <v>7</v>
      </c>
      <c r="D540" s="13" t="s">
        <v>554</v>
      </c>
      <c r="E540" s="16">
        <v>0.75</v>
      </c>
    </row>
    <row r="541" spans="1:5">
      <c r="A541" s="42">
        <v>539</v>
      </c>
      <c r="B541" s="9" t="s">
        <v>517</v>
      </c>
      <c r="C541" s="2" t="s">
        <v>7</v>
      </c>
      <c r="D541" s="13" t="s">
        <v>555</v>
      </c>
      <c r="E541" s="16">
        <v>1.05</v>
      </c>
    </row>
    <row r="542" spans="1:5">
      <c r="A542" s="42">
        <v>540</v>
      </c>
      <c r="B542" s="9" t="s">
        <v>517</v>
      </c>
      <c r="C542" s="2" t="s">
        <v>7</v>
      </c>
      <c r="D542" s="13" t="s">
        <v>556</v>
      </c>
      <c r="E542" s="16">
        <v>2.8</v>
      </c>
    </row>
    <row r="543" spans="1:5">
      <c r="A543" s="42">
        <v>541</v>
      </c>
      <c r="B543" s="9" t="s">
        <v>517</v>
      </c>
      <c r="C543" s="3" t="s">
        <v>8</v>
      </c>
      <c r="D543" s="13" t="s">
        <v>557</v>
      </c>
      <c r="E543" s="16">
        <v>0.98</v>
      </c>
    </row>
    <row r="544" spans="1:5">
      <c r="A544" s="42">
        <v>542</v>
      </c>
      <c r="B544" s="9" t="s">
        <v>517</v>
      </c>
      <c r="C544" s="2" t="s">
        <v>7</v>
      </c>
      <c r="D544" s="13" t="s">
        <v>558</v>
      </c>
      <c r="E544" s="16">
        <v>1.45</v>
      </c>
    </row>
    <row r="545" spans="1:5">
      <c r="A545" s="42">
        <v>543</v>
      </c>
      <c r="B545" s="9" t="s">
        <v>517</v>
      </c>
      <c r="C545" s="2" t="s">
        <v>7</v>
      </c>
      <c r="D545" s="13" t="s">
        <v>559</v>
      </c>
      <c r="E545" s="16">
        <v>2.3199999999999998</v>
      </c>
    </row>
    <row r="546" spans="1:5">
      <c r="A546" s="42">
        <v>544</v>
      </c>
      <c r="B546" s="9" t="s">
        <v>517</v>
      </c>
      <c r="C546" s="3" t="s">
        <v>8</v>
      </c>
      <c r="D546" s="13" t="s">
        <v>560</v>
      </c>
      <c r="E546" s="16">
        <v>1.43</v>
      </c>
    </row>
    <row r="547" spans="1:5">
      <c r="A547" s="42">
        <v>545</v>
      </c>
      <c r="B547" s="9" t="s">
        <v>517</v>
      </c>
      <c r="C547" s="2" t="s">
        <v>7</v>
      </c>
      <c r="D547" s="13" t="s">
        <v>561</v>
      </c>
      <c r="E547" s="16">
        <v>2.6440000000000001</v>
      </c>
    </row>
    <row r="548" spans="1:5">
      <c r="A548" s="42">
        <v>546</v>
      </c>
      <c r="B548" s="9" t="s">
        <v>517</v>
      </c>
      <c r="C548" s="3" t="s">
        <v>8</v>
      </c>
      <c r="D548" s="13" t="s">
        <v>562</v>
      </c>
      <c r="E548" s="16">
        <v>4.51</v>
      </c>
    </row>
    <row r="549" spans="1:5">
      <c r="A549" s="42">
        <v>547</v>
      </c>
      <c r="B549" s="9" t="s">
        <v>517</v>
      </c>
      <c r="C549" s="2" t="s">
        <v>7</v>
      </c>
      <c r="D549" s="13" t="s">
        <v>563</v>
      </c>
      <c r="E549" s="16">
        <v>1.49</v>
      </c>
    </row>
    <row r="550" spans="1:5">
      <c r="A550" s="42">
        <v>548</v>
      </c>
      <c r="B550" s="9" t="s">
        <v>517</v>
      </c>
      <c r="C550" s="3" t="s">
        <v>8</v>
      </c>
      <c r="D550" s="13" t="s">
        <v>564</v>
      </c>
      <c r="E550" s="16">
        <v>0.66</v>
      </c>
    </row>
    <row r="551" spans="1:5">
      <c r="A551" s="42">
        <v>549</v>
      </c>
      <c r="B551" s="9" t="s">
        <v>517</v>
      </c>
      <c r="C551" s="2" t="s">
        <v>7</v>
      </c>
      <c r="D551" s="13" t="s">
        <v>565</v>
      </c>
      <c r="E551" s="16">
        <v>1.1299999999999999</v>
      </c>
    </row>
    <row r="552" spans="1:5">
      <c r="A552" s="42">
        <v>550</v>
      </c>
      <c r="B552" s="9" t="s">
        <v>517</v>
      </c>
      <c r="C552" s="3" t="s">
        <v>8</v>
      </c>
      <c r="D552" s="13" t="s">
        <v>566</v>
      </c>
      <c r="E552" s="16">
        <v>1.6060000000000001</v>
      </c>
    </row>
    <row r="553" spans="1:5">
      <c r="A553" s="42">
        <v>551</v>
      </c>
      <c r="B553" s="9" t="s">
        <v>517</v>
      </c>
      <c r="C553" s="4" t="s">
        <v>5</v>
      </c>
      <c r="D553" s="13" t="s">
        <v>567</v>
      </c>
      <c r="E553" s="16">
        <v>2.4</v>
      </c>
    </row>
    <row r="554" spans="1:5">
      <c r="A554" s="42">
        <v>552</v>
      </c>
      <c r="B554" s="9" t="s">
        <v>517</v>
      </c>
      <c r="C554" s="4" t="s">
        <v>5</v>
      </c>
      <c r="D554" s="13" t="s">
        <v>568</v>
      </c>
      <c r="E554" s="14">
        <v>1.9845999999999999</v>
      </c>
    </row>
    <row r="555" spans="1:5">
      <c r="A555" s="42">
        <v>553</v>
      </c>
      <c r="B555" s="9" t="s">
        <v>517</v>
      </c>
      <c r="C555" s="2" t="s">
        <v>7</v>
      </c>
      <c r="D555" s="13" t="s">
        <v>569</v>
      </c>
      <c r="E555" s="14">
        <v>0.92857000000000001</v>
      </c>
    </row>
    <row r="556" spans="1:5">
      <c r="A556" s="42">
        <v>554</v>
      </c>
      <c r="B556" s="9" t="s">
        <v>517</v>
      </c>
      <c r="C556" s="2" t="s">
        <v>7</v>
      </c>
      <c r="D556" s="13" t="s">
        <v>570</v>
      </c>
      <c r="E556" s="14">
        <v>4.3280000000000003</v>
      </c>
    </row>
    <row r="557" spans="1:5">
      <c r="A557" s="42">
        <v>555</v>
      </c>
      <c r="B557" s="9" t="s">
        <v>517</v>
      </c>
      <c r="C557" s="5" t="s">
        <v>36</v>
      </c>
      <c r="D557" s="13" t="s">
        <v>571</v>
      </c>
      <c r="E557" s="14">
        <v>4.03</v>
      </c>
    </row>
    <row r="558" spans="1:5">
      <c r="A558" s="42">
        <v>556</v>
      </c>
      <c r="B558" s="9" t="s">
        <v>517</v>
      </c>
      <c r="C558" s="2" t="s">
        <v>7</v>
      </c>
      <c r="D558" s="13" t="s">
        <v>572</v>
      </c>
      <c r="E558" s="14">
        <v>1.77</v>
      </c>
    </row>
    <row r="559" spans="1:5">
      <c r="A559" s="42">
        <v>557</v>
      </c>
      <c r="B559" s="9" t="s">
        <v>517</v>
      </c>
      <c r="C559" s="3" t="s">
        <v>8</v>
      </c>
      <c r="D559" s="13" t="s">
        <v>573</v>
      </c>
      <c r="E559" s="14">
        <v>5.1100000000000003</v>
      </c>
    </row>
    <row r="560" spans="1:5">
      <c r="A560" s="42">
        <v>558</v>
      </c>
      <c r="B560" s="9" t="s">
        <v>517</v>
      </c>
      <c r="C560" s="3" t="s">
        <v>8</v>
      </c>
      <c r="D560" s="13" t="s">
        <v>574</v>
      </c>
      <c r="E560" s="14">
        <v>1.4491499999999999</v>
      </c>
    </row>
    <row r="561" spans="1:5">
      <c r="A561" s="42">
        <v>559</v>
      </c>
      <c r="B561" s="9" t="s">
        <v>517</v>
      </c>
      <c r="C561" s="4" t="s">
        <v>5</v>
      </c>
      <c r="D561" s="13" t="s">
        <v>575</v>
      </c>
      <c r="E561" s="14">
        <v>2.4249999999999998</v>
      </c>
    </row>
    <row r="562" spans="1:5">
      <c r="A562" s="42">
        <v>560</v>
      </c>
      <c r="B562" s="9" t="s">
        <v>517</v>
      </c>
      <c r="C562" s="3" t="s">
        <v>8</v>
      </c>
      <c r="D562" s="13" t="s">
        <v>576</v>
      </c>
      <c r="E562" s="14">
        <v>1.796</v>
      </c>
    </row>
    <row r="563" spans="1:5">
      <c r="A563" s="42">
        <v>561</v>
      </c>
      <c r="B563" s="9" t="s">
        <v>517</v>
      </c>
      <c r="C563" s="2" t="s">
        <v>7</v>
      </c>
      <c r="D563" s="13" t="s">
        <v>577</v>
      </c>
      <c r="E563" s="14">
        <v>0</v>
      </c>
    </row>
    <row r="564" spans="1:5">
      <c r="A564" s="42">
        <v>562</v>
      </c>
      <c r="B564" s="9" t="s">
        <v>517</v>
      </c>
      <c r="C564" s="2" t="s">
        <v>7</v>
      </c>
      <c r="D564" s="13" t="s">
        <v>578</v>
      </c>
      <c r="E564" s="14">
        <v>1.1499999999999999</v>
      </c>
    </row>
    <row r="565" spans="1:5">
      <c r="A565" s="42">
        <v>563</v>
      </c>
      <c r="B565" s="9" t="s">
        <v>517</v>
      </c>
      <c r="C565" s="3" t="s">
        <v>8</v>
      </c>
      <c r="D565" s="13" t="s">
        <v>579</v>
      </c>
      <c r="E565" s="14">
        <v>0.38635999999999998</v>
      </c>
    </row>
    <row r="566" spans="1:5">
      <c r="A566" s="42">
        <v>564</v>
      </c>
      <c r="B566" s="9" t="s">
        <v>517</v>
      </c>
      <c r="C566" s="2" t="s">
        <v>7</v>
      </c>
      <c r="D566" s="13" t="s">
        <v>580</v>
      </c>
      <c r="E566" s="14">
        <v>1.04</v>
      </c>
    </row>
    <row r="567" spans="1:5">
      <c r="A567" s="42">
        <v>565</v>
      </c>
      <c r="B567" s="9" t="s">
        <v>517</v>
      </c>
      <c r="C567" s="2" t="s">
        <v>7</v>
      </c>
      <c r="D567" s="13" t="s">
        <v>581</v>
      </c>
      <c r="E567" s="14">
        <v>2.4180000000000001</v>
      </c>
    </row>
    <row r="568" spans="1:5">
      <c r="A568" s="42">
        <v>566</v>
      </c>
      <c r="B568" s="9" t="s">
        <v>517</v>
      </c>
      <c r="C568" s="3" t="s">
        <v>8</v>
      </c>
      <c r="D568" s="13" t="s">
        <v>582</v>
      </c>
      <c r="E568" s="14">
        <v>1.7544999999999999</v>
      </c>
    </row>
    <row r="569" spans="1:5">
      <c r="A569" s="42">
        <v>567</v>
      </c>
      <c r="B569" s="9" t="s">
        <v>517</v>
      </c>
      <c r="C569" s="2" t="s">
        <v>7</v>
      </c>
      <c r="D569" s="13" t="s">
        <v>583</v>
      </c>
      <c r="E569" s="14">
        <v>1.05</v>
      </c>
    </row>
    <row r="570" spans="1:5">
      <c r="A570" s="42">
        <v>568</v>
      </c>
      <c r="B570" s="9" t="s">
        <v>517</v>
      </c>
      <c r="C570" s="2" t="s">
        <v>7</v>
      </c>
      <c r="D570" s="13" t="s">
        <v>584</v>
      </c>
      <c r="E570" s="14" t="s">
        <v>743</v>
      </c>
    </row>
    <row r="571" spans="1:5">
      <c r="A571" s="42">
        <v>569</v>
      </c>
      <c r="B571" s="9" t="s">
        <v>517</v>
      </c>
      <c r="C571" s="3" t="s">
        <v>8</v>
      </c>
      <c r="D571" s="13" t="s">
        <v>585</v>
      </c>
      <c r="E571" s="14">
        <v>1.37</v>
      </c>
    </row>
    <row r="572" spans="1:5">
      <c r="A572" s="42">
        <v>570</v>
      </c>
      <c r="B572" s="9" t="s">
        <v>517</v>
      </c>
      <c r="C572" s="2" t="s">
        <v>7</v>
      </c>
      <c r="D572" s="13" t="s">
        <v>586</v>
      </c>
      <c r="E572" s="14">
        <v>2.7530000000000001</v>
      </c>
    </row>
    <row r="573" spans="1:5">
      <c r="A573" s="42">
        <v>571</v>
      </c>
      <c r="B573" s="9" t="s">
        <v>517</v>
      </c>
      <c r="C573" s="2" t="s">
        <v>7</v>
      </c>
      <c r="D573" s="13" t="s">
        <v>587</v>
      </c>
      <c r="E573" s="14">
        <v>1.851</v>
      </c>
    </row>
    <row r="574" spans="1:5">
      <c r="A574" s="42">
        <v>572</v>
      </c>
      <c r="B574" s="9" t="s">
        <v>517</v>
      </c>
      <c r="C574" s="3" t="s">
        <v>8</v>
      </c>
      <c r="D574" s="13" t="s">
        <v>588</v>
      </c>
      <c r="E574" s="14">
        <v>1.0838000000000001</v>
      </c>
    </row>
    <row r="575" spans="1:5">
      <c r="A575" s="42">
        <v>573</v>
      </c>
      <c r="B575" s="9" t="s">
        <v>517</v>
      </c>
      <c r="C575" s="4" t="s">
        <v>5</v>
      </c>
      <c r="D575" s="13" t="s">
        <v>589</v>
      </c>
      <c r="E575" s="14">
        <v>1.75</v>
      </c>
    </row>
    <row r="576" spans="1:5">
      <c r="A576" s="42">
        <v>574</v>
      </c>
      <c r="B576" s="9" t="s">
        <v>517</v>
      </c>
      <c r="C576" s="3" t="s">
        <v>8</v>
      </c>
      <c r="D576" s="13" t="s">
        <v>590</v>
      </c>
      <c r="E576" s="14">
        <v>4.5096999999999996</v>
      </c>
    </row>
    <row r="577" spans="1:5">
      <c r="A577" s="42">
        <v>575</v>
      </c>
      <c r="B577" s="9" t="s">
        <v>517</v>
      </c>
      <c r="C577" s="2" t="s">
        <v>7</v>
      </c>
      <c r="D577" s="13" t="s">
        <v>591</v>
      </c>
      <c r="E577" s="14">
        <v>4.46</v>
      </c>
    </row>
    <row r="578" spans="1:5">
      <c r="A578" s="42">
        <v>576</v>
      </c>
      <c r="B578" s="9" t="s">
        <v>517</v>
      </c>
      <c r="C578" s="3" t="s">
        <v>8</v>
      </c>
      <c r="D578" s="13" t="s">
        <v>592</v>
      </c>
      <c r="E578" s="14">
        <v>3.88</v>
      </c>
    </row>
    <row r="579" spans="1:5">
      <c r="A579" s="42">
        <v>577</v>
      </c>
      <c r="B579" s="9" t="s">
        <v>517</v>
      </c>
      <c r="C579" s="2" t="s">
        <v>7</v>
      </c>
      <c r="D579" s="13" t="s">
        <v>593</v>
      </c>
      <c r="E579" s="14">
        <v>5.05</v>
      </c>
    </row>
    <row r="580" spans="1:5">
      <c r="A580" s="42">
        <v>578</v>
      </c>
      <c r="B580" s="9" t="s">
        <v>517</v>
      </c>
      <c r="C580" s="2" t="s">
        <v>7</v>
      </c>
      <c r="D580" s="13" t="s">
        <v>594</v>
      </c>
      <c r="E580" s="14">
        <v>1.331</v>
      </c>
    </row>
    <row r="581" spans="1:5">
      <c r="A581" s="42">
        <v>579</v>
      </c>
      <c r="B581" s="9" t="s">
        <v>517</v>
      </c>
      <c r="C581" s="4" t="s">
        <v>5</v>
      </c>
      <c r="D581" s="13" t="s">
        <v>595</v>
      </c>
      <c r="E581" s="14">
        <v>0.91700000000000004</v>
      </c>
    </row>
    <row r="582" spans="1:5">
      <c r="A582" s="42">
        <v>580</v>
      </c>
      <c r="B582" s="9" t="s">
        <v>517</v>
      </c>
      <c r="C582" s="3" t="s">
        <v>8</v>
      </c>
      <c r="D582" s="13" t="s">
        <v>596</v>
      </c>
      <c r="E582" s="14">
        <v>1.548</v>
      </c>
    </row>
    <row r="583" spans="1:5">
      <c r="A583" s="42">
        <v>581</v>
      </c>
      <c r="B583" s="9" t="s">
        <v>517</v>
      </c>
      <c r="C583" s="2" t="s">
        <v>7</v>
      </c>
      <c r="D583" s="13" t="s">
        <v>597</v>
      </c>
      <c r="E583" s="14">
        <v>0.68235000000000001</v>
      </c>
    </row>
    <row r="584" spans="1:5">
      <c r="A584" s="42">
        <v>582</v>
      </c>
      <c r="B584" s="9" t="s">
        <v>517</v>
      </c>
      <c r="C584" s="2" t="s">
        <v>7</v>
      </c>
      <c r="D584" s="13" t="s">
        <v>598</v>
      </c>
      <c r="E584" s="14">
        <v>3.86</v>
      </c>
    </row>
    <row r="585" spans="1:5">
      <c r="A585" s="42">
        <v>583</v>
      </c>
      <c r="B585" s="9" t="s">
        <v>517</v>
      </c>
      <c r="C585" s="3" t="s">
        <v>8</v>
      </c>
      <c r="D585" s="13" t="s">
        <v>599</v>
      </c>
      <c r="E585" s="14">
        <v>2.4900000000000002</v>
      </c>
    </row>
    <row r="586" spans="1:5">
      <c r="A586" s="42">
        <v>584</v>
      </c>
      <c r="B586" s="9" t="s">
        <v>517</v>
      </c>
      <c r="C586" s="2" t="s">
        <v>7</v>
      </c>
      <c r="D586" s="13" t="s">
        <v>600</v>
      </c>
      <c r="E586" s="14">
        <v>4.25</v>
      </c>
    </row>
    <row r="587" spans="1:5">
      <c r="A587" s="42">
        <v>585</v>
      </c>
      <c r="B587" s="9" t="s">
        <v>517</v>
      </c>
      <c r="C587" s="3" t="s">
        <v>8</v>
      </c>
      <c r="D587" s="13" t="s">
        <v>601</v>
      </c>
      <c r="E587" s="14">
        <v>5.5</v>
      </c>
    </row>
    <row r="588" spans="1:5">
      <c r="A588" s="42">
        <v>586</v>
      </c>
      <c r="B588" s="9" t="s">
        <v>517</v>
      </c>
      <c r="C588" s="2" t="s">
        <v>7</v>
      </c>
      <c r="D588" s="13" t="s">
        <v>602</v>
      </c>
      <c r="E588" s="14">
        <v>3.11</v>
      </c>
    </row>
    <row r="589" spans="1:5">
      <c r="A589" s="42">
        <v>587</v>
      </c>
      <c r="B589" s="9" t="s">
        <v>517</v>
      </c>
      <c r="C589" s="3" t="s">
        <v>8</v>
      </c>
      <c r="D589" s="13" t="s">
        <v>603</v>
      </c>
      <c r="E589" s="14">
        <v>10</v>
      </c>
    </row>
    <row r="590" spans="1:5">
      <c r="A590" s="42">
        <v>588</v>
      </c>
      <c r="B590" s="9" t="s">
        <v>517</v>
      </c>
      <c r="C590" s="2" t="s">
        <v>7</v>
      </c>
      <c r="D590" s="13" t="s">
        <v>604</v>
      </c>
      <c r="E590" s="14">
        <v>3.16</v>
      </c>
    </row>
    <row r="591" spans="1:5">
      <c r="A591" s="42">
        <v>589</v>
      </c>
      <c r="B591" s="9" t="s">
        <v>517</v>
      </c>
      <c r="C591" s="2" t="s">
        <v>7</v>
      </c>
      <c r="D591" s="13" t="s">
        <v>605</v>
      </c>
      <c r="E591" s="14">
        <v>1.74</v>
      </c>
    </row>
    <row r="592" spans="1:5">
      <c r="A592" s="42">
        <v>590</v>
      </c>
      <c r="B592" s="9" t="s">
        <v>517</v>
      </c>
      <c r="C592" s="4" t="s">
        <v>5</v>
      </c>
      <c r="D592" s="13" t="s">
        <v>606</v>
      </c>
      <c r="E592" s="14">
        <v>1.1100000000000001</v>
      </c>
    </row>
    <row r="593" spans="1:5">
      <c r="A593" s="42">
        <v>591</v>
      </c>
      <c r="B593" s="9" t="s">
        <v>517</v>
      </c>
      <c r="C593" s="2" t="s">
        <v>7</v>
      </c>
      <c r="D593" s="13" t="s">
        <v>607</v>
      </c>
      <c r="E593" s="14">
        <v>1.6504000000000001</v>
      </c>
    </row>
    <row r="594" spans="1:5">
      <c r="A594" s="42">
        <v>592</v>
      </c>
      <c r="B594" s="9" t="s">
        <v>517</v>
      </c>
      <c r="C594" s="3" t="s">
        <v>8</v>
      </c>
      <c r="D594" s="13" t="s">
        <v>608</v>
      </c>
      <c r="E594" s="14">
        <v>1.8524</v>
      </c>
    </row>
    <row r="595" spans="1:5">
      <c r="A595" s="42">
        <v>593</v>
      </c>
      <c r="B595" s="9" t="s">
        <v>517</v>
      </c>
      <c r="C595" s="2" t="s">
        <v>7</v>
      </c>
      <c r="D595" s="13" t="s">
        <v>609</v>
      </c>
      <c r="E595" s="14">
        <v>1.3148</v>
      </c>
    </row>
    <row r="596" spans="1:5">
      <c r="A596" s="42">
        <v>594</v>
      </c>
      <c r="B596" s="9" t="s">
        <v>517</v>
      </c>
      <c r="C596" s="2" t="s">
        <v>7</v>
      </c>
      <c r="D596" s="13" t="s">
        <v>610</v>
      </c>
      <c r="E596" s="14">
        <v>3.2856999999999998</v>
      </c>
    </row>
    <row r="597" spans="1:5">
      <c r="A597" s="42">
        <v>595</v>
      </c>
      <c r="B597" s="9" t="s">
        <v>517</v>
      </c>
      <c r="C597" s="2" t="s">
        <v>7</v>
      </c>
      <c r="D597" s="13" t="s">
        <v>611</v>
      </c>
      <c r="E597" s="14">
        <v>4.1900000000000004</v>
      </c>
    </row>
    <row r="598" spans="1:5">
      <c r="A598" s="42">
        <v>596</v>
      </c>
      <c r="B598" s="9" t="s">
        <v>517</v>
      </c>
      <c r="C598" s="2" t="s">
        <v>7</v>
      </c>
      <c r="D598" s="13" t="s">
        <v>612</v>
      </c>
      <c r="E598" s="14">
        <v>3.2282600000000001</v>
      </c>
    </row>
    <row r="599" spans="1:5">
      <c r="A599" s="42">
        <v>597</v>
      </c>
      <c r="B599" s="9" t="s">
        <v>517</v>
      </c>
      <c r="C599" s="4" t="s">
        <v>5</v>
      </c>
      <c r="D599" s="13" t="s">
        <v>613</v>
      </c>
      <c r="E599" s="14">
        <v>1.0779000000000001</v>
      </c>
    </row>
    <row r="600" spans="1:5">
      <c r="A600" s="42">
        <v>598</v>
      </c>
      <c r="B600" s="9" t="s">
        <v>517</v>
      </c>
      <c r="C600" s="3" t="s">
        <v>8</v>
      </c>
      <c r="D600" s="13" t="s">
        <v>614</v>
      </c>
      <c r="E600" s="14">
        <v>1.4590000000000001</v>
      </c>
    </row>
    <row r="601" spans="1:5">
      <c r="A601" s="42">
        <v>599</v>
      </c>
      <c r="B601" s="9" t="s">
        <v>517</v>
      </c>
      <c r="C601" s="2" t="s">
        <v>7</v>
      </c>
      <c r="D601" s="13" t="s">
        <v>615</v>
      </c>
      <c r="E601" s="14">
        <v>1.4923999999999999</v>
      </c>
    </row>
    <row r="602" spans="1:5">
      <c r="A602" s="42">
        <v>600</v>
      </c>
      <c r="B602" s="9" t="s">
        <v>517</v>
      </c>
      <c r="C602" s="2" t="s">
        <v>7</v>
      </c>
      <c r="D602" s="13" t="s">
        <v>616</v>
      </c>
      <c r="E602" s="14">
        <v>1.0900000000000001</v>
      </c>
    </row>
    <row r="603" spans="1:5">
      <c r="A603" s="42">
        <v>601</v>
      </c>
      <c r="B603" s="9" t="s">
        <v>517</v>
      </c>
      <c r="C603" s="2" t="s">
        <v>7</v>
      </c>
      <c r="D603" s="13" t="s">
        <v>617</v>
      </c>
      <c r="E603" s="14">
        <v>7.18</v>
      </c>
    </row>
    <row r="604" spans="1:5">
      <c r="A604" s="42">
        <v>602</v>
      </c>
      <c r="B604" s="9" t="s">
        <v>517</v>
      </c>
      <c r="C604" s="4" t="s">
        <v>5</v>
      </c>
      <c r="D604" s="13" t="s">
        <v>618</v>
      </c>
      <c r="E604" s="14">
        <v>5.3</v>
      </c>
    </row>
    <row r="605" spans="1:5">
      <c r="A605" s="42">
        <v>603</v>
      </c>
      <c r="B605" s="9" t="s">
        <v>517</v>
      </c>
      <c r="C605" s="2" t="s">
        <v>7</v>
      </c>
      <c r="D605" s="13" t="s">
        <v>619</v>
      </c>
      <c r="E605" s="14">
        <v>1.7857000000000001</v>
      </c>
    </row>
    <row r="606" spans="1:5">
      <c r="A606" s="42">
        <v>604</v>
      </c>
      <c r="B606" s="9" t="s">
        <v>517</v>
      </c>
      <c r="C606" s="4" t="s">
        <v>5</v>
      </c>
      <c r="D606" s="13" t="s">
        <v>620</v>
      </c>
      <c r="E606" s="14">
        <v>0.9698</v>
      </c>
    </row>
    <row r="607" spans="1:5">
      <c r="A607" s="42">
        <v>605</v>
      </c>
      <c r="B607" s="9" t="s">
        <v>517</v>
      </c>
      <c r="C607" s="4" t="s">
        <v>5</v>
      </c>
      <c r="D607" s="13" t="s">
        <v>621</v>
      </c>
      <c r="E607" s="14">
        <v>0.87</v>
      </c>
    </row>
    <row r="608" spans="1:5">
      <c r="A608" s="42">
        <v>606</v>
      </c>
      <c r="B608" s="9" t="s">
        <v>517</v>
      </c>
      <c r="C608" s="3" t="s">
        <v>8</v>
      </c>
      <c r="D608" s="13" t="s">
        <v>622</v>
      </c>
      <c r="E608" s="14">
        <v>1.27</v>
      </c>
    </row>
    <row r="609" spans="1:5">
      <c r="A609" s="42">
        <v>607</v>
      </c>
      <c r="B609" s="9" t="s">
        <v>517</v>
      </c>
      <c r="C609" s="4" t="s">
        <v>5</v>
      </c>
      <c r="D609" s="13" t="s">
        <v>623</v>
      </c>
      <c r="E609" s="14">
        <v>0.8377</v>
      </c>
    </row>
    <row r="610" spans="1:5">
      <c r="A610" s="42">
        <v>608</v>
      </c>
      <c r="B610" s="9" t="s">
        <v>517</v>
      </c>
      <c r="C610" s="3" t="s">
        <v>8</v>
      </c>
      <c r="D610" s="13" t="s">
        <v>624</v>
      </c>
      <c r="E610" s="14">
        <v>1.77</v>
      </c>
    </row>
    <row r="611" spans="1:5">
      <c r="A611" s="42">
        <v>609</v>
      </c>
      <c r="B611" s="9" t="s">
        <v>517</v>
      </c>
      <c r="C611" s="2" t="s">
        <v>7</v>
      </c>
      <c r="D611" s="13" t="s">
        <v>625</v>
      </c>
      <c r="E611" s="14">
        <v>0.748</v>
      </c>
    </row>
    <row r="612" spans="1:5">
      <c r="A612" s="42">
        <v>610</v>
      </c>
      <c r="B612" s="9" t="s">
        <v>517</v>
      </c>
      <c r="C612" s="2" t="s">
        <v>7</v>
      </c>
      <c r="D612" s="13" t="s">
        <v>626</v>
      </c>
      <c r="E612" s="14">
        <v>1.1299999999999999</v>
      </c>
    </row>
    <row r="613" spans="1:5">
      <c r="A613" s="42">
        <v>611</v>
      </c>
      <c r="B613" s="9" t="s">
        <v>517</v>
      </c>
      <c r="C613" s="3" t="s">
        <v>8</v>
      </c>
      <c r="D613" s="13" t="s">
        <v>627</v>
      </c>
      <c r="E613" s="14">
        <v>3.73</v>
      </c>
    </row>
    <row r="614" spans="1:5">
      <c r="A614" s="42">
        <v>612</v>
      </c>
      <c r="B614" s="9" t="s">
        <v>517</v>
      </c>
      <c r="C614" s="2" t="s">
        <v>7</v>
      </c>
      <c r="D614" s="13" t="s">
        <v>628</v>
      </c>
      <c r="E614" s="14">
        <v>3.79</v>
      </c>
    </row>
    <row r="615" spans="1:5">
      <c r="A615" s="42">
        <v>613</v>
      </c>
      <c r="B615" s="9" t="s">
        <v>517</v>
      </c>
      <c r="C615" s="2" t="s">
        <v>7</v>
      </c>
      <c r="D615" s="13" t="s">
        <v>629</v>
      </c>
      <c r="E615" s="14">
        <v>1.75</v>
      </c>
    </row>
    <row r="616" spans="1:5">
      <c r="A616" s="42">
        <v>614</v>
      </c>
      <c r="B616" s="9" t="s">
        <v>517</v>
      </c>
      <c r="C616" s="2" t="s">
        <v>7</v>
      </c>
      <c r="D616" s="13" t="s">
        <v>630</v>
      </c>
      <c r="E616" s="14">
        <v>1.6716</v>
      </c>
    </row>
    <row r="617" spans="1:5">
      <c r="A617" s="42">
        <v>615</v>
      </c>
      <c r="B617" s="9" t="s">
        <v>517</v>
      </c>
      <c r="C617" s="4" t="s">
        <v>5</v>
      </c>
      <c r="D617" s="13" t="s">
        <v>631</v>
      </c>
      <c r="E617" s="14">
        <v>3.71</v>
      </c>
    </row>
    <row r="618" spans="1:5">
      <c r="A618" s="42">
        <v>616</v>
      </c>
      <c r="B618" s="9" t="s">
        <v>517</v>
      </c>
      <c r="C618" s="3" t="s">
        <v>8</v>
      </c>
      <c r="D618" s="13" t="s">
        <v>632</v>
      </c>
      <c r="E618" s="14">
        <v>5.84</v>
      </c>
    </row>
    <row r="619" spans="1:5">
      <c r="A619" s="42">
        <v>617</v>
      </c>
      <c r="B619" s="9" t="s">
        <v>517</v>
      </c>
      <c r="C619" s="2" t="s">
        <v>7</v>
      </c>
      <c r="D619" s="13" t="s">
        <v>633</v>
      </c>
      <c r="E619" s="14">
        <v>7.74</v>
      </c>
    </row>
    <row r="620" spans="1:5">
      <c r="A620" s="42">
        <v>618</v>
      </c>
      <c r="B620" s="9" t="s">
        <v>517</v>
      </c>
      <c r="C620" s="5" t="s">
        <v>36</v>
      </c>
      <c r="D620" s="13" t="s">
        <v>634</v>
      </c>
      <c r="E620" s="14">
        <v>1.095</v>
      </c>
    </row>
    <row r="621" spans="1:5">
      <c r="A621" s="42">
        <v>619</v>
      </c>
      <c r="B621" s="9" t="s">
        <v>517</v>
      </c>
      <c r="C621" s="2" t="s">
        <v>7</v>
      </c>
      <c r="D621" s="13" t="s">
        <v>635</v>
      </c>
      <c r="E621" s="14">
        <v>3.62</v>
      </c>
    </row>
    <row r="622" spans="1:5">
      <c r="A622" s="42">
        <v>620</v>
      </c>
      <c r="B622" s="9" t="s">
        <v>517</v>
      </c>
      <c r="C622" s="4" t="s">
        <v>5</v>
      </c>
      <c r="D622" s="13" t="s">
        <v>636</v>
      </c>
      <c r="E622" s="14">
        <v>3.8252999999999999</v>
      </c>
    </row>
    <row r="623" spans="1:5">
      <c r="A623" s="42">
        <v>621</v>
      </c>
      <c r="B623" s="9" t="s">
        <v>517</v>
      </c>
      <c r="C623" s="4" t="s">
        <v>5</v>
      </c>
      <c r="D623" s="13" t="s">
        <v>637</v>
      </c>
      <c r="E623" s="14">
        <v>1.3728</v>
      </c>
    </row>
    <row r="624" spans="1:5">
      <c r="A624" s="42">
        <v>622</v>
      </c>
      <c r="B624" s="9" t="s">
        <v>517</v>
      </c>
      <c r="C624" s="3" t="s">
        <v>8</v>
      </c>
      <c r="D624" s="13" t="s">
        <v>638</v>
      </c>
      <c r="E624" s="14">
        <v>3.25</v>
      </c>
    </row>
    <row r="625" spans="1:5">
      <c r="A625" s="42">
        <v>623</v>
      </c>
      <c r="B625" s="9" t="s">
        <v>517</v>
      </c>
      <c r="C625" s="2" t="s">
        <v>7</v>
      </c>
      <c r="D625" s="13" t="s">
        <v>639</v>
      </c>
      <c r="E625" s="14">
        <v>1.72</v>
      </c>
    </row>
    <row r="626" spans="1:5">
      <c r="A626" s="42">
        <v>624</v>
      </c>
      <c r="B626" s="9" t="s">
        <v>517</v>
      </c>
      <c r="C626" s="2" t="s">
        <v>7</v>
      </c>
      <c r="D626" s="13" t="s">
        <v>640</v>
      </c>
      <c r="E626" s="14">
        <v>1.42</v>
      </c>
    </row>
    <row r="627" spans="1:5">
      <c r="A627" s="42">
        <v>625</v>
      </c>
      <c r="B627" s="9" t="s">
        <v>517</v>
      </c>
      <c r="C627" s="2" t="s">
        <v>7</v>
      </c>
      <c r="D627" s="13" t="s">
        <v>641</v>
      </c>
      <c r="E627" s="14">
        <v>1.73</v>
      </c>
    </row>
    <row r="628" spans="1:5">
      <c r="A628" s="42">
        <v>626</v>
      </c>
      <c r="B628" s="9" t="s">
        <v>517</v>
      </c>
      <c r="C628" s="4" t="s">
        <v>5</v>
      </c>
      <c r="D628" s="13" t="s">
        <v>642</v>
      </c>
      <c r="E628" s="14">
        <v>1.38</v>
      </c>
    </row>
    <row r="629" spans="1:5">
      <c r="A629" s="42">
        <v>627</v>
      </c>
      <c r="B629" s="9" t="s">
        <v>517</v>
      </c>
      <c r="C629" s="2" t="s">
        <v>7</v>
      </c>
      <c r="D629" s="13" t="s">
        <v>643</v>
      </c>
      <c r="E629" s="14">
        <v>2.16</v>
      </c>
    </row>
    <row r="630" spans="1:5">
      <c r="A630" s="42">
        <v>628</v>
      </c>
      <c r="B630" s="9" t="s">
        <v>517</v>
      </c>
      <c r="C630" s="2" t="s">
        <v>7</v>
      </c>
      <c r="D630" s="13" t="s">
        <v>644</v>
      </c>
      <c r="E630" s="14">
        <v>2.35</v>
      </c>
    </row>
    <row r="631" spans="1:5">
      <c r="A631" s="42">
        <v>629</v>
      </c>
      <c r="B631" s="9" t="s">
        <v>517</v>
      </c>
      <c r="C631" s="2" t="s">
        <v>7</v>
      </c>
      <c r="D631" s="13" t="s">
        <v>645</v>
      </c>
      <c r="E631" s="14">
        <v>5.22</v>
      </c>
    </row>
    <row r="632" spans="1:5">
      <c r="A632" s="42">
        <v>630</v>
      </c>
      <c r="B632" s="9" t="s">
        <v>517</v>
      </c>
      <c r="C632" s="2" t="s">
        <v>7</v>
      </c>
      <c r="D632" s="13" t="s">
        <v>646</v>
      </c>
      <c r="E632" s="14">
        <v>2.66</v>
      </c>
    </row>
    <row r="633" spans="1:5">
      <c r="A633" s="42">
        <v>631</v>
      </c>
      <c r="B633" s="9" t="s">
        <v>517</v>
      </c>
      <c r="C633" s="2" t="s">
        <v>7</v>
      </c>
      <c r="D633" s="13" t="s">
        <v>647</v>
      </c>
      <c r="E633" s="14">
        <v>2.09</v>
      </c>
    </row>
    <row r="634" spans="1:5">
      <c r="A634" s="42">
        <v>632</v>
      </c>
      <c r="B634" s="9" t="s">
        <v>517</v>
      </c>
      <c r="C634" s="4" t="s">
        <v>5</v>
      </c>
      <c r="D634" s="13" t="s">
        <v>648</v>
      </c>
      <c r="E634" s="14">
        <v>0.98</v>
      </c>
    </row>
    <row r="635" spans="1:5">
      <c r="A635" s="42">
        <v>633</v>
      </c>
      <c r="B635" s="9" t="s">
        <v>517</v>
      </c>
      <c r="C635" s="2" t="s">
        <v>7</v>
      </c>
      <c r="D635" s="13" t="s">
        <v>649</v>
      </c>
      <c r="E635" s="14">
        <v>2.2400000000000002</v>
      </c>
    </row>
    <row r="636" spans="1:5">
      <c r="A636" s="42">
        <v>634</v>
      </c>
      <c r="B636" s="9" t="s">
        <v>517</v>
      </c>
      <c r="C636" s="2" t="s">
        <v>7</v>
      </c>
      <c r="D636" s="13" t="s">
        <v>650</v>
      </c>
      <c r="E636" s="14">
        <v>2.5659999999999998</v>
      </c>
    </row>
    <row r="637" spans="1:5">
      <c r="A637" s="42">
        <v>635</v>
      </c>
      <c r="B637" s="9" t="s">
        <v>517</v>
      </c>
      <c r="C637" s="3" t="s">
        <v>8</v>
      </c>
      <c r="D637" s="13" t="s">
        <v>651</v>
      </c>
      <c r="E637" s="14">
        <v>0.33600000000000002</v>
      </c>
    </row>
    <row r="638" spans="1:5">
      <c r="A638" s="42">
        <v>636</v>
      </c>
      <c r="B638" s="9" t="s">
        <v>517</v>
      </c>
      <c r="C638" s="2" t="s">
        <v>7</v>
      </c>
      <c r="D638" s="13" t="s">
        <v>652</v>
      </c>
      <c r="E638" s="14">
        <v>1.599</v>
      </c>
    </row>
    <row r="639" spans="1:5">
      <c r="A639" s="42">
        <v>637</v>
      </c>
      <c r="B639" s="9" t="s">
        <v>653</v>
      </c>
      <c r="C639" s="2" t="s">
        <v>7</v>
      </c>
      <c r="D639" s="13" t="s">
        <v>654</v>
      </c>
      <c r="E639" s="15">
        <v>0.22</v>
      </c>
    </row>
    <row r="640" spans="1:5">
      <c r="A640" s="42">
        <v>638</v>
      </c>
      <c r="B640" s="9" t="s">
        <v>653</v>
      </c>
      <c r="C640" s="2" t="s">
        <v>7</v>
      </c>
      <c r="D640" s="13" t="s">
        <v>655</v>
      </c>
      <c r="E640" s="15">
        <v>0.46</v>
      </c>
    </row>
    <row r="641" spans="1:5">
      <c r="A641" s="42">
        <v>639</v>
      </c>
      <c r="B641" s="9" t="s">
        <v>653</v>
      </c>
      <c r="C641" s="3" t="s">
        <v>8</v>
      </c>
      <c r="D641" s="13" t="s">
        <v>656</v>
      </c>
      <c r="E641" s="15">
        <v>0</v>
      </c>
    </row>
    <row r="642" spans="1:5">
      <c r="A642" s="42">
        <v>640</v>
      </c>
      <c r="B642" s="9" t="s">
        <v>653</v>
      </c>
      <c r="C642" s="2" t="s">
        <v>7</v>
      </c>
      <c r="D642" s="13" t="s">
        <v>657</v>
      </c>
      <c r="E642" s="15">
        <v>0.83</v>
      </c>
    </row>
    <row r="643" spans="1:5">
      <c r="A643" s="42">
        <v>641</v>
      </c>
      <c r="B643" s="9" t="s">
        <v>653</v>
      </c>
      <c r="C643" s="2" t="s">
        <v>7</v>
      </c>
      <c r="D643" s="13" t="s">
        <v>658</v>
      </c>
      <c r="E643" s="15">
        <v>0.21</v>
      </c>
    </row>
    <row r="644" spans="1:5">
      <c r="A644" s="42">
        <v>642</v>
      </c>
      <c r="B644" s="9" t="s">
        <v>653</v>
      </c>
      <c r="C644" s="2" t="s">
        <v>7</v>
      </c>
      <c r="D644" s="13" t="s">
        <v>659</v>
      </c>
      <c r="E644" s="15">
        <v>0</v>
      </c>
    </row>
    <row r="645" spans="1:5">
      <c r="A645" s="42">
        <v>643</v>
      </c>
      <c r="B645" s="9" t="s">
        <v>653</v>
      </c>
      <c r="C645" s="2" t="s">
        <v>7</v>
      </c>
      <c r="D645" s="13" t="s">
        <v>660</v>
      </c>
      <c r="E645" s="15">
        <v>1</v>
      </c>
    </row>
    <row r="646" spans="1:5">
      <c r="A646" s="42">
        <v>644</v>
      </c>
      <c r="B646" s="9" t="s">
        <v>653</v>
      </c>
      <c r="C646" s="4" t="s">
        <v>5</v>
      </c>
      <c r="D646" s="13" t="s">
        <v>661</v>
      </c>
      <c r="E646" s="15">
        <v>1.34</v>
      </c>
    </row>
    <row r="647" spans="1:5">
      <c r="A647" s="42">
        <v>645</v>
      </c>
      <c r="B647" s="7" t="s">
        <v>653</v>
      </c>
      <c r="C647" s="3" t="s">
        <v>8</v>
      </c>
      <c r="D647" s="13" t="s">
        <v>662</v>
      </c>
      <c r="E647" s="15">
        <v>0.62</v>
      </c>
    </row>
    <row r="648" spans="1:5">
      <c r="A648" s="42">
        <v>646</v>
      </c>
      <c r="B648" s="9" t="s">
        <v>653</v>
      </c>
      <c r="C648" s="2" t="s">
        <v>7</v>
      </c>
      <c r="D648" s="13" t="s">
        <v>663</v>
      </c>
      <c r="E648" s="15">
        <v>0</v>
      </c>
    </row>
    <row r="649" spans="1:5">
      <c r="A649" s="42">
        <v>647</v>
      </c>
      <c r="B649" s="9" t="s">
        <v>653</v>
      </c>
      <c r="C649" s="2" t="s">
        <v>7</v>
      </c>
      <c r="D649" s="13" t="s">
        <v>664</v>
      </c>
      <c r="E649" s="15">
        <v>1</v>
      </c>
    </row>
    <row r="650" spans="1:5">
      <c r="A650" s="42">
        <v>648</v>
      </c>
      <c r="B650" s="9" t="s">
        <v>653</v>
      </c>
      <c r="C650" s="2" t="s">
        <v>7</v>
      </c>
      <c r="D650" s="13" t="s">
        <v>665</v>
      </c>
      <c r="E650" s="15">
        <v>0.33</v>
      </c>
    </row>
    <row r="651" spans="1:5">
      <c r="A651" s="42">
        <v>649</v>
      </c>
      <c r="B651" s="9" t="s">
        <v>653</v>
      </c>
      <c r="C651" s="3" t="s">
        <v>8</v>
      </c>
      <c r="D651" s="13" t="s">
        <v>666</v>
      </c>
      <c r="E651" s="15">
        <v>1.88</v>
      </c>
    </row>
    <row r="652" spans="1:5">
      <c r="A652" s="42">
        <v>650</v>
      </c>
      <c r="B652" s="9" t="s">
        <v>653</v>
      </c>
      <c r="C652" s="4" t="s">
        <v>5</v>
      </c>
      <c r="D652" s="13" t="s">
        <v>667</v>
      </c>
      <c r="E652" s="15">
        <v>0</v>
      </c>
    </row>
    <row r="653" spans="1:5">
      <c r="A653" s="42">
        <v>651</v>
      </c>
      <c r="B653" s="9" t="s">
        <v>653</v>
      </c>
      <c r="C653" s="2" t="s">
        <v>7</v>
      </c>
      <c r="D653" s="13" t="s">
        <v>668</v>
      </c>
      <c r="E653" s="15">
        <v>1</v>
      </c>
    </row>
    <row r="654" spans="1:5">
      <c r="A654" s="42">
        <v>652</v>
      </c>
      <c r="B654" s="9" t="s">
        <v>653</v>
      </c>
      <c r="C654" s="2" t="s">
        <v>7</v>
      </c>
      <c r="D654" s="13" t="s">
        <v>669</v>
      </c>
      <c r="E654" s="15">
        <v>1</v>
      </c>
    </row>
    <row r="655" spans="1:5">
      <c r="A655" s="42">
        <v>653</v>
      </c>
      <c r="B655" s="9" t="s">
        <v>670</v>
      </c>
      <c r="C655" s="2" t="s">
        <v>7</v>
      </c>
      <c r="D655" s="13" t="s">
        <v>671</v>
      </c>
      <c r="E655" s="15">
        <v>4.21</v>
      </c>
    </row>
    <row r="656" spans="1:5">
      <c r="A656" s="42">
        <v>654</v>
      </c>
      <c r="B656" s="9" t="s">
        <v>670</v>
      </c>
      <c r="C656" s="3" t="s">
        <v>8</v>
      </c>
      <c r="D656" s="13" t="s">
        <v>672</v>
      </c>
      <c r="E656" s="15">
        <v>0.62</v>
      </c>
    </row>
    <row r="657" spans="1:5">
      <c r="A657" s="42">
        <v>655</v>
      </c>
      <c r="B657" s="9" t="s">
        <v>670</v>
      </c>
      <c r="C657" s="2" t="s">
        <v>7</v>
      </c>
      <c r="D657" s="13" t="s">
        <v>673</v>
      </c>
      <c r="E657" s="15">
        <v>1</v>
      </c>
    </row>
    <row r="658" spans="1:5">
      <c r="A658" s="42">
        <v>656</v>
      </c>
      <c r="B658" s="9" t="s">
        <v>670</v>
      </c>
      <c r="C658" s="3" t="s">
        <v>8</v>
      </c>
      <c r="D658" s="13" t="s">
        <v>674</v>
      </c>
      <c r="E658" s="15">
        <v>3.92</v>
      </c>
    </row>
    <row r="659" spans="1:5">
      <c r="A659" s="42">
        <v>657</v>
      </c>
      <c r="B659" s="9" t="s">
        <v>670</v>
      </c>
      <c r="C659" s="2" t="s">
        <v>7</v>
      </c>
      <c r="D659" s="13" t="s">
        <v>675</v>
      </c>
      <c r="E659" s="15">
        <v>1.93</v>
      </c>
    </row>
    <row r="660" spans="1:5">
      <c r="A660" s="42">
        <v>658</v>
      </c>
      <c r="B660" s="9" t="s">
        <v>670</v>
      </c>
      <c r="C660" s="2" t="s">
        <v>7</v>
      </c>
      <c r="D660" s="13" t="s">
        <v>676</v>
      </c>
      <c r="E660" s="15">
        <v>3.11</v>
      </c>
    </row>
    <row r="661" spans="1:5">
      <c r="A661" s="42">
        <v>659</v>
      </c>
      <c r="B661" s="9" t="s">
        <v>670</v>
      </c>
      <c r="C661" s="4" t="s">
        <v>5</v>
      </c>
      <c r="D661" s="13" t="s">
        <v>677</v>
      </c>
      <c r="E661" s="15">
        <v>4.0199999999999996</v>
      </c>
    </row>
    <row r="662" spans="1:5">
      <c r="A662" s="42">
        <v>660</v>
      </c>
      <c r="B662" s="9" t="s">
        <v>670</v>
      </c>
      <c r="C662" s="3" t="s">
        <v>8</v>
      </c>
      <c r="D662" s="13" t="s">
        <v>678</v>
      </c>
      <c r="E662" s="15">
        <v>1.87</v>
      </c>
    </row>
    <row r="663" spans="1:5">
      <c r="A663" s="42">
        <v>661</v>
      </c>
      <c r="B663" s="9" t="s">
        <v>670</v>
      </c>
      <c r="C663" s="2" t="s">
        <v>7</v>
      </c>
      <c r="D663" s="13" t="s">
        <v>679</v>
      </c>
      <c r="E663" s="15">
        <v>1.27</v>
      </c>
    </row>
    <row r="664" spans="1:5">
      <c r="A664" s="42">
        <v>662</v>
      </c>
      <c r="B664" s="9" t="s">
        <v>670</v>
      </c>
      <c r="C664" s="2" t="s">
        <v>7</v>
      </c>
      <c r="D664" s="13" t="s">
        <v>680</v>
      </c>
      <c r="E664" s="15">
        <v>3.9</v>
      </c>
    </row>
    <row r="665" spans="1:5">
      <c r="A665" s="42">
        <v>663</v>
      </c>
      <c r="B665" s="9" t="s">
        <v>670</v>
      </c>
      <c r="C665" s="2" t="s">
        <v>7</v>
      </c>
      <c r="D665" s="13" t="s">
        <v>681</v>
      </c>
      <c r="E665" s="15">
        <v>5.2</v>
      </c>
    </row>
    <row r="666" spans="1:5">
      <c r="A666" s="42">
        <v>664</v>
      </c>
      <c r="B666" s="9" t="s">
        <v>670</v>
      </c>
      <c r="C666" s="2" t="s">
        <v>7</v>
      </c>
      <c r="D666" s="13" t="s">
        <v>682</v>
      </c>
      <c r="E666" s="15">
        <v>1.59</v>
      </c>
    </row>
    <row r="667" spans="1:5">
      <c r="A667" s="42">
        <v>665</v>
      </c>
      <c r="B667" s="9" t="s">
        <v>670</v>
      </c>
      <c r="C667" s="2" t="s">
        <v>7</v>
      </c>
      <c r="D667" s="13" t="s">
        <v>683</v>
      </c>
      <c r="E667" s="15">
        <v>1.79</v>
      </c>
    </row>
    <row r="668" spans="1:5">
      <c r="A668" s="42">
        <v>666</v>
      </c>
      <c r="B668" s="9" t="s">
        <v>670</v>
      </c>
      <c r="C668" s="2" t="s">
        <v>7</v>
      </c>
      <c r="D668" s="13" t="s">
        <v>684</v>
      </c>
      <c r="E668" s="15">
        <v>5.92</v>
      </c>
    </row>
    <row r="669" spans="1:5">
      <c r="A669" s="42">
        <v>667</v>
      </c>
      <c r="B669" s="9" t="s">
        <v>670</v>
      </c>
      <c r="C669" s="2" t="s">
        <v>7</v>
      </c>
      <c r="D669" s="13" t="s">
        <v>685</v>
      </c>
      <c r="E669" s="15">
        <v>1.5</v>
      </c>
    </row>
    <row r="670" spans="1:5">
      <c r="A670" s="42">
        <v>668</v>
      </c>
      <c r="B670" s="9" t="s">
        <v>670</v>
      </c>
      <c r="C670" s="4" t="s">
        <v>5</v>
      </c>
      <c r="D670" s="13" t="s">
        <v>686</v>
      </c>
      <c r="E670" s="15">
        <v>1.26</v>
      </c>
    </row>
    <row r="671" spans="1:5">
      <c r="A671" s="42">
        <v>669</v>
      </c>
      <c r="B671" s="9" t="s">
        <v>670</v>
      </c>
      <c r="C671" s="3" t="s">
        <v>8</v>
      </c>
      <c r="D671" s="13" t="s">
        <v>687</v>
      </c>
      <c r="E671" s="15">
        <v>0.9</v>
      </c>
    </row>
    <row r="672" spans="1:5">
      <c r="A672" s="42">
        <v>670</v>
      </c>
      <c r="B672" s="9" t="s">
        <v>670</v>
      </c>
      <c r="C672" s="2" t="s">
        <v>7</v>
      </c>
      <c r="D672" s="13" t="s">
        <v>688</v>
      </c>
      <c r="E672" s="15">
        <v>1.44</v>
      </c>
    </row>
    <row r="673" spans="1:5">
      <c r="A673" s="42">
        <v>671</v>
      </c>
      <c r="B673" s="9" t="s">
        <v>670</v>
      </c>
      <c r="C673" s="2" t="s">
        <v>7</v>
      </c>
      <c r="D673" s="13" t="s">
        <v>689</v>
      </c>
      <c r="E673" s="15">
        <v>1.17</v>
      </c>
    </row>
    <row r="674" spans="1:5">
      <c r="A674" s="42">
        <v>672</v>
      </c>
      <c r="B674" s="9" t="s">
        <v>670</v>
      </c>
      <c r="C674" s="2" t="s">
        <v>7</v>
      </c>
      <c r="D674" s="13" t="s">
        <v>690</v>
      </c>
      <c r="E674" s="15">
        <v>1.78</v>
      </c>
    </row>
    <row r="675" spans="1:5">
      <c r="A675" s="42">
        <v>673</v>
      </c>
      <c r="B675" s="9" t="s">
        <v>670</v>
      </c>
      <c r="C675" s="3" t="s">
        <v>8</v>
      </c>
      <c r="D675" s="13" t="s">
        <v>691</v>
      </c>
      <c r="E675" s="15">
        <v>1.1499999999999999</v>
      </c>
    </row>
    <row r="676" spans="1:5">
      <c r="A676" s="42">
        <v>674</v>
      </c>
      <c r="B676" s="9" t="s">
        <v>670</v>
      </c>
      <c r="C676" s="2" t="s">
        <v>7</v>
      </c>
      <c r="D676" s="13" t="s">
        <v>692</v>
      </c>
      <c r="E676" s="15">
        <v>2.13</v>
      </c>
    </row>
    <row r="677" spans="1:5">
      <c r="A677" s="42">
        <v>675</v>
      </c>
      <c r="B677" s="9" t="s">
        <v>670</v>
      </c>
      <c r="C677" s="2" t="s">
        <v>7</v>
      </c>
      <c r="D677" s="13" t="s">
        <v>693</v>
      </c>
      <c r="E677" s="15">
        <v>3.95</v>
      </c>
    </row>
    <row r="678" spans="1:5">
      <c r="A678" s="42">
        <v>676</v>
      </c>
      <c r="B678" s="9" t="s">
        <v>670</v>
      </c>
      <c r="C678" s="2" t="s">
        <v>7</v>
      </c>
      <c r="D678" s="13" t="s">
        <v>694</v>
      </c>
      <c r="E678" s="15">
        <v>3.06</v>
      </c>
    </row>
    <row r="679" spans="1:5">
      <c r="A679" s="42">
        <v>677</v>
      </c>
      <c r="B679" s="9" t="s">
        <v>670</v>
      </c>
      <c r="C679" s="4" t="s">
        <v>5</v>
      </c>
      <c r="D679" s="13" t="s">
        <v>695</v>
      </c>
      <c r="E679" s="15">
        <v>14.15</v>
      </c>
    </row>
    <row r="680" spans="1:5">
      <c r="A680" s="42">
        <v>678</v>
      </c>
      <c r="B680" s="9" t="s">
        <v>670</v>
      </c>
      <c r="C680" s="4" t="s">
        <v>5</v>
      </c>
      <c r="D680" s="13" t="s">
        <v>696</v>
      </c>
      <c r="E680" s="15">
        <v>4.74</v>
      </c>
    </row>
    <row r="681" spans="1:5">
      <c r="A681" s="42">
        <v>679</v>
      </c>
      <c r="B681" s="9" t="s">
        <v>670</v>
      </c>
      <c r="C681" s="3" t="s">
        <v>8</v>
      </c>
      <c r="D681" s="13" t="s">
        <v>697</v>
      </c>
      <c r="E681" s="15">
        <v>2.23</v>
      </c>
    </row>
    <row r="682" spans="1:5">
      <c r="A682" s="42">
        <v>680</v>
      </c>
      <c r="B682" s="9" t="s">
        <v>670</v>
      </c>
      <c r="C682" s="2" t="s">
        <v>7</v>
      </c>
      <c r="D682" s="13" t="s">
        <v>698</v>
      </c>
      <c r="E682" s="15">
        <v>2.5099999999999998</v>
      </c>
    </row>
    <row r="683" spans="1:5">
      <c r="A683" s="42">
        <v>681</v>
      </c>
      <c r="B683" s="9" t="s">
        <v>0</v>
      </c>
      <c r="C683" s="4" t="s">
        <v>5</v>
      </c>
      <c r="D683" s="13" t="s">
        <v>699</v>
      </c>
      <c r="E683" s="15">
        <v>3.11</v>
      </c>
    </row>
    <row r="684" spans="1:5">
      <c r="A684" s="42">
        <v>682</v>
      </c>
      <c r="B684" s="9" t="s">
        <v>0</v>
      </c>
      <c r="C684" s="3" t="s">
        <v>8</v>
      </c>
      <c r="D684" s="13" t="s">
        <v>700</v>
      </c>
      <c r="E684" s="15">
        <v>1.78</v>
      </c>
    </row>
    <row r="685" spans="1:5">
      <c r="A685" s="42">
        <v>683</v>
      </c>
      <c r="B685" s="9" t="s">
        <v>0</v>
      </c>
      <c r="C685" s="2" t="s">
        <v>7</v>
      </c>
      <c r="D685" s="13" t="s">
        <v>701</v>
      </c>
      <c r="E685" s="15">
        <v>1.19</v>
      </c>
    </row>
    <row r="686" spans="1:5">
      <c r="A686" s="42">
        <v>684</v>
      </c>
      <c r="B686" s="9" t="s">
        <v>0</v>
      </c>
      <c r="C686" s="2" t="s">
        <v>7</v>
      </c>
      <c r="D686" s="13" t="s">
        <v>702</v>
      </c>
      <c r="E686" s="15">
        <v>4.6399999999999997</v>
      </c>
    </row>
    <row r="687" spans="1:5">
      <c r="A687" s="42">
        <v>685</v>
      </c>
      <c r="B687" s="9" t="s">
        <v>0</v>
      </c>
      <c r="C687" s="3" t="s">
        <v>8</v>
      </c>
      <c r="D687" s="13" t="s">
        <v>703</v>
      </c>
      <c r="E687" s="15">
        <v>1.83</v>
      </c>
    </row>
    <row r="688" spans="1:5">
      <c r="A688" s="42">
        <v>686</v>
      </c>
      <c r="B688" s="9" t="s">
        <v>0</v>
      </c>
      <c r="C688" s="2" t="s">
        <v>7</v>
      </c>
      <c r="D688" s="13" t="s">
        <v>704</v>
      </c>
      <c r="E688" s="15">
        <v>2.09</v>
      </c>
    </row>
    <row r="689" spans="1:5">
      <c r="A689" s="42">
        <v>687</v>
      </c>
      <c r="B689" s="9" t="s">
        <v>0</v>
      </c>
      <c r="C689" s="2" t="s">
        <v>7</v>
      </c>
      <c r="D689" s="13" t="s">
        <v>705</v>
      </c>
      <c r="E689" s="15">
        <v>1.49</v>
      </c>
    </row>
    <row r="690" spans="1:5">
      <c r="A690" s="42">
        <v>688</v>
      </c>
      <c r="B690" s="9" t="s">
        <v>0</v>
      </c>
      <c r="C690" s="2" t="s">
        <v>7</v>
      </c>
      <c r="D690" s="13" t="s">
        <v>706</v>
      </c>
      <c r="E690" s="15">
        <v>4.34</v>
      </c>
    </row>
    <row r="691" spans="1:5">
      <c r="A691" s="42">
        <v>689</v>
      </c>
      <c r="B691" s="9" t="s">
        <v>0</v>
      </c>
      <c r="C691" s="3" t="s">
        <v>8</v>
      </c>
      <c r="D691" s="13" t="s">
        <v>707</v>
      </c>
      <c r="E691" s="15">
        <v>1.43</v>
      </c>
    </row>
    <row r="692" spans="1:5">
      <c r="A692" s="42">
        <v>690</v>
      </c>
      <c r="B692" s="9" t="s">
        <v>0</v>
      </c>
      <c r="C692" s="2" t="s">
        <v>7</v>
      </c>
      <c r="D692" s="13" t="s">
        <v>708</v>
      </c>
      <c r="E692" s="15">
        <v>0.95</v>
      </c>
    </row>
    <row r="693" spans="1:5">
      <c r="A693" s="42">
        <v>691</v>
      </c>
      <c r="B693" s="9" t="s">
        <v>0</v>
      </c>
      <c r="C693" s="3" t="s">
        <v>8</v>
      </c>
      <c r="D693" s="13" t="s">
        <v>709</v>
      </c>
      <c r="E693" s="15">
        <v>8.01</v>
      </c>
    </row>
    <row r="694" spans="1:5">
      <c r="A694" s="42">
        <v>692</v>
      </c>
      <c r="B694" s="9" t="s">
        <v>0</v>
      </c>
      <c r="C694" s="2" t="s">
        <v>7</v>
      </c>
      <c r="D694" s="13" t="s">
        <v>710</v>
      </c>
      <c r="E694" s="15">
        <v>3.93</v>
      </c>
    </row>
    <row r="695" spans="1:5">
      <c r="A695" s="42">
        <v>693</v>
      </c>
      <c r="B695" s="9" t="s">
        <v>0</v>
      </c>
      <c r="C695" s="2" t="s">
        <v>7</v>
      </c>
      <c r="D695" s="13" t="s">
        <v>711</v>
      </c>
      <c r="E695" s="15">
        <v>4.62</v>
      </c>
    </row>
    <row r="696" spans="1:5">
      <c r="A696" s="42">
        <v>694</v>
      </c>
      <c r="B696" s="9" t="s">
        <v>0</v>
      </c>
      <c r="C696" s="2" t="s">
        <v>7</v>
      </c>
      <c r="D696" s="13" t="s">
        <v>712</v>
      </c>
      <c r="E696" s="15">
        <v>0</v>
      </c>
    </row>
    <row r="697" spans="1:5">
      <c r="A697" s="42">
        <v>695</v>
      </c>
      <c r="B697" s="9" t="s">
        <v>0</v>
      </c>
      <c r="C697" s="2" t="s">
        <v>7</v>
      </c>
      <c r="D697" s="13" t="s">
        <v>713</v>
      </c>
      <c r="E697" s="15">
        <v>2.7</v>
      </c>
    </row>
    <row r="698" spans="1:5">
      <c r="A698" s="42">
        <v>696</v>
      </c>
      <c r="B698" s="9" t="s">
        <v>0</v>
      </c>
      <c r="C698" s="4" t="s">
        <v>5</v>
      </c>
      <c r="D698" s="13" t="s">
        <v>714</v>
      </c>
      <c r="E698" s="15">
        <v>5.0599999999999996</v>
      </c>
    </row>
    <row r="699" spans="1:5">
      <c r="A699" s="42">
        <v>697</v>
      </c>
      <c r="B699" s="9" t="s">
        <v>0</v>
      </c>
      <c r="C699" s="3" t="s">
        <v>8</v>
      </c>
      <c r="D699" s="13" t="s">
        <v>715</v>
      </c>
      <c r="E699" s="15">
        <v>5.12</v>
      </c>
    </row>
    <row r="700" spans="1:5">
      <c r="A700" s="42">
        <v>698</v>
      </c>
      <c r="B700" s="9" t="s">
        <v>0</v>
      </c>
      <c r="C700" s="2" t="s">
        <v>7</v>
      </c>
      <c r="D700" s="13" t="s">
        <v>716</v>
      </c>
      <c r="E700" s="15">
        <v>2.33</v>
      </c>
    </row>
    <row r="701" spans="1:5">
      <c r="A701" s="42">
        <v>699</v>
      </c>
      <c r="B701" s="9" t="s">
        <v>0</v>
      </c>
      <c r="C701" s="2" t="s">
        <v>7</v>
      </c>
      <c r="D701" s="13" t="s">
        <v>717</v>
      </c>
      <c r="E701" s="15">
        <v>1.82</v>
      </c>
    </row>
    <row r="702" spans="1:5">
      <c r="A702" s="42">
        <v>700</v>
      </c>
      <c r="B702" s="9" t="s">
        <v>0</v>
      </c>
      <c r="C702" s="2" t="s">
        <v>7</v>
      </c>
      <c r="D702" s="13" t="s">
        <v>718</v>
      </c>
      <c r="E702" s="15">
        <v>1.49</v>
      </c>
    </row>
    <row r="703" spans="1:5">
      <c r="A703" s="42">
        <v>701</v>
      </c>
      <c r="B703" s="9" t="s">
        <v>0</v>
      </c>
      <c r="C703" s="2" t="s">
        <v>7</v>
      </c>
      <c r="D703" s="13" t="s">
        <v>719</v>
      </c>
      <c r="E703" s="15">
        <v>3.3</v>
      </c>
    </row>
    <row r="704" spans="1:5">
      <c r="A704" s="42">
        <v>702</v>
      </c>
      <c r="B704" s="9" t="s">
        <v>0</v>
      </c>
      <c r="C704" s="2" t="s">
        <v>7</v>
      </c>
      <c r="D704" s="13" t="s">
        <v>720</v>
      </c>
      <c r="E704" s="15">
        <v>1.55</v>
      </c>
    </row>
    <row r="705" spans="1:5">
      <c r="A705" s="42">
        <v>703</v>
      </c>
      <c r="B705" s="9" t="s">
        <v>0</v>
      </c>
      <c r="C705" s="4" t="s">
        <v>5</v>
      </c>
      <c r="D705" s="13" t="s">
        <v>721</v>
      </c>
      <c r="E705" s="15">
        <v>8.4600000000000009</v>
      </c>
    </row>
    <row r="706" spans="1:5">
      <c r="A706" s="42">
        <v>704</v>
      </c>
      <c r="B706" s="7" t="s">
        <v>0</v>
      </c>
      <c r="C706" s="8" t="s">
        <v>5</v>
      </c>
      <c r="D706" s="18" t="s">
        <v>722</v>
      </c>
      <c r="E706" s="15">
        <v>1.1200000000000001</v>
      </c>
    </row>
    <row r="707" spans="1:5">
      <c r="A707" s="42">
        <v>705</v>
      </c>
      <c r="B707" s="9" t="s">
        <v>0</v>
      </c>
      <c r="C707" s="4" t="s">
        <v>5</v>
      </c>
      <c r="D707" s="13" t="s">
        <v>723</v>
      </c>
      <c r="E707" s="15">
        <v>5.44</v>
      </c>
    </row>
    <row r="708" spans="1:5">
      <c r="A708" s="42">
        <v>706</v>
      </c>
      <c r="B708" s="9" t="s">
        <v>0</v>
      </c>
      <c r="C708" s="2" t="s">
        <v>7</v>
      </c>
      <c r="D708" s="13" t="s">
        <v>724</v>
      </c>
      <c r="E708" s="15">
        <v>6.57</v>
      </c>
    </row>
    <row r="709" spans="1:5">
      <c r="A709" s="42">
        <v>707</v>
      </c>
      <c r="B709" s="9" t="s">
        <v>0</v>
      </c>
      <c r="C709" s="2" t="s">
        <v>7</v>
      </c>
      <c r="D709" s="13" t="s">
        <v>725</v>
      </c>
      <c r="E709" s="15">
        <v>8.32</v>
      </c>
    </row>
    <row r="710" spans="1:5">
      <c r="A710" s="42">
        <v>708</v>
      </c>
      <c r="B710" s="9" t="s">
        <v>0</v>
      </c>
      <c r="C710" s="3" t="s">
        <v>8</v>
      </c>
      <c r="D710" s="13" t="s">
        <v>726</v>
      </c>
      <c r="E710" s="15">
        <v>2.13</v>
      </c>
    </row>
    <row r="711" spans="1:5">
      <c r="A711" s="42">
        <v>709</v>
      </c>
      <c r="B711" s="9" t="s">
        <v>0</v>
      </c>
      <c r="C711" s="2" t="s">
        <v>7</v>
      </c>
      <c r="D711" s="13" t="s">
        <v>727</v>
      </c>
      <c r="E711" s="15">
        <v>5.42</v>
      </c>
    </row>
    <row r="712" spans="1:5">
      <c r="A712" s="42">
        <v>710</v>
      </c>
      <c r="B712" s="9" t="s">
        <v>0</v>
      </c>
      <c r="C712" s="2" t="s">
        <v>7</v>
      </c>
      <c r="D712" s="13" t="s">
        <v>728</v>
      </c>
      <c r="E712" s="15">
        <v>1.84</v>
      </c>
    </row>
    <row r="713" spans="1:5">
      <c r="A713" s="42">
        <v>711</v>
      </c>
      <c r="B713" s="9" t="s">
        <v>0</v>
      </c>
      <c r="C713" s="4" t="s">
        <v>5</v>
      </c>
      <c r="D713" s="13" t="s">
        <v>729</v>
      </c>
      <c r="E713" s="15">
        <v>6.24</v>
      </c>
    </row>
    <row r="714" spans="1:5">
      <c r="A714" s="42">
        <v>712</v>
      </c>
      <c r="B714" s="9" t="s">
        <v>0</v>
      </c>
      <c r="C714" s="4" t="s">
        <v>5</v>
      </c>
      <c r="D714" s="13" t="s">
        <v>730</v>
      </c>
      <c r="E714" s="15">
        <v>6.09</v>
      </c>
    </row>
    <row r="715" spans="1:5">
      <c r="A715" s="42">
        <v>713</v>
      </c>
      <c r="B715" s="9" t="s">
        <v>0</v>
      </c>
      <c r="C715" s="3" t="s">
        <v>8</v>
      </c>
      <c r="D715" s="13" t="s">
        <v>731</v>
      </c>
      <c r="E715" s="15">
        <v>0.53</v>
      </c>
    </row>
    <row r="716" spans="1:5">
      <c r="A716" s="42">
        <v>714</v>
      </c>
      <c r="B716" s="9" t="s">
        <v>0</v>
      </c>
      <c r="C716" s="4" t="s">
        <v>5</v>
      </c>
      <c r="D716" s="13" t="s">
        <v>732</v>
      </c>
      <c r="E716" s="15">
        <v>2.85</v>
      </c>
    </row>
    <row r="717" spans="1:5">
      <c r="A717" s="42">
        <v>715</v>
      </c>
      <c r="B717" s="9" t="s">
        <v>0</v>
      </c>
      <c r="C717" s="3" t="s">
        <v>8</v>
      </c>
      <c r="D717" s="13" t="s">
        <v>733</v>
      </c>
      <c r="E717" s="15">
        <v>5.65</v>
      </c>
    </row>
    <row r="718" spans="1:5">
      <c r="A718" s="42">
        <v>716</v>
      </c>
      <c r="B718" s="9" t="s">
        <v>0</v>
      </c>
      <c r="C718" s="3" t="s">
        <v>8</v>
      </c>
      <c r="D718" s="13" t="s">
        <v>734</v>
      </c>
      <c r="E718" s="15">
        <v>3.82</v>
      </c>
    </row>
    <row r="719" spans="1:5">
      <c r="A719" s="42">
        <v>717</v>
      </c>
      <c r="B719" s="9" t="s">
        <v>0</v>
      </c>
      <c r="C719" s="2" t="s">
        <v>7</v>
      </c>
      <c r="D719" s="13" t="s">
        <v>735</v>
      </c>
      <c r="E719" s="15">
        <v>5.46</v>
      </c>
    </row>
    <row r="720" spans="1:5">
      <c r="A720" s="42">
        <v>718</v>
      </c>
      <c r="B720" s="9" t="s">
        <v>0</v>
      </c>
      <c r="C720" s="4" t="s">
        <v>5</v>
      </c>
      <c r="D720" s="13" t="s">
        <v>736</v>
      </c>
      <c r="E720" s="15">
        <v>5.68</v>
      </c>
    </row>
    <row r="721" spans="1:5">
      <c r="A721" s="42">
        <v>719</v>
      </c>
      <c r="B721" s="9" t="s">
        <v>0</v>
      </c>
      <c r="C721" s="3" t="s">
        <v>8</v>
      </c>
      <c r="D721" s="13" t="s">
        <v>737</v>
      </c>
      <c r="E721" s="15">
        <v>6.9</v>
      </c>
    </row>
  </sheetData>
  <autoFilter ref="A2:E721" xr:uid="{65F7B73A-F1C3-4888-9FF6-499E41CDDECE}"/>
  <mergeCells count="1">
    <mergeCell ref="G19:I19"/>
  </mergeCells>
  <phoneticPr fontId="1" type="noConversion"/>
  <conditionalFormatting sqref="I3:M17">
    <cfRule type="cellIs" dxfId="0" priority="1" operator="greaterThan">
      <formula>3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충남 채널중첩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HoJun, Ki</cp:lastModifiedBy>
  <dcterms:created xsi:type="dcterms:W3CDTF">2026-01-27T12:45:52Z</dcterms:created>
  <dcterms:modified xsi:type="dcterms:W3CDTF">2026-02-11T04:20:58Z</dcterms:modified>
</cp:coreProperties>
</file>